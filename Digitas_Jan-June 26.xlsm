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00000000-0000-0000-0000-0000000000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jatiwar3\Downloads\"/>
    </mc:Choice>
  </mc:AlternateContent>
  <xr:revisionPtr revIDLastSave="0" documentId="13_ncr:1_{6881E844-D0B8-41E2-AE06-F952DF15DA5B}" xr6:coauthVersionLast="47" xr6:coauthVersionMax="47" xr10:uidLastSave="{00000000-0000-0000-0000-000000000000}"/>
  <bookViews>
    <workbookView xWindow="-110" yWindow="-110" windowWidth="19420" windowHeight="10300" tabRatio="614" firstSheet="3" activeTab="5" xr2:uid="{9A6205C1-62E9-4118-BF9C-28D9775B64AD}"/>
  </bookViews>
  <sheets>
    <sheet name="Leave Analysis" sheetId="6" state="hidden" r:id="rId1"/>
    <sheet name="CROCS" sheetId="16" state="hidden" r:id="rId2"/>
    <sheet name="POC details" sheetId="14" state="hidden" r:id="rId3"/>
    <sheet name="QA_Email" sheetId="17" r:id="rId4"/>
    <sheet name="QA Note point" sheetId="10" r:id="rId5"/>
    <sheet name="Digitas UK Task 26" sheetId="12" r:id="rId6"/>
    <sheet name="Leave Sheet" sheetId="18" r:id="rId7"/>
  </sheets>
  <definedNames>
    <definedName name="__xleta.IF" hidden="1" xlm="1">#NAME?</definedName>
    <definedName name="__xleta.SUM" hidden="1" xlm="1">#NAME?</definedName>
    <definedName name="__xleta.TRANSPOSE" hidden="1" xlm="1">#NAME?</definedName>
    <definedName name="_xlnm._FilterDatabase" localSheetId="6" hidden="1">'Leave Sheet'!$A$1:$G$1</definedName>
    <definedName name="Camp">'Digitas UK Task 26'!$F:$F</definedName>
    <definedName name="EmailSub">'Digitas UK Task 26'!$G:$G</definedName>
    <definedName name="Live">'Digitas UK Task 26'!$M:$M</definedName>
    <definedName name="Place">'Digitas UK Task 26'!$J:$J</definedName>
    <definedName name="QAPend">'Digitas UK Task 26'!$U:$U</definedName>
    <definedName name="QAPer">'Digitas UK Task 26'!$T:$T</definedName>
    <definedName name="QATim">'Digitas UK Task 26'!$W:$W</definedName>
    <definedName name="Traff">'Digitas UK Task 26'!$I:$I</definedName>
    <definedName name="TraffTm">'Digitas UK Task 26'!$N:$N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41" i="12" l="1"/>
  <c r="AI438" i="12"/>
  <c r="AH438" i="12"/>
  <c r="AF438" i="12"/>
  <c r="AA438" i="12"/>
  <c r="Z438" i="12"/>
  <c r="AJ438" i="12" s="1"/>
  <c r="Y438" i="12"/>
  <c r="S438" i="12"/>
  <c r="R438" i="12"/>
  <c r="Q438" i="12"/>
  <c r="A438" i="12"/>
  <c r="AI437" i="12"/>
  <c r="AH437" i="12"/>
  <c r="AF437" i="12"/>
  <c r="AA437" i="12"/>
  <c r="Z437" i="12"/>
  <c r="AJ437" i="12" s="1"/>
  <c r="Y437" i="12"/>
  <c r="S437" i="12"/>
  <c r="R437" i="12"/>
  <c r="Q437" i="12"/>
  <c r="A437" i="12"/>
  <c r="AI436" i="12"/>
  <c r="AH436" i="12"/>
  <c r="AF436" i="12"/>
  <c r="AA436" i="12"/>
  <c r="Z436" i="12"/>
  <c r="AJ436" i="12" s="1"/>
  <c r="Y436" i="12"/>
  <c r="S436" i="12"/>
  <c r="R436" i="12"/>
  <c r="Q436" i="12"/>
  <c r="A436" i="12"/>
  <c r="AI430" i="12"/>
  <c r="AI431" i="12"/>
  <c r="AI432" i="12"/>
  <c r="AI433" i="12"/>
  <c r="AI434" i="12"/>
  <c r="AI435" i="12"/>
  <c r="AH434" i="12"/>
  <c r="AF434" i="12"/>
  <c r="AA434" i="12"/>
  <c r="Y434" i="12"/>
  <c r="S434" i="12"/>
  <c r="R434" i="12"/>
  <c r="Q434" i="12"/>
  <c r="A434" i="12"/>
  <c r="AF432" i="12"/>
  <c r="AA432" i="12"/>
  <c r="Z432" i="12"/>
  <c r="Y432" i="12"/>
  <c r="S432" i="12"/>
  <c r="R432" i="12"/>
  <c r="Q432" i="12"/>
  <c r="A432" i="12"/>
  <c r="AH431" i="12"/>
  <c r="AF431" i="12"/>
  <c r="AA431" i="12"/>
  <c r="Z431" i="12"/>
  <c r="AJ431" i="12" s="1"/>
  <c r="Y431" i="12"/>
  <c r="S431" i="12"/>
  <c r="R431" i="12"/>
  <c r="Q431" i="12"/>
  <c r="A431" i="12"/>
  <c r="A430" i="12"/>
  <c r="Q430" i="12"/>
  <c r="R430" i="12"/>
  <c r="S430" i="12"/>
  <c r="Y430" i="12"/>
  <c r="Z430" i="12"/>
  <c r="AA430" i="12"/>
  <c r="AF430" i="12"/>
  <c r="AF429" i="12"/>
  <c r="AA429" i="12"/>
  <c r="Z429" i="12"/>
  <c r="Y429" i="12"/>
  <c r="S429" i="12"/>
  <c r="R429" i="12"/>
  <c r="Q429" i="12"/>
  <c r="A429" i="12"/>
  <c r="A427" i="12"/>
  <c r="Q427" i="12"/>
  <c r="R427" i="12"/>
  <c r="S427" i="12"/>
  <c r="Q426" i="12"/>
  <c r="R426" i="12"/>
  <c r="S426" i="12"/>
  <c r="A426" i="12"/>
  <c r="AI425" i="12"/>
  <c r="AH425" i="12"/>
  <c r="Z425" i="12"/>
  <c r="AJ425" i="12" s="1"/>
  <c r="Y425" i="12"/>
  <c r="S425" i="12"/>
  <c r="R425" i="12"/>
  <c r="Q425" i="12"/>
  <c r="A425" i="12"/>
  <c r="AI424" i="12"/>
  <c r="AH424" i="12"/>
  <c r="AF424" i="12"/>
  <c r="AA424" i="12"/>
  <c r="Z424" i="12"/>
  <c r="AJ424" i="12" s="1"/>
  <c r="Y424" i="12"/>
  <c r="S424" i="12"/>
  <c r="R424" i="12"/>
  <c r="Q424" i="12"/>
  <c r="A424" i="12"/>
  <c r="A423" i="12"/>
  <c r="A421" i="12"/>
  <c r="A422" i="12"/>
  <c r="Z408" i="12"/>
  <c r="Z409" i="12"/>
  <c r="AJ409" i="12" s="1"/>
  <c r="Z410" i="12"/>
  <c r="AJ410" i="12" s="1"/>
  <c r="Y409" i="12"/>
  <c r="Y410" i="12"/>
  <c r="AI410" i="12"/>
  <c r="AH410" i="12"/>
  <c r="S410" i="12"/>
  <c r="R410" i="12"/>
  <c r="Q410" i="12"/>
  <c r="A410" i="12"/>
  <c r="AH416" i="12"/>
  <c r="AF416" i="12"/>
  <c r="AA416" i="12"/>
  <c r="Z416" i="12"/>
  <c r="AJ416" i="12" s="1"/>
  <c r="Y416" i="12"/>
  <c r="AI416" i="12"/>
  <c r="S416" i="12"/>
  <c r="R416" i="12"/>
  <c r="Q416" i="12"/>
  <c r="A416" i="12"/>
  <c r="AH419" i="12"/>
  <c r="AF419" i="12"/>
  <c r="AA419" i="12"/>
  <c r="Y419" i="12"/>
  <c r="S419" i="12"/>
  <c r="R419" i="12"/>
  <c r="Q419" i="12"/>
  <c r="A419" i="12"/>
  <c r="A417" i="12"/>
  <c r="AJ101" i="12"/>
  <c r="AJ102" i="12"/>
  <c r="AJ103" i="12"/>
  <c r="AJ201" i="12"/>
  <c r="AJ291" i="12"/>
  <c r="AJ358" i="12"/>
  <c r="AI3" i="12"/>
  <c r="AI4" i="12"/>
  <c r="AI5" i="12"/>
  <c r="AI6" i="12"/>
  <c r="AI7" i="12"/>
  <c r="AI8" i="12"/>
  <c r="AI9" i="12"/>
  <c r="AI10" i="12"/>
  <c r="AI11" i="12"/>
  <c r="AI12" i="12"/>
  <c r="AI13" i="12"/>
  <c r="AI14" i="12"/>
  <c r="AI15" i="12"/>
  <c r="AI16" i="12"/>
  <c r="AI17" i="12"/>
  <c r="AI18" i="12"/>
  <c r="AI19" i="12"/>
  <c r="AI20" i="12"/>
  <c r="AI21" i="12"/>
  <c r="AI22" i="12"/>
  <c r="AI23" i="12"/>
  <c r="AI24" i="12"/>
  <c r="AI25" i="12"/>
  <c r="AI26" i="12"/>
  <c r="AI27" i="12"/>
  <c r="AI28" i="12"/>
  <c r="AI29" i="12"/>
  <c r="AI30" i="12"/>
  <c r="AI31" i="12"/>
  <c r="AI32" i="12"/>
  <c r="AI33" i="12"/>
  <c r="AI34" i="12"/>
  <c r="AI35" i="12"/>
  <c r="AI36" i="12"/>
  <c r="AI37" i="12"/>
  <c r="AI38" i="12"/>
  <c r="AI39" i="12"/>
  <c r="AI40" i="12"/>
  <c r="AI41" i="12"/>
  <c r="AI42" i="12"/>
  <c r="AI43" i="12"/>
  <c r="AI44" i="12"/>
  <c r="AI45" i="12"/>
  <c r="AI46" i="12"/>
  <c r="AI47" i="12"/>
  <c r="AI48" i="12"/>
  <c r="AI49" i="12"/>
  <c r="AI50" i="12"/>
  <c r="AI51" i="12"/>
  <c r="AI52" i="12"/>
  <c r="AI53" i="12"/>
  <c r="AI54" i="12"/>
  <c r="AI55" i="12"/>
  <c r="AI56" i="12"/>
  <c r="AI57" i="12"/>
  <c r="AI58" i="12"/>
  <c r="AI59" i="12"/>
  <c r="AI60" i="12"/>
  <c r="AI61" i="12"/>
  <c r="AI62" i="12"/>
  <c r="AI63" i="12"/>
  <c r="AI64" i="12"/>
  <c r="AI65" i="12"/>
  <c r="AI66" i="12"/>
  <c r="AI67" i="12"/>
  <c r="AI68" i="12"/>
  <c r="AI69" i="12"/>
  <c r="AI70" i="12"/>
  <c r="AI71" i="12"/>
  <c r="AI72" i="12"/>
  <c r="AI73" i="12"/>
  <c r="AI74" i="12"/>
  <c r="AI75" i="12"/>
  <c r="AI76" i="12"/>
  <c r="AI77" i="12"/>
  <c r="AI78" i="12"/>
  <c r="AI79" i="12"/>
  <c r="AI80" i="12"/>
  <c r="AI81" i="12"/>
  <c r="AI82" i="12"/>
  <c r="AI83" i="12"/>
  <c r="AI84" i="12"/>
  <c r="AI85" i="12"/>
  <c r="AI86" i="12"/>
  <c r="AI87" i="12"/>
  <c r="AI88" i="12"/>
  <c r="AI89" i="12"/>
  <c r="AI90" i="12"/>
  <c r="AI91" i="12"/>
  <c r="AI92" i="12"/>
  <c r="AI93" i="12"/>
  <c r="AI94" i="12"/>
  <c r="AI95" i="12"/>
  <c r="AI96" i="12"/>
  <c r="AI97" i="12"/>
  <c r="AI98" i="12"/>
  <c r="AI99" i="12"/>
  <c r="AI100" i="12"/>
  <c r="AI101" i="12"/>
  <c r="AI102" i="12"/>
  <c r="AI103" i="12"/>
  <c r="AI104" i="12"/>
  <c r="AI105" i="12"/>
  <c r="AI106" i="12"/>
  <c r="AI107" i="12"/>
  <c r="AI108" i="12"/>
  <c r="AI109" i="12"/>
  <c r="AI110" i="12"/>
  <c r="AI111" i="12"/>
  <c r="AI112" i="12"/>
  <c r="AI113" i="12"/>
  <c r="AI114" i="12"/>
  <c r="AI115" i="12"/>
  <c r="AI116" i="12"/>
  <c r="AI117" i="12"/>
  <c r="AI118" i="12"/>
  <c r="AI119" i="12"/>
  <c r="AI120" i="12"/>
  <c r="AI121" i="12"/>
  <c r="AI122" i="12"/>
  <c r="AI123" i="12"/>
  <c r="AI124" i="12"/>
  <c r="AI125" i="12"/>
  <c r="AI126" i="12"/>
  <c r="AI127" i="12"/>
  <c r="AI128" i="12"/>
  <c r="AI129" i="12"/>
  <c r="AI130" i="12"/>
  <c r="AI131" i="12"/>
  <c r="AI132" i="12"/>
  <c r="AI133" i="12"/>
  <c r="AI134" i="12"/>
  <c r="AI135" i="12"/>
  <c r="AI136" i="12"/>
  <c r="AI137" i="12"/>
  <c r="AI138" i="12"/>
  <c r="AI139" i="12"/>
  <c r="AI140" i="12"/>
  <c r="AI141" i="12"/>
  <c r="AI142" i="12"/>
  <c r="AI143" i="12"/>
  <c r="AI144" i="12"/>
  <c r="AI145" i="12"/>
  <c r="AI146" i="12"/>
  <c r="AI147" i="12"/>
  <c r="AI148" i="12"/>
  <c r="AI149" i="12"/>
  <c r="AI150" i="12"/>
  <c r="AI151" i="12"/>
  <c r="AI152" i="12"/>
  <c r="AI153" i="12"/>
  <c r="AI154" i="12"/>
  <c r="AI155" i="12"/>
  <c r="AI156" i="12"/>
  <c r="AI157" i="12"/>
  <c r="AI158" i="12"/>
  <c r="AI159" i="12"/>
  <c r="AI160" i="12"/>
  <c r="AI161" i="12"/>
  <c r="AI162" i="12"/>
  <c r="AI163" i="12"/>
  <c r="AI164" i="12"/>
  <c r="AI165" i="12"/>
  <c r="AI166" i="12"/>
  <c r="AI167" i="12"/>
  <c r="AI168" i="12"/>
  <c r="AI169" i="12"/>
  <c r="AI170" i="12"/>
  <c r="AI171" i="12"/>
  <c r="AI172" i="12"/>
  <c r="AI173" i="12"/>
  <c r="AI174" i="12"/>
  <c r="AI175" i="12"/>
  <c r="AI176" i="12"/>
  <c r="AI177" i="12"/>
  <c r="AI178" i="12"/>
  <c r="AI179" i="12"/>
  <c r="AI180" i="12"/>
  <c r="AI181" i="12"/>
  <c r="AI182" i="12"/>
  <c r="AI183" i="12"/>
  <c r="AI184" i="12"/>
  <c r="AI185" i="12"/>
  <c r="AI186" i="12"/>
  <c r="AI187" i="12"/>
  <c r="AI188" i="12"/>
  <c r="AI189" i="12"/>
  <c r="AI190" i="12"/>
  <c r="AI191" i="12"/>
  <c r="AI192" i="12"/>
  <c r="AI193" i="12"/>
  <c r="AI194" i="12"/>
  <c r="AI195" i="12"/>
  <c r="AI196" i="12"/>
  <c r="AI197" i="12"/>
  <c r="AI198" i="12"/>
  <c r="AI199" i="12"/>
  <c r="AI200" i="12"/>
  <c r="AI201" i="12"/>
  <c r="AI202" i="12"/>
  <c r="AI203" i="12"/>
  <c r="AI204" i="12"/>
  <c r="AI205" i="12"/>
  <c r="AI206" i="12"/>
  <c r="AI207" i="12"/>
  <c r="AI208" i="12"/>
  <c r="AI209" i="12"/>
  <c r="AI210" i="12"/>
  <c r="AI211" i="12"/>
  <c r="AI212" i="12"/>
  <c r="AI213" i="12"/>
  <c r="AI214" i="12"/>
  <c r="AI215" i="12"/>
  <c r="AI216" i="12"/>
  <c r="AI217" i="12"/>
  <c r="AI218" i="12"/>
  <c r="AI219" i="12"/>
  <c r="AI220" i="12"/>
  <c r="AI221" i="12"/>
  <c r="AI222" i="12"/>
  <c r="AI223" i="12"/>
  <c r="AI224" i="12"/>
  <c r="AI225" i="12"/>
  <c r="AI226" i="12"/>
  <c r="AI227" i="12"/>
  <c r="AI228" i="12"/>
  <c r="AI229" i="12"/>
  <c r="AI230" i="12"/>
  <c r="AI231" i="12"/>
  <c r="AI232" i="12"/>
  <c r="AI233" i="12"/>
  <c r="AI234" i="12"/>
  <c r="AI235" i="12"/>
  <c r="AI236" i="12"/>
  <c r="AI237" i="12"/>
  <c r="AI238" i="12"/>
  <c r="AI239" i="12"/>
  <c r="AI240" i="12"/>
  <c r="AI241" i="12"/>
  <c r="AI242" i="12"/>
  <c r="AI243" i="12"/>
  <c r="AI244" i="12"/>
  <c r="AI245" i="12"/>
  <c r="AI246" i="12"/>
  <c r="AI247" i="12"/>
  <c r="AI248" i="12"/>
  <c r="AI249" i="12"/>
  <c r="AI250" i="12"/>
  <c r="AI251" i="12"/>
  <c r="AI252" i="12"/>
  <c r="AI253" i="12"/>
  <c r="AI254" i="12"/>
  <c r="AI255" i="12"/>
  <c r="AI256" i="12"/>
  <c r="AI257" i="12"/>
  <c r="AI258" i="12"/>
  <c r="AI259" i="12"/>
  <c r="AI260" i="12"/>
  <c r="AI261" i="12"/>
  <c r="AI262" i="12"/>
  <c r="AI263" i="12"/>
  <c r="AI264" i="12"/>
  <c r="AI265" i="12"/>
  <c r="AI266" i="12"/>
  <c r="AI267" i="12"/>
  <c r="AI268" i="12"/>
  <c r="AI269" i="12"/>
  <c r="AI270" i="12"/>
  <c r="AI271" i="12"/>
  <c r="AI272" i="12"/>
  <c r="AI273" i="12"/>
  <c r="AI274" i="12"/>
  <c r="AI275" i="12"/>
  <c r="AI276" i="12"/>
  <c r="AI277" i="12"/>
  <c r="AI278" i="12"/>
  <c r="AI279" i="12"/>
  <c r="AI280" i="12"/>
  <c r="AI281" i="12"/>
  <c r="AI282" i="12"/>
  <c r="AI283" i="12"/>
  <c r="AI284" i="12"/>
  <c r="AI285" i="12"/>
  <c r="AI286" i="12"/>
  <c r="AI287" i="12"/>
  <c r="AI288" i="12"/>
  <c r="AI289" i="12"/>
  <c r="AI290" i="12"/>
  <c r="AI291" i="12"/>
  <c r="AI292" i="12"/>
  <c r="AI293" i="12"/>
  <c r="AI294" i="12"/>
  <c r="AI295" i="12"/>
  <c r="AI296" i="12"/>
  <c r="AI297" i="12"/>
  <c r="AI298" i="12"/>
  <c r="AI299" i="12"/>
  <c r="AI300" i="12"/>
  <c r="AI301" i="12"/>
  <c r="AI302" i="12"/>
  <c r="AI303" i="12"/>
  <c r="AI304" i="12"/>
  <c r="AI305" i="12"/>
  <c r="AI306" i="12"/>
  <c r="AI307" i="12"/>
  <c r="AI308" i="12"/>
  <c r="AI309" i="12"/>
  <c r="AI310" i="12"/>
  <c r="AI311" i="12"/>
  <c r="AI312" i="12"/>
  <c r="AI313" i="12"/>
  <c r="AI314" i="12"/>
  <c r="AI315" i="12"/>
  <c r="AI316" i="12"/>
  <c r="AI317" i="12"/>
  <c r="AI318" i="12"/>
  <c r="AI319" i="12"/>
  <c r="AI320" i="12"/>
  <c r="AI321" i="12"/>
  <c r="AI322" i="12"/>
  <c r="AI323" i="12"/>
  <c r="AI324" i="12"/>
  <c r="AI325" i="12"/>
  <c r="AI326" i="12"/>
  <c r="AI327" i="12"/>
  <c r="AI328" i="12"/>
  <c r="AI329" i="12"/>
  <c r="AI330" i="12"/>
  <c r="AI331" i="12"/>
  <c r="AI332" i="12"/>
  <c r="AI333" i="12"/>
  <c r="AI334" i="12"/>
  <c r="AI335" i="12"/>
  <c r="AI336" i="12"/>
  <c r="AI337" i="12"/>
  <c r="AI338" i="12"/>
  <c r="AI339" i="12"/>
  <c r="AI340" i="12"/>
  <c r="AI341" i="12"/>
  <c r="AI342" i="12"/>
  <c r="AI343" i="12"/>
  <c r="AI344" i="12"/>
  <c r="AI345" i="12"/>
  <c r="AI346" i="12"/>
  <c r="AI347" i="12"/>
  <c r="AI348" i="12"/>
  <c r="AI349" i="12"/>
  <c r="AI350" i="12"/>
  <c r="AI351" i="12"/>
  <c r="AI352" i="12"/>
  <c r="AI353" i="12"/>
  <c r="AI354" i="12"/>
  <c r="AI355" i="12"/>
  <c r="AI356" i="12"/>
  <c r="AI357" i="12"/>
  <c r="AI358" i="12"/>
  <c r="AI359" i="12"/>
  <c r="AI360" i="12"/>
  <c r="AI361" i="12"/>
  <c r="AI362" i="12"/>
  <c r="AI363" i="12"/>
  <c r="AI364" i="12"/>
  <c r="AI365" i="12"/>
  <c r="AI366" i="12"/>
  <c r="AI367" i="12"/>
  <c r="AI368" i="12"/>
  <c r="AI369" i="12"/>
  <c r="AI370" i="12"/>
  <c r="AI371" i="12"/>
  <c r="AI372" i="12"/>
  <c r="AI373" i="12"/>
  <c r="AI374" i="12"/>
  <c r="AI375" i="12"/>
  <c r="AI376" i="12"/>
  <c r="AI377" i="12"/>
  <c r="AI378" i="12"/>
  <c r="AI379" i="12"/>
  <c r="AI380" i="12"/>
  <c r="AI381" i="12"/>
  <c r="AI382" i="12"/>
  <c r="AI383" i="12"/>
  <c r="AI384" i="12"/>
  <c r="AI385" i="12"/>
  <c r="AI386" i="12"/>
  <c r="AI387" i="12"/>
  <c r="AI388" i="12"/>
  <c r="AI389" i="12"/>
  <c r="AI390" i="12"/>
  <c r="AI391" i="12"/>
  <c r="AI392" i="12"/>
  <c r="AI393" i="12"/>
  <c r="AI394" i="12"/>
  <c r="AI395" i="12"/>
  <c r="AI396" i="12"/>
  <c r="AI397" i="12"/>
  <c r="AI398" i="12"/>
  <c r="AI399" i="12"/>
  <c r="AI400" i="12"/>
  <c r="AI401" i="12"/>
  <c r="AI402" i="12"/>
  <c r="AI403" i="12"/>
  <c r="AI404" i="12"/>
  <c r="AI405" i="12"/>
  <c r="AI406" i="12"/>
  <c r="AI407" i="12"/>
  <c r="AI408" i="12"/>
  <c r="AI409" i="12"/>
  <c r="AI411" i="12"/>
  <c r="AI2" i="12"/>
  <c r="AH3" i="12"/>
  <c r="AH4" i="12"/>
  <c r="AH5" i="12"/>
  <c r="AH6" i="12"/>
  <c r="AH7" i="12"/>
  <c r="AH8" i="12"/>
  <c r="AH9" i="12"/>
  <c r="AH10" i="12"/>
  <c r="AH11" i="12"/>
  <c r="AH12" i="12"/>
  <c r="AH13" i="12"/>
  <c r="AH14" i="12"/>
  <c r="AH15" i="12"/>
  <c r="AH16" i="12"/>
  <c r="AH17" i="12"/>
  <c r="AH18" i="12"/>
  <c r="AH19" i="12"/>
  <c r="AH20" i="12"/>
  <c r="AH21" i="12"/>
  <c r="AH22" i="12"/>
  <c r="AH23" i="12"/>
  <c r="AH24" i="12"/>
  <c r="AH25" i="12"/>
  <c r="AH26" i="12"/>
  <c r="AH27" i="12"/>
  <c r="AH28" i="12"/>
  <c r="AH29" i="12"/>
  <c r="AH30" i="12"/>
  <c r="AH31" i="12"/>
  <c r="AH32" i="12"/>
  <c r="AH33" i="12"/>
  <c r="AH34" i="12"/>
  <c r="AH35" i="12"/>
  <c r="AH36" i="12"/>
  <c r="AH37" i="12"/>
  <c r="AH38" i="12"/>
  <c r="AH39" i="12"/>
  <c r="AH40" i="12"/>
  <c r="AH41" i="12"/>
  <c r="AH42" i="12"/>
  <c r="AH43" i="12"/>
  <c r="AH44" i="12"/>
  <c r="AH45" i="12"/>
  <c r="AH46" i="12"/>
  <c r="AH47" i="12"/>
  <c r="AH48" i="12"/>
  <c r="AH49" i="12"/>
  <c r="AH50" i="12"/>
  <c r="AH51" i="12"/>
  <c r="AH52" i="12"/>
  <c r="AH53" i="12"/>
  <c r="AH54" i="12"/>
  <c r="AH55" i="12"/>
  <c r="AH56" i="12"/>
  <c r="AH57" i="12"/>
  <c r="AH58" i="12"/>
  <c r="AH59" i="12"/>
  <c r="AH60" i="12"/>
  <c r="AH61" i="12"/>
  <c r="AH62" i="12"/>
  <c r="AH63" i="12"/>
  <c r="AH64" i="12"/>
  <c r="AH65" i="12"/>
  <c r="AH66" i="12"/>
  <c r="AH67" i="12"/>
  <c r="AH68" i="12"/>
  <c r="AH69" i="12"/>
  <c r="AH70" i="12"/>
  <c r="AH71" i="12"/>
  <c r="AH72" i="12"/>
  <c r="AH73" i="12"/>
  <c r="AH74" i="12"/>
  <c r="AH75" i="12"/>
  <c r="AH76" i="12"/>
  <c r="AH77" i="12"/>
  <c r="AH78" i="12"/>
  <c r="AH79" i="12"/>
  <c r="AH80" i="12"/>
  <c r="AH81" i="12"/>
  <c r="AH82" i="12"/>
  <c r="AH83" i="12"/>
  <c r="AH84" i="12"/>
  <c r="AH85" i="12"/>
  <c r="AH86" i="12"/>
  <c r="AH87" i="12"/>
  <c r="AH88" i="12"/>
  <c r="AH89" i="12"/>
  <c r="AH90" i="12"/>
  <c r="AH91" i="12"/>
  <c r="AH92" i="12"/>
  <c r="AH93" i="12"/>
  <c r="AH94" i="12"/>
  <c r="AH95" i="12"/>
  <c r="AH96" i="12"/>
  <c r="AH97" i="12"/>
  <c r="AH98" i="12"/>
  <c r="AH99" i="12"/>
  <c r="AH100" i="12"/>
  <c r="AH101" i="12"/>
  <c r="AH102" i="12"/>
  <c r="AH103" i="12"/>
  <c r="AH104" i="12"/>
  <c r="AH105" i="12"/>
  <c r="AH106" i="12"/>
  <c r="AH107" i="12"/>
  <c r="AH108" i="12"/>
  <c r="AH109" i="12"/>
  <c r="AH110" i="12"/>
  <c r="AH111" i="12"/>
  <c r="AH112" i="12"/>
  <c r="AH113" i="12"/>
  <c r="AH114" i="12"/>
  <c r="AH115" i="12"/>
  <c r="AH116" i="12"/>
  <c r="AH117" i="12"/>
  <c r="AH118" i="12"/>
  <c r="AH119" i="12"/>
  <c r="AH120" i="12"/>
  <c r="AH121" i="12"/>
  <c r="AH122" i="12"/>
  <c r="AH123" i="12"/>
  <c r="AH124" i="12"/>
  <c r="AH125" i="12"/>
  <c r="AH126" i="12"/>
  <c r="AH127" i="12"/>
  <c r="AH128" i="12"/>
  <c r="AH129" i="12"/>
  <c r="AH130" i="12"/>
  <c r="AH131" i="12"/>
  <c r="AH132" i="12"/>
  <c r="AH133" i="12"/>
  <c r="AH134" i="12"/>
  <c r="AH135" i="12"/>
  <c r="AH136" i="12"/>
  <c r="AH137" i="12"/>
  <c r="AH138" i="12"/>
  <c r="AH139" i="12"/>
  <c r="AH140" i="12"/>
  <c r="AH141" i="12"/>
  <c r="AH142" i="12"/>
  <c r="AH143" i="12"/>
  <c r="AH144" i="12"/>
  <c r="AH145" i="12"/>
  <c r="AH146" i="12"/>
  <c r="AH147" i="12"/>
  <c r="AH148" i="12"/>
  <c r="AH149" i="12"/>
  <c r="AH150" i="12"/>
  <c r="AH151" i="12"/>
  <c r="AH152" i="12"/>
  <c r="AH153" i="12"/>
  <c r="AH154" i="12"/>
  <c r="AH155" i="12"/>
  <c r="AH156" i="12"/>
  <c r="AH157" i="12"/>
  <c r="AH158" i="12"/>
  <c r="AH159" i="12"/>
  <c r="AH160" i="12"/>
  <c r="AH161" i="12"/>
  <c r="AH162" i="12"/>
  <c r="AH163" i="12"/>
  <c r="AH164" i="12"/>
  <c r="AH165" i="12"/>
  <c r="AH166" i="12"/>
  <c r="AH167" i="12"/>
  <c r="AH168" i="12"/>
  <c r="AH169" i="12"/>
  <c r="AH170" i="12"/>
  <c r="AH171" i="12"/>
  <c r="AH172" i="12"/>
  <c r="AH173" i="12"/>
  <c r="AH174" i="12"/>
  <c r="AH175" i="12"/>
  <c r="AH176" i="12"/>
  <c r="AH177" i="12"/>
  <c r="AH178" i="12"/>
  <c r="AH179" i="12"/>
  <c r="AH180" i="12"/>
  <c r="AH181" i="12"/>
  <c r="AH182" i="12"/>
  <c r="AH183" i="12"/>
  <c r="AH184" i="12"/>
  <c r="AH185" i="12"/>
  <c r="AH186" i="12"/>
  <c r="AH187" i="12"/>
  <c r="AH188" i="12"/>
  <c r="AH189" i="12"/>
  <c r="AH190" i="12"/>
  <c r="AH191" i="12"/>
  <c r="AH192" i="12"/>
  <c r="AH193" i="12"/>
  <c r="AH194" i="12"/>
  <c r="AH195" i="12"/>
  <c r="AH196" i="12"/>
  <c r="AH197" i="12"/>
  <c r="AH198" i="12"/>
  <c r="AH199" i="12"/>
  <c r="AH200" i="12"/>
  <c r="AH201" i="12"/>
  <c r="AH202" i="12"/>
  <c r="AH203" i="12"/>
  <c r="AH204" i="12"/>
  <c r="AH205" i="12"/>
  <c r="AH206" i="12"/>
  <c r="AH207" i="12"/>
  <c r="AH208" i="12"/>
  <c r="AH209" i="12"/>
  <c r="AH210" i="12"/>
  <c r="AH211" i="12"/>
  <c r="AH212" i="12"/>
  <c r="AH213" i="12"/>
  <c r="AH214" i="12"/>
  <c r="AH215" i="12"/>
  <c r="AH216" i="12"/>
  <c r="AH217" i="12"/>
  <c r="AH218" i="12"/>
  <c r="AH219" i="12"/>
  <c r="AH220" i="12"/>
  <c r="AH221" i="12"/>
  <c r="AH222" i="12"/>
  <c r="AH223" i="12"/>
  <c r="AH224" i="12"/>
  <c r="AH225" i="12"/>
  <c r="AH226" i="12"/>
  <c r="AH227" i="12"/>
  <c r="AH228" i="12"/>
  <c r="AH229" i="12"/>
  <c r="AH230" i="12"/>
  <c r="AH231" i="12"/>
  <c r="AH232" i="12"/>
  <c r="AH233" i="12"/>
  <c r="AH234" i="12"/>
  <c r="AH235" i="12"/>
  <c r="AH236" i="12"/>
  <c r="AH237" i="12"/>
  <c r="AH238" i="12"/>
  <c r="AH239" i="12"/>
  <c r="AH240" i="12"/>
  <c r="AH241" i="12"/>
  <c r="AH242" i="12"/>
  <c r="AH243" i="12"/>
  <c r="AH244" i="12"/>
  <c r="AH245" i="12"/>
  <c r="AH246" i="12"/>
  <c r="AH247" i="12"/>
  <c r="AH248" i="12"/>
  <c r="AH249" i="12"/>
  <c r="AH250" i="12"/>
  <c r="AH251" i="12"/>
  <c r="AH252" i="12"/>
  <c r="AH253" i="12"/>
  <c r="AH254" i="12"/>
  <c r="AH255" i="12"/>
  <c r="AH256" i="12"/>
  <c r="AH257" i="12"/>
  <c r="AH258" i="12"/>
  <c r="AH259" i="12"/>
  <c r="AH260" i="12"/>
  <c r="AH261" i="12"/>
  <c r="AH262" i="12"/>
  <c r="AH263" i="12"/>
  <c r="AH264" i="12"/>
  <c r="AH265" i="12"/>
  <c r="AH266" i="12"/>
  <c r="AH267" i="12"/>
  <c r="AH268" i="12"/>
  <c r="AH269" i="12"/>
  <c r="AH270" i="12"/>
  <c r="AH271" i="12"/>
  <c r="AH272" i="12"/>
  <c r="AH273" i="12"/>
  <c r="AH274" i="12"/>
  <c r="AH275" i="12"/>
  <c r="AH276" i="12"/>
  <c r="AH277" i="12"/>
  <c r="AH278" i="12"/>
  <c r="AH279" i="12"/>
  <c r="AH280" i="12"/>
  <c r="AH281" i="12"/>
  <c r="AH282" i="12"/>
  <c r="AH283" i="12"/>
  <c r="AH284" i="12"/>
  <c r="AH285" i="12"/>
  <c r="AH286" i="12"/>
  <c r="AH287" i="12"/>
  <c r="AH288" i="12"/>
  <c r="AH289" i="12"/>
  <c r="AH290" i="12"/>
  <c r="AH291" i="12"/>
  <c r="AH292" i="12"/>
  <c r="AH293" i="12"/>
  <c r="AH294" i="12"/>
  <c r="AH295" i="12"/>
  <c r="AH296" i="12"/>
  <c r="AH297" i="12"/>
  <c r="AH298" i="12"/>
  <c r="AH299" i="12"/>
  <c r="AH300" i="12"/>
  <c r="AH301" i="12"/>
  <c r="AH302" i="12"/>
  <c r="AH303" i="12"/>
  <c r="AH304" i="12"/>
  <c r="AH305" i="12"/>
  <c r="AH306" i="12"/>
  <c r="AH307" i="12"/>
  <c r="AH308" i="12"/>
  <c r="AH309" i="12"/>
  <c r="AH310" i="12"/>
  <c r="AH311" i="12"/>
  <c r="AH312" i="12"/>
  <c r="AH313" i="12"/>
  <c r="AH314" i="12"/>
  <c r="AH315" i="12"/>
  <c r="AH316" i="12"/>
  <c r="AH317" i="12"/>
  <c r="AH318" i="12"/>
  <c r="AH319" i="12"/>
  <c r="AH320" i="12"/>
  <c r="AH321" i="12"/>
  <c r="AH322" i="12"/>
  <c r="AH323" i="12"/>
  <c r="AH324" i="12"/>
  <c r="AH325" i="12"/>
  <c r="AH326" i="12"/>
  <c r="AH327" i="12"/>
  <c r="AH328" i="12"/>
  <c r="AH329" i="12"/>
  <c r="AH330" i="12"/>
  <c r="AH331" i="12"/>
  <c r="AH332" i="12"/>
  <c r="AH333" i="12"/>
  <c r="AH334" i="12"/>
  <c r="AH335" i="12"/>
  <c r="AH336" i="12"/>
  <c r="AH337" i="12"/>
  <c r="AH338" i="12"/>
  <c r="AH339" i="12"/>
  <c r="AH340" i="12"/>
  <c r="AH341" i="12"/>
  <c r="AH342" i="12"/>
  <c r="AH343" i="12"/>
  <c r="AH344" i="12"/>
  <c r="AH345" i="12"/>
  <c r="AH346" i="12"/>
  <c r="AH347" i="12"/>
  <c r="AH348" i="12"/>
  <c r="AH349" i="12"/>
  <c r="AH350" i="12"/>
  <c r="AH351" i="12"/>
  <c r="AH352" i="12"/>
  <c r="AH353" i="12"/>
  <c r="AH354" i="12"/>
  <c r="AH355" i="12"/>
  <c r="AH356" i="12"/>
  <c r="AH357" i="12"/>
  <c r="AH358" i="12"/>
  <c r="AH359" i="12"/>
  <c r="AH360" i="12"/>
  <c r="AH361" i="12"/>
  <c r="AH362" i="12"/>
  <c r="AH363" i="12"/>
  <c r="AH364" i="12"/>
  <c r="AH365" i="12"/>
  <c r="AH366" i="12"/>
  <c r="AH367" i="12"/>
  <c r="AH368" i="12"/>
  <c r="AH369" i="12"/>
  <c r="AH370" i="12"/>
  <c r="AH371" i="12"/>
  <c r="AH372" i="12"/>
  <c r="AH373" i="12"/>
  <c r="AH374" i="12"/>
  <c r="AH375" i="12"/>
  <c r="AH376" i="12"/>
  <c r="AH377" i="12"/>
  <c r="AH378" i="12"/>
  <c r="AH379" i="12"/>
  <c r="AH380" i="12"/>
  <c r="AH381" i="12"/>
  <c r="AH382" i="12"/>
  <c r="AH383" i="12"/>
  <c r="AH384" i="12"/>
  <c r="AH385" i="12"/>
  <c r="AH386" i="12"/>
  <c r="AH387" i="12"/>
  <c r="AH388" i="12"/>
  <c r="AH389" i="12"/>
  <c r="AH390" i="12"/>
  <c r="AH391" i="12"/>
  <c r="AH392" i="12"/>
  <c r="AH393" i="12"/>
  <c r="AH394" i="12"/>
  <c r="AH395" i="12"/>
  <c r="AH396" i="12"/>
  <c r="AH397" i="12"/>
  <c r="AH398" i="12"/>
  <c r="AH399" i="12"/>
  <c r="AH400" i="12"/>
  <c r="AH401" i="12"/>
  <c r="AH402" i="12"/>
  <c r="AH403" i="12"/>
  <c r="AH404" i="12"/>
  <c r="AH405" i="12"/>
  <c r="AH406" i="12"/>
  <c r="AH407" i="12"/>
  <c r="AH408" i="12"/>
  <c r="AH409" i="12"/>
  <c r="AH411" i="12"/>
  <c r="AH412" i="12"/>
  <c r="AH413" i="12"/>
  <c r="AH414" i="12"/>
  <c r="AH415" i="12"/>
  <c r="AH417" i="12"/>
  <c r="AH418" i="12"/>
  <c r="AH420" i="12"/>
  <c r="AH421" i="12"/>
  <c r="AH422" i="12"/>
  <c r="AH423" i="12"/>
  <c r="AH428" i="12"/>
  <c r="AH429" i="12"/>
  <c r="AH430" i="12"/>
  <c r="AH433" i="12"/>
  <c r="AH435" i="12"/>
  <c r="AH439" i="12"/>
  <c r="AH440" i="12"/>
  <c r="AH441" i="12"/>
  <c r="AH442" i="12"/>
  <c r="AH443" i="12"/>
  <c r="AH444" i="12"/>
  <c r="AH445" i="12"/>
  <c r="AH446" i="12"/>
  <c r="AH447" i="12"/>
  <c r="AH448" i="12"/>
  <c r="AH449" i="12"/>
  <c r="AH450" i="12"/>
  <c r="AH451" i="12"/>
  <c r="AH452" i="12"/>
  <c r="AH453" i="12"/>
  <c r="AH454" i="12"/>
  <c r="AH455" i="12"/>
  <c r="AH456" i="12"/>
  <c r="AH457" i="12"/>
  <c r="AH458" i="12"/>
  <c r="AH459" i="12"/>
  <c r="AH460" i="12"/>
  <c r="AH461" i="12"/>
  <c r="AH462" i="12"/>
  <c r="AH463" i="12"/>
  <c r="AH464" i="12"/>
  <c r="AH465" i="12"/>
  <c r="AH466" i="12"/>
  <c r="AH467" i="12"/>
  <c r="AH468" i="12"/>
  <c r="AH469" i="12"/>
  <c r="AH470" i="12"/>
  <c r="AH471" i="12"/>
  <c r="AH472" i="12"/>
  <c r="AH473" i="12"/>
  <c r="AH474" i="12"/>
  <c r="AH475" i="12"/>
  <c r="AH476" i="12"/>
  <c r="AH477" i="12"/>
  <c r="AH478" i="12"/>
  <c r="AH479" i="12"/>
  <c r="AH480" i="12"/>
  <c r="AH481" i="12"/>
  <c r="AH482" i="12"/>
  <c r="AH483" i="12"/>
  <c r="AH484" i="12"/>
  <c r="AH485" i="12"/>
  <c r="AH486" i="12"/>
  <c r="AH487" i="12"/>
  <c r="AH488" i="12"/>
  <c r="AH489" i="12"/>
  <c r="AH490" i="12"/>
  <c r="AH491" i="12"/>
  <c r="AH492" i="12"/>
  <c r="AH493" i="12"/>
  <c r="AH494" i="12"/>
  <c r="AH495" i="12"/>
  <c r="AH496" i="12"/>
  <c r="AH497" i="12"/>
  <c r="AH498" i="12"/>
  <c r="AH499" i="12"/>
  <c r="AH500" i="12"/>
  <c r="AH501" i="12"/>
  <c r="AH502" i="12"/>
  <c r="AH503" i="12"/>
  <c r="AH504" i="12"/>
  <c r="AH505" i="12"/>
  <c r="AH506" i="12"/>
  <c r="AH507" i="12"/>
  <c r="AH508" i="12"/>
  <c r="AH509" i="12"/>
  <c r="AH510" i="12"/>
  <c r="AH511" i="12"/>
  <c r="AH512" i="12"/>
  <c r="AH513" i="12"/>
  <c r="AH514" i="12"/>
  <c r="AH515" i="12"/>
  <c r="AH516" i="12"/>
  <c r="AH517" i="12"/>
  <c r="AH518" i="12"/>
  <c r="AH519" i="12"/>
  <c r="AH520" i="12"/>
  <c r="AH521" i="12"/>
  <c r="AH522" i="12"/>
  <c r="AH523" i="12"/>
  <c r="AH524" i="12"/>
  <c r="AH525" i="12"/>
  <c r="AH526" i="12"/>
  <c r="AH527" i="12"/>
  <c r="AH528" i="12"/>
  <c r="AH529" i="12"/>
  <c r="AH530" i="12"/>
  <c r="AH531" i="12"/>
  <c r="AH532" i="12"/>
  <c r="AH533" i="12"/>
  <c r="AH534" i="12"/>
  <c r="AH535" i="12"/>
  <c r="AH536" i="12"/>
  <c r="AH537" i="12"/>
  <c r="AH538" i="12"/>
  <c r="AH539" i="12"/>
  <c r="AH540" i="12"/>
  <c r="AH541" i="12"/>
  <c r="AH542" i="12"/>
  <c r="AH543" i="12"/>
  <c r="AH544" i="12"/>
  <c r="AH545" i="12"/>
  <c r="AH546" i="12"/>
  <c r="AH547" i="12"/>
  <c r="AH548" i="12"/>
  <c r="AH549" i="12"/>
  <c r="AH550" i="12"/>
  <c r="AH551" i="12"/>
  <c r="AH552" i="12"/>
  <c r="AH553" i="12"/>
  <c r="AH554" i="12"/>
  <c r="AH555" i="12"/>
  <c r="AH556" i="12"/>
  <c r="AH557" i="12"/>
  <c r="AH558" i="12"/>
  <c r="AH559" i="12"/>
  <c r="AH560" i="12"/>
  <c r="AH561" i="12"/>
  <c r="AH562" i="12"/>
  <c r="AH563" i="12"/>
  <c r="AH564" i="12"/>
  <c r="AH565" i="12"/>
  <c r="AH566" i="12"/>
  <c r="AH567" i="12"/>
  <c r="AH568" i="12"/>
  <c r="AH569" i="12"/>
  <c r="AH570" i="12"/>
  <c r="AH571" i="12"/>
  <c r="AH572" i="12"/>
  <c r="AH573" i="12"/>
  <c r="AH574" i="12"/>
  <c r="AH575" i="12"/>
  <c r="AH576" i="12"/>
  <c r="AH577" i="12"/>
  <c r="AH578" i="12"/>
  <c r="AH579" i="12"/>
  <c r="AH580" i="12"/>
  <c r="AH581" i="12"/>
  <c r="AH582" i="12"/>
  <c r="AH583" i="12"/>
  <c r="AH584" i="12"/>
  <c r="AH585" i="12"/>
  <c r="AH586" i="12"/>
  <c r="AH587" i="12"/>
  <c r="AH588" i="12"/>
  <c r="AH589" i="12"/>
  <c r="AH590" i="12"/>
  <c r="AH591" i="12"/>
  <c r="AH592" i="12"/>
  <c r="AH593" i="12"/>
  <c r="AH594" i="12"/>
  <c r="AH595" i="12"/>
  <c r="AH596" i="12"/>
  <c r="AH597" i="12"/>
  <c r="AH598" i="12"/>
  <c r="AH599" i="12"/>
  <c r="AH600" i="12"/>
  <c r="AH601" i="12"/>
  <c r="AH602" i="12"/>
  <c r="AH603" i="12"/>
  <c r="AH604" i="12"/>
  <c r="AH605" i="12"/>
  <c r="AH606" i="12"/>
  <c r="AH607" i="12"/>
  <c r="AH608" i="12"/>
  <c r="AH609" i="12"/>
  <c r="AH610" i="12"/>
  <c r="AH611" i="12"/>
  <c r="AH612" i="12"/>
  <c r="AH613" i="12"/>
  <c r="AH614" i="12"/>
  <c r="AH615" i="12"/>
  <c r="AH616" i="12"/>
  <c r="AH617" i="12"/>
  <c r="AH618" i="12"/>
  <c r="AH619" i="12"/>
  <c r="AH620" i="12"/>
  <c r="AH621" i="12"/>
  <c r="AH622" i="12"/>
  <c r="AH623" i="12"/>
  <c r="AH624" i="12"/>
  <c r="AH625" i="12"/>
  <c r="AH626" i="12"/>
  <c r="AH627" i="12"/>
  <c r="AH628" i="12"/>
  <c r="AH629" i="12"/>
  <c r="AH630" i="12"/>
  <c r="AH631" i="12"/>
  <c r="AH632" i="12"/>
  <c r="AH633" i="12"/>
  <c r="AH634" i="12"/>
  <c r="AH635" i="12"/>
  <c r="AH636" i="12"/>
  <c r="AH637" i="12"/>
  <c r="AH638" i="12"/>
  <c r="AH639" i="12"/>
  <c r="AH640" i="12"/>
  <c r="AH641" i="12"/>
  <c r="AH642" i="12"/>
  <c r="AH643" i="12"/>
  <c r="AH644" i="12"/>
  <c r="AH645" i="12"/>
  <c r="AH646" i="12"/>
  <c r="AH647" i="12"/>
  <c r="AH648" i="12"/>
  <c r="AH649" i="12"/>
  <c r="AH650" i="12"/>
  <c r="AH651" i="12"/>
  <c r="AH652" i="12"/>
  <c r="AH653" i="12"/>
  <c r="AH654" i="12"/>
  <c r="AH655" i="12"/>
  <c r="AH656" i="12"/>
  <c r="AH657" i="12"/>
  <c r="AH658" i="12"/>
  <c r="AH659" i="12"/>
  <c r="AH660" i="12"/>
  <c r="AH661" i="12"/>
  <c r="AH662" i="12"/>
  <c r="AH663" i="12"/>
  <c r="AH664" i="12"/>
  <c r="AH665" i="12"/>
  <c r="AH666" i="12"/>
  <c r="AH667" i="12"/>
  <c r="AH668" i="12"/>
  <c r="AH669" i="12"/>
  <c r="AH670" i="12"/>
  <c r="AH671" i="12"/>
  <c r="AH672" i="12"/>
  <c r="AH673" i="12"/>
  <c r="AH674" i="12"/>
  <c r="AH675" i="12"/>
  <c r="AH676" i="12"/>
  <c r="AH677" i="12"/>
  <c r="AH678" i="12"/>
  <c r="AH679" i="12"/>
  <c r="AH680" i="12"/>
  <c r="AH681" i="12"/>
  <c r="AH682" i="12"/>
  <c r="AH683" i="12"/>
  <c r="AH684" i="12"/>
  <c r="AH685" i="12"/>
  <c r="AH686" i="12"/>
  <c r="AH687" i="12"/>
  <c r="AH688" i="12"/>
  <c r="AH689" i="12"/>
  <c r="AH690" i="12"/>
  <c r="AH691" i="12"/>
  <c r="AH692" i="12"/>
  <c r="AH693" i="12"/>
  <c r="AH694" i="12"/>
  <c r="AH695" i="12"/>
  <c r="AH696" i="12"/>
  <c r="AH697" i="12"/>
  <c r="AH698" i="12"/>
  <c r="AH699" i="12"/>
  <c r="AH700" i="12"/>
  <c r="AH701" i="12"/>
  <c r="AH702" i="12"/>
  <c r="AH703" i="12"/>
  <c r="AH704" i="12"/>
  <c r="AH705" i="12"/>
  <c r="AH706" i="12"/>
  <c r="AH707" i="12"/>
  <c r="AH708" i="12"/>
  <c r="AH709" i="12"/>
  <c r="AH710" i="12"/>
  <c r="AH711" i="12"/>
  <c r="AH712" i="12"/>
  <c r="AH713" i="12"/>
  <c r="AH714" i="12"/>
  <c r="AH715" i="12"/>
  <c r="AH716" i="12"/>
  <c r="AH717" i="12"/>
  <c r="AH718" i="12"/>
  <c r="AH719" i="12"/>
  <c r="AH720" i="12"/>
  <c r="AH721" i="12"/>
  <c r="AH722" i="12"/>
  <c r="AH723" i="12"/>
  <c r="AH724" i="12"/>
  <c r="AH725" i="12"/>
  <c r="AH726" i="12"/>
  <c r="AH727" i="12"/>
  <c r="AH728" i="12"/>
  <c r="AH729" i="12"/>
  <c r="AH730" i="12"/>
  <c r="AH731" i="12"/>
  <c r="AH732" i="12"/>
  <c r="AH733" i="12"/>
  <c r="AH734" i="12"/>
  <c r="AH735" i="12"/>
  <c r="AH736" i="12"/>
  <c r="AH737" i="12"/>
  <c r="AH738" i="12"/>
  <c r="AH739" i="12"/>
  <c r="AH740" i="12"/>
  <c r="AH741" i="12"/>
  <c r="AH742" i="12"/>
  <c r="AH743" i="12"/>
  <c r="AH744" i="12"/>
  <c r="AH745" i="12"/>
  <c r="AH746" i="12"/>
  <c r="AH747" i="12"/>
  <c r="AH748" i="12"/>
  <c r="AH749" i="12"/>
  <c r="AH750" i="12"/>
  <c r="AH751" i="12"/>
  <c r="AH752" i="12"/>
  <c r="AH753" i="12"/>
  <c r="AH754" i="12"/>
  <c r="AH755" i="12"/>
  <c r="AH756" i="12"/>
  <c r="AH757" i="12"/>
  <c r="AH758" i="12"/>
  <c r="AH759" i="12"/>
  <c r="AH760" i="12"/>
  <c r="AH761" i="12"/>
  <c r="AH762" i="12"/>
  <c r="AH763" i="12"/>
  <c r="AH764" i="12"/>
  <c r="AH765" i="12"/>
  <c r="AH766" i="12"/>
  <c r="AH767" i="12"/>
  <c r="AH768" i="12"/>
  <c r="AH769" i="12"/>
  <c r="AH770" i="12"/>
  <c r="AH771" i="12"/>
  <c r="AH772" i="12"/>
  <c r="AH773" i="12"/>
  <c r="AH774" i="12"/>
  <c r="AH775" i="12"/>
  <c r="AH776" i="12"/>
  <c r="AH777" i="12"/>
  <c r="AH778" i="12"/>
  <c r="AH779" i="12"/>
  <c r="AH780" i="12"/>
  <c r="AH781" i="12"/>
  <c r="AH782" i="12"/>
  <c r="AH783" i="12"/>
  <c r="AH784" i="12"/>
  <c r="AH785" i="12"/>
  <c r="AH786" i="12"/>
  <c r="AH787" i="12"/>
  <c r="AH788" i="12"/>
  <c r="AH789" i="12"/>
  <c r="AH790" i="12"/>
  <c r="AH791" i="12"/>
  <c r="AH792" i="12"/>
  <c r="AH793" i="12"/>
  <c r="AH794" i="12"/>
  <c r="AH795" i="12"/>
  <c r="AH796" i="12"/>
  <c r="AH797" i="12"/>
  <c r="AH798" i="12"/>
  <c r="AH799" i="12"/>
  <c r="AH800" i="12"/>
  <c r="AH801" i="12"/>
  <c r="AH802" i="12"/>
  <c r="AH803" i="12"/>
  <c r="AH804" i="12"/>
  <c r="AH805" i="12"/>
  <c r="AH806" i="12"/>
  <c r="AH807" i="12"/>
  <c r="AH808" i="12"/>
  <c r="AH809" i="12"/>
  <c r="AH810" i="12"/>
  <c r="AH811" i="12"/>
  <c r="AH812" i="12"/>
  <c r="AH813" i="12"/>
  <c r="AH814" i="12"/>
  <c r="AH815" i="12"/>
  <c r="AH816" i="12"/>
  <c r="AH817" i="12"/>
  <c r="AH818" i="12"/>
  <c r="AH819" i="12"/>
  <c r="AH820" i="12"/>
  <c r="AH821" i="12"/>
  <c r="AH822" i="12"/>
  <c r="AH823" i="12"/>
  <c r="AH824" i="12"/>
  <c r="AH825" i="12"/>
  <c r="AH826" i="12"/>
  <c r="AH827" i="12"/>
  <c r="AH828" i="12"/>
  <c r="AH829" i="12"/>
  <c r="AH830" i="12"/>
  <c r="AH831" i="12"/>
  <c r="AH832" i="12"/>
  <c r="AH833" i="12"/>
  <c r="AH834" i="12"/>
  <c r="AH835" i="12"/>
  <c r="AH836" i="12"/>
  <c r="AH837" i="12"/>
  <c r="AH838" i="12"/>
  <c r="AH839" i="12"/>
  <c r="AH840" i="12"/>
  <c r="AH841" i="12"/>
  <c r="AH842" i="12"/>
  <c r="AH843" i="12"/>
  <c r="AH844" i="12"/>
  <c r="AH845" i="12"/>
  <c r="AH846" i="12"/>
  <c r="AH847" i="12"/>
  <c r="AH848" i="12"/>
  <c r="AH849" i="12"/>
  <c r="AH850" i="12"/>
  <c r="AH851" i="12"/>
  <c r="AH852" i="12"/>
  <c r="AH853" i="12"/>
  <c r="AH854" i="12"/>
  <c r="AH855" i="12"/>
  <c r="AH856" i="12"/>
  <c r="AH857" i="12"/>
  <c r="AH858" i="12"/>
  <c r="AH859" i="12"/>
  <c r="AH860" i="12"/>
  <c r="AH861" i="12"/>
  <c r="AH862" i="12"/>
  <c r="AH863" i="12"/>
  <c r="AH864" i="12"/>
  <c r="AH865" i="12"/>
  <c r="AH866" i="12"/>
  <c r="AH867" i="12"/>
  <c r="AH868" i="12"/>
  <c r="AH869" i="12"/>
  <c r="AH870" i="12"/>
  <c r="AH871" i="12"/>
  <c r="AH872" i="12"/>
  <c r="AH873" i="12"/>
  <c r="AH874" i="12"/>
  <c r="AH875" i="12"/>
  <c r="AH876" i="12"/>
  <c r="AH877" i="12"/>
  <c r="AH878" i="12"/>
  <c r="AH879" i="12"/>
  <c r="AH880" i="12"/>
  <c r="AH881" i="12"/>
  <c r="AH882" i="12"/>
  <c r="AH883" i="12"/>
  <c r="AH884" i="12"/>
  <c r="AH885" i="12"/>
  <c r="AH886" i="12"/>
  <c r="AH887" i="12"/>
  <c r="AH888" i="12"/>
  <c r="AH889" i="12"/>
  <c r="AH890" i="12"/>
  <c r="AH891" i="12"/>
  <c r="AH892" i="12"/>
  <c r="AH893" i="12"/>
  <c r="AH894" i="12"/>
  <c r="AH895" i="12"/>
  <c r="AH896" i="12"/>
  <c r="AH897" i="12"/>
  <c r="AH898" i="12"/>
  <c r="AH899" i="12"/>
  <c r="AH900" i="12"/>
  <c r="AH901" i="12"/>
  <c r="AH902" i="12"/>
  <c r="AH903" i="12"/>
  <c r="AH904" i="12"/>
  <c r="AH905" i="12"/>
  <c r="AH906" i="12"/>
  <c r="AH907" i="12"/>
  <c r="AH908" i="12"/>
  <c r="AH909" i="12"/>
  <c r="AH910" i="12"/>
  <c r="AH911" i="12"/>
  <c r="AH912" i="12"/>
  <c r="AH913" i="12"/>
  <c r="AH914" i="12"/>
  <c r="AH915" i="12"/>
  <c r="AH916" i="12"/>
  <c r="AH917" i="12"/>
  <c r="AH918" i="12"/>
  <c r="AH919" i="12"/>
  <c r="AH920" i="12"/>
  <c r="AH921" i="12"/>
  <c r="AH922" i="12"/>
  <c r="AH923" i="12"/>
  <c r="AH924" i="12"/>
  <c r="AH925" i="12"/>
  <c r="AH926" i="12"/>
  <c r="AH927" i="12"/>
  <c r="AH928" i="12"/>
  <c r="AH929" i="12"/>
  <c r="AH930" i="12"/>
  <c r="AH931" i="12"/>
  <c r="AH932" i="12"/>
  <c r="AH933" i="12"/>
  <c r="AH934" i="12"/>
  <c r="AH935" i="12"/>
  <c r="AH936" i="12"/>
  <c r="AH937" i="12"/>
  <c r="AH938" i="12"/>
  <c r="AH939" i="12"/>
  <c r="AH940" i="12"/>
  <c r="AH941" i="12"/>
  <c r="AH942" i="12"/>
  <c r="AH943" i="12"/>
  <c r="AH944" i="12"/>
  <c r="AH945" i="12"/>
  <c r="AH946" i="12"/>
  <c r="AH947" i="12"/>
  <c r="AH948" i="12"/>
  <c r="AH949" i="12"/>
  <c r="AH950" i="12"/>
  <c r="AH951" i="12"/>
  <c r="AH952" i="12"/>
  <c r="AH953" i="12"/>
  <c r="AH954" i="12"/>
  <c r="AH955" i="12"/>
  <c r="AH956" i="12"/>
  <c r="AH957" i="12"/>
  <c r="AH958" i="12"/>
  <c r="AH959" i="12"/>
  <c r="AH960" i="12"/>
  <c r="AH961" i="12"/>
  <c r="AH962" i="12"/>
  <c r="AH963" i="12"/>
  <c r="AH964" i="12"/>
  <c r="AH965" i="12"/>
  <c r="AH966" i="12"/>
  <c r="AH967" i="12"/>
  <c r="AH968" i="12"/>
  <c r="AH969" i="12"/>
  <c r="AH970" i="12"/>
  <c r="AH971" i="12"/>
  <c r="AH972" i="12"/>
  <c r="AH973" i="12"/>
  <c r="AH974" i="12"/>
  <c r="AH975" i="12"/>
  <c r="AH976" i="12"/>
  <c r="AH977" i="12"/>
  <c r="AH978" i="12"/>
  <c r="AH979" i="12"/>
  <c r="AH980" i="12"/>
  <c r="AH981" i="12"/>
  <c r="AH982" i="12"/>
  <c r="AH983" i="12"/>
  <c r="AH984" i="12"/>
  <c r="AH985" i="12"/>
  <c r="AH986" i="12"/>
  <c r="AH987" i="12"/>
  <c r="AH988" i="12"/>
  <c r="AH989" i="12"/>
  <c r="AH990" i="12"/>
  <c r="AH991" i="12"/>
  <c r="AH992" i="12"/>
  <c r="AH993" i="12"/>
  <c r="AH994" i="12"/>
  <c r="AH995" i="12"/>
  <c r="AH996" i="12"/>
  <c r="AH997" i="12"/>
  <c r="AH998" i="12"/>
  <c r="AH999" i="12"/>
  <c r="AH1000" i="12"/>
  <c r="AH1001" i="12"/>
  <c r="AH1002" i="12"/>
  <c r="AH1003" i="12"/>
  <c r="AH1004" i="12"/>
  <c r="AH1005" i="12"/>
  <c r="AH1006" i="12"/>
  <c r="AH1007" i="12"/>
  <c r="AH1008" i="12"/>
  <c r="AH1009" i="12"/>
  <c r="AH1010" i="12"/>
  <c r="AH1011" i="12"/>
  <c r="AH1012" i="12"/>
  <c r="AH1013" i="12"/>
  <c r="AH1014" i="12"/>
  <c r="AH1015" i="12"/>
  <c r="AH1016" i="12"/>
  <c r="AH1017" i="12"/>
  <c r="AH1018" i="12"/>
  <c r="AH1019" i="12"/>
  <c r="AH1020" i="12"/>
  <c r="AH1021" i="12"/>
  <c r="AH1022" i="12"/>
  <c r="AH1023" i="12"/>
  <c r="AH1024" i="12"/>
  <c r="AH1025" i="12"/>
  <c r="AH1026" i="12"/>
  <c r="AH1027" i="12"/>
  <c r="AH1028" i="12"/>
  <c r="AH1029" i="12"/>
  <c r="AH1030" i="12"/>
  <c r="AH1031" i="12"/>
  <c r="AH1032" i="12"/>
  <c r="AH1033" i="12"/>
  <c r="AH2" i="12"/>
  <c r="R409" i="12"/>
  <c r="S409" i="12"/>
  <c r="Q409" i="12"/>
  <c r="A409" i="12"/>
  <c r="AF411" i="12"/>
  <c r="AA411" i="12"/>
  <c r="Z411" i="12"/>
  <c r="AJ411" i="12" s="1"/>
  <c r="Y411" i="12"/>
  <c r="S411" i="12"/>
  <c r="R411" i="12"/>
  <c r="Q411" i="12"/>
  <c r="A411" i="12"/>
  <c r="A408" i="12"/>
  <c r="Q408" i="12"/>
  <c r="R408" i="12"/>
  <c r="S408" i="12"/>
  <c r="Y408" i="12"/>
  <c r="AJ408" i="12"/>
  <c r="AA408" i="12"/>
  <c r="AF408" i="12"/>
  <c r="AF407" i="12"/>
  <c r="AA407" i="12"/>
  <c r="Z407" i="12"/>
  <c r="AJ407" i="12" s="1"/>
  <c r="Y407" i="12"/>
  <c r="S407" i="12"/>
  <c r="R407" i="12"/>
  <c r="Q407" i="12"/>
  <c r="A407" i="12"/>
  <c r="AA393" i="12"/>
  <c r="AA394" i="12"/>
  <c r="Y393" i="12"/>
  <c r="Z393" i="12"/>
  <c r="AJ393" i="12" s="1"/>
  <c r="Y394" i="12"/>
  <c r="Z394" i="12"/>
  <c r="AJ394" i="12" s="1"/>
  <c r="AF406" i="12"/>
  <c r="AA406" i="12"/>
  <c r="Z406" i="12"/>
  <c r="AJ406" i="12" s="1"/>
  <c r="Y406" i="12"/>
  <c r="S406" i="12"/>
  <c r="R406" i="12"/>
  <c r="Q406" i="12"/>
  <c r="A406" i="12"/>
  <c r="AF402" i="12"/>
  <c r="AA402" i="12"/>
  <c r="Y402" i="12"/>
  <c r="S402" i="12"/>
  <c r="R402" i="12"/>
  <c r="Q402" i="12"/>
  <c r="A402" i="12"/>
  <c r="A401" i="12"/>
  <c r="Q394" i="12"/>
  <c r="R394" i="12"/>
  <c r="S394" i="12"/>
  <c r="A394" i="12"/>
  <c r="S393" i="12"/>
  <c r="Q393" i="12"/>
  <c r="R393" i="12"/>
  <c r="A393" i="12"/>
  <c r="AA391" i="12"/>
  <c r="AA392" i="12"/>
  <c r="Y391" i="12"/>
  <c r="Z391" i="12"/>
  <c r="AJ391" i="12" s="1"/>
  <c r="Y392" i="12"/>
  <c r="Z392" i="12"/>
  <c r="AJ392" i="12" s="1"/>
  <c r="A392" i="12"/>
  <c r="Q392" i="12"/>
  <c r="R392" i="12"/>
  <c r="S392" i="12"/>
  <c r="A395" i="12"/>
  <c r="Q395" i="12"/>
  <c r="R395" i="12"/>
  <c r="S395" i="12"/>
  <c r="Y395" i="12"/>
  <c r="Z395" i="12"/>
  <c r="AJ395" i="12" s="1"/>
  <c r="AA395" i="12"/>
  <c r="AF395" i="12"/>
  <c r="A396" i="12"/>
  <c r="Q396" i="12"/>
  <c r="R396" i="12"/>
  <c r="S396" i="12"/>
  <c r="Y396" i="12"/>
  <c r="Z396" i="12"/>
  <c r="AJ396" i="12" s="1"/>
  <c r="AA396" i="12"/>
  <c r="AF396" i="12"/>
  <c r="A397" i="12"/>
  <c r="Q397" i="12"/>
  <c r="R397" i="12"/>
  <c r="S397" i="12"/>
  <c r="Y397" i="12"/>
  <c r="Z397" i="12"/>
  <c r="AJ397" i="12" s="1"/>
  <c r="AA397" i="12"/>
  <c r="AF397" i="12"/>
  <c r="A398" i="12"/>
  <c r="Q398" i="12"/>
  <c r="R398" i="12"/>
  <c r="S398" i="12"/>
  <c r="Y398" i="12"/>
  <c r="Z398" i="12"/>
  <c r="AJ398" i="12" s="1"/>
  <c r="AA398" i="12"/>
  <c r="AF398" i="12"/>
  <c r="S391" i="12"/>
  <c r="R391" i="12"/>
  <c r="Q391" i="12"/>
  <c r="A391" i="12"/>
  <c r="A389" i="12"/>
  <c r="A388" i="12"/>
  <c r="A386" i="12"/>
  <c r="AF385" i="12"/>
  <c r="AA385" i="12"/>
  <c r="Z385" i="12"/>
  <c r="AJ385" i="12" s="1"/>
  <c r="Y385" i="12"/>
  <c r="S385" i="12"/>
  <c r="R385" i="12"/>
  <c r="Q385" i="12"/>
  <c r="A385" i="12"/>
  <c r="A384" i="12"/>
  <c r="A382" i="12"/>
  <c r="S379" i="12"/>
  <c r="R379" i="12"/>
  <c r="Q379" i="12"/>
  <c r="A379" i="12"/>
  <c r="A378" i="12"/>
  <c r="Q378" i="12"/>
  <c r="R378" i="12"/>
  <c r="S378" i="12"/>
  <c r="Y378" i="12"/>
  <c r="Z378" i="12"/>
  <c r="AJ378" i="12" s="1"/>
  <c r="AA378" i="12"/>
  <c r="AF378" i="12"/>
  <c r="A377" i="12"/>
  <c r="A373" i="12"/>
  <c r="A372" i="12"/>
  <c r="A370" i="12"/>
  <c r="AF367" i="12"/>
  <c r="AA367" i="12"/>
  <c r="Z367" i="12"/>
  <c r="AJ367" i="12" s="1"/>
  <c r="Y367" i="12"/>
  <c r="S367" i="12"/>
  <c r="R367" i="12"/>
  <c r="Q367" i="12"/>
  <c r="A367" i="12"/>
  <c r="AF366" i="12"/>
  <c r="AA366" i="12"/>
  <c r="Y366" i="12"/>
  <c r="S366" i="12"/>
  <c r="R366" i="12"/>
  <c r="Q366" i="12"/>
  <c r="A366" i="12"/>
  <c r="A365" i="12"/>
  <c r="A364" i="12"/>
  <c r="Q358" i="12"/>
  <c r="R358" i="12"/>
  <c r="S358" i="12"/>
  <c r="A358" i="12"/>
  <c r="AF359" i="12"/>
  <c r="AA359" i="12"/>
  <c r="Z359" i="12"/>
  <c r="AJ359" i="12" s="1"/>
  <c r="Y359" i="12"/>
  <c r="S359" i="12"/>
  <c r="R359" i="12"/>
  <c r="Q359" i="12"/>
  <c r="A359" i="12"/>
  <c r="A357" i="12"/>
  <c r="Q357" i="12"/>
  <c r="R357" i="12"/>
  <c r="S357" i="12"/>
  <c r="Y357" i="12"/>
  <c r="Z357" i="12"/>
  <c r="AJ357" i="12" s="1"/>
  <c r="AA357" i="12"/>
  <c r="AF357" i="12"/>
  <c r="AF356" i="12"/>
  <c r="AA356" i="12"/>
  <c r="Y356" i="12"/>
  <c r="S356" i="12"/>
  <c r="R356" i="12"/>
  <c r="Q356" i="12"/>
  <c r="A356" i="12"/>
  <c r="AF355" i="12"/>
  <c r="AA355" i="12"/>
  <c r="Z355" i="12"/>
  <c r="AJ355" i="12" s="1"/>
  <c r="Y355" i="12"/>
  <c r="S355" i="12"/>
  <c r="R355" i="12"/>
  <c r="Q355" i="12"/>
  <c r="A355" i="12"/>
  <c r="Q346" i="12"/>
  <c r="Q347" i="12"/>
  <c r="Q348" i="12"/>
  <c r="Q349" i="12"/>
  <c r="Q350" i="12"/>
  <c r="Q351" i="12"/>
  <c r="Q352" i="12"/>
  <c r="Q353" i="12"/>
  <c r="Q354" i="12"/>
  <c r="Q360" i="12"/>
  <c r="Q361" i="12"/>
  <c r="Q362" i="12"/>
  <c r="Q363" i="12"/>
  <c r="Q364" i="12"/>
  <c r="Q365" i="12"/>
  <c r="Q368" i="12"/>
  <c r="Q369" i="12"/>
  <c r="Q370" i="12"/>
  <c r="Q371" i="12"/>
  <c r="Q372" i="12"/>
  <c r="Q373" i="12"/>
  <c r="Q374" i="12"/>
  <c r="Q375" i="12"/>
  <c r="Q376" i="12"/>
  <c r="Q377" i="12"/>
  <c r="Q380" i="12"/>
  <c r="Q381" i="12"/>
  <c r="Q382" i="12"/>
  <c r="Q383" i="12"/>
  <c r="Q384" i="12"/>
  <c r="Q386" i="12"/>
  <c r="Q387" i="12"/>
  <c r="Q388" i="12"/>
  <c r="Q389" i="12"/>
  <c r="Q390" i="12"/>
  <c r="Q399" i="12"/>
  <c r="Q400" i="12"/>
  <c r="Q401" i="12"/>
  <c r="Q403" i="12"/>
  <c r="Q404" i="12"/>
  <c r="Q405" i="12"/>
  <c r="Q412" i="12"/>
  <c r="Q413" i="12"/>
  <c r="Q414" i="12"/>
  <c r="Q415" i="12"/>
  <c r="Q417" i="12"/>
  <c r="Q418" i="12"/>
  <c r="Q420" i="12"/>
  <c r="Q421" i="12"/>
  <c r="Q422" i="12"/>
  <c r="Q423" i="12"/>
  <c r="Q428" i="12"/>
  <c r="Q433" i="12"/>
  <c r="Q435" i="12"/>
  <c r="Q439" i="12"/>
  <c r="Q440" i="12"/>
  <c r="Q441" i="12"/>
  <c r="Q587" i="12"/>
  <c r="Q588" i="12"/>
  <c r="Q589" i="12"/>
  <c r="Q590" i="12"/>
  <c r="Q591" i="12"/>
  <c r="Q592" i="12"/>
  <c r="Q593" i="12"/>
  <c r="Q594" i="12"/>
  <c r="Q595" i="12"/>
  <c r="Q596" i="12"/>
  <c r="Q597" i="12"/>
  <c r="Q598" i="12"/>
  <c r="Q599" i="12"/>
  <c r="Q600" i="12"/>
  <c r="Q601" i="12"/>
  <c r="Q602" i="12"/>
  <c r="Q603" i="12"/>
  <c r="Q604" i="12"/>
  <c r="Q605" i="12"/>
  <c r="Q606" i="12"/>
  <c r="Q607" i="12"/>
  <c r="Q608" i="12"/>
  <c r="Q609" i="12"/>
  <c r="Q610" i="12"/>
  <c r="Q611" i="12"/>
  <c r="Q612" i="12"/>
  <c r="Q613" i="12"/>
  <c r="Q614" i="12"/>
  <c r="Q615" i="12"/>
  <c r="Q616" i="12"/>
  <c r="Q617" i="12"/>
  <c r="Q618" i="12"/>
  <c r="Q619" i="12"/>
  <c r="Q620" i="12"/>
  <c r="Q621" i="12"/>
  <c r="Q622" i="12"/>
  <c r="Q623" i="12"/>
  <c r="Q624" i="12"/>
  <c r="Q625" i="12"/>
  <c r="Q626" i="12"/>
  <c r="Q627" i="12"/>
  <c r="Q628" i="12"/>
  <c r="Q629" i="12"/>
  <c r="Q630" i="12"/>
  <c r="Q631" i="12"/>
  <c r="Q632" i="12"/>
  <c r="Q633" i="12"/>
  <c r="Q634" i="12"/>
  <c r="Q635" i="12"/>
  <c r="Q636" i="12"/>
  <c r="Q637" i="12"/>
  <c r="Q638" i="12"/>
  <c r="Q639" i="12"/>
  <c r="Q640" i="12"/>
  <c r="Q641" i="12"/>
  <c r="Q642" i="12"/>
  <c r="Q643" i="12"/>
  <c r="Q644" i="12"/>
  <c r="Q645" i="12"/>
  <c r="Q646" i="12"/>
  <c r="Q647" i="12"/>
  <c r="Q648" i="12"/>
  <c r="Q649" i="12"/>
  <c r="Q650" i="12"/>
  <c r="Q651" i="12"/>
  <c r="Q652" i="12"/>
  <c r="Q653" i="12"/>
  <c r="Q654" i="12"/>
  <c r="Q655" i="12"/>
  <c r="Q656" i="12"/>
  <c r="Q657" i="12"/>
  <c r="Q658" i="12"/>
  <c r="Q659" i="12"/>
  <c r="Q660" i="12"/>
  <c r="Q661" i="12"/>
  <c r="Q662" i="12"/>
  <c r="Q663" i="12"/>
  <c r="Q664" i="12"/>
  <c r="Q665" i="12"/>
  <c r="Q666" i="12"/>
  <c r="Q667" i="12"/>
  <c r="Q668" i="12"/>
  <c r="Q669" i="12"/>
  <c r="Q670" i="12"/>
  <c r="Q671" i="12"/>
  <c r="Q672" i="12"/>
  <c r="Q673" i="12"/>
  <c r="Q674" i="12"/>
  <c r="Q675" i="12"/>
  <c r="Q676" i="12"/>
  <c r="Q677" i="12"/>
  <c r="Q678" i="12"/>
  <c r="Q679" i="12"/>
  <c r="Q680" i="12"/>
  <c r="Q681" i="12"/>
  <c r="Q682" i="12"/>
  <c r="Q683" i="12"/>
  <c r="Q684" i="12"/>
  <c r="Q685" i="12"/>
  <c r="Q686" i="12"/>
  <c r="Q687" i="12"/>
  <c r="Q688" i="12"/>
  <c r="Q689" i="12"/>
  <c r="Q690" i="12"/>
  <c r="Q691" i="12"/>
  <c r="Q692" i="12"/>
  <c r="Q693" i="12"/>
  <c r="Q694" i="12"/>
  <c r="Q695" i="12"/>
  <c r="Q696" i="12"/>
  <c r="Q697" i="12"/>
  <c r="Q698" i="12"/>
  <c r="Q699" i="12"/>
  <c r="Q700" i="12"/>
  <c r="Q701" i="12"/>
  <c r="Q702" i="12"/>
  <c r="Q703" i="12"/>
  <c r="Q704" i="12"/>
  <c r="Q705" i="12"/>
  <c r="Q706" i="12"/>
  <c r="Q707" i="12"/>
  <c r="Q708" i="12"/>
  <c r="Q709" i="12"/>
  <c r="Q710" i="12"/>
  <c r="Q711" i="12"/>
  <c r="Q712" i="12"/>
  <c r="Q713" i="12"/>
  <c r="Q714" i="12"/>
  <c r="Q715" i="12"/>
  <c r="Q716" i="12"/>
  <c r="Q717" i="12"/>
  <c r="Q718" i="12"/>
  <c r="Q719" i="12"/>
  <c r="Q720" i="12"/>
  <c r="Q721" i="12"/>
  <c r="Q722" i="12"/>
  <c r="Q723" i="12"/>
  <c r="Q724" i="12"/>
  <c r="Q725" i="12"/>
  <c r="Q726" i="12"/>
  <c r="Q727" i="12"/>
  <c r="Q728" i="12"/>
  <c r="Q729" i="12"/>
  <c r="Q730" i="12"/>
  <c r="Q731" i="12"/>
  <c r="Q732" i="12"/>
  <c r="Q733" i="12"/>
  <c r="Q734" i="12"/>
  <c r="Q735" i="12"/>
  <c r="Q736" i="12"/>
  <c r="Q737" i="12"/>
  <c r="Q738" i="12"/>
  <c r="Q739" i="12"/>
  <c r="Q740" i="12"/>
  <c r="Q741" i="12"/>
  <c r="Q742" i="12"/>
  <c r="Q743" i="12"/>
  <c r="Q744" i="12"/>
  <c r="Q745" i="12"/>
  <c r="Q746" i="12"/>
  <c r="Q747" i="12"/>
  <c r="Q748" i="12"/>
  <c r="Q749" i="12"/>
  <c r="Q750" i="12"/>
  <c r="Q751" i="12"/>
  <c r="Q752" i="12"/>
  <c r="Q753" i="12"/>
  <c r="Q754" i="12"/>
  <c r="Q755" i="12"/>
  <c r="Q756" i="12"/>
  <c r="Q757" i="12"/>
  <c r="Q758" i="12"/>
  <c r="Q759" i="12"/>
  <c r="Q760" i="12"/>
  <c r="Q761" i="12"/>
  <c r="Q762" i="12"/>
  <c r="Q763" i="12"/>
  <c r="Q764" i="12"/>
  <c r="Q765" i="12"/>
  <c r="Q766" i="12"/>
  <c r="Q767" i="12"/>
  <c r="Q768" i="12"/>
  <c r="Q769" i="12"/>
  <c r="Q770" i="12"/>
  <c r="Q771" i="12"/>
  <c r="Q772" i="12"/>
  <c r="Q773" i="12"/>
  <c r="Q774" i="12"/>
  <c r="Q775" i="12"/>
  <c r="Q776" i="12"/>
  <c r="Q777" i="12"/>
  <c r="Q778" i="12"/>
  <c r="Q779" i="12"/>
  <c r="Q780" i="12"/>
  <c r="Q781" i="12"/>
  <c r="Q782" i="12"/>
  <c r="Q783" i="12"/>
  <c r="Q784" i="12"/>
  <c r="Q785" i="12"/>
  <c r="Q786" i="12"/>
  <c r="Q787" i="12"/>
  <c r="Q788" i="12"/>
  <c r="Q789" i="12"/>
  <c r="Q790" i="12"/>
  <c r="Q791" i="12"/>
  <c r="Q792" i="12"/>
  <c r="Q793" i="12"/>
  <c r="Q794" i="12"/>
  <c r="Q795" i="12"/>
  <c r="Q796" i="12"/>
  <c r="Q797" i="12"/>
  <c r="Q798" i="12"/>
  <c r="Q799" i="12"/>
  <c r="Q800" i="12"/>
  <c r="Q801" i="12"/>
  <c r="Q802" i="12"/>
  <c r="Q803" i="12"/>
  <c r="Q804" i="12"/>
  <c r="Q805" i="12"/>
  <c r="Q806" i="12"/>
  <c r="Q807" i="12"/>
  <c r="Q808" i="12"/>
  <c r="Q809" i="12"/>
  <c r="Q810" i="12"/>
  <c r="Q811" i="12"/>
  <c r="Q812" i="12"/>
  <c r="Q813" i="12"/>
  <c r="Q814" i="12"/>
  <c r="Q815" i="12"/>
  <c r="Q816" i="12"/>
  <c r="Q817" i="12"/>
  <c r="Q818" i="12"/>
  <c r="Q819" i="12"/>
  <c r="Q820" i="12"/>
  <c r="Q821" i="12"/>
  <c r="Q822" i="12"/>
  <c r="Q823" i="12"/>
  <c r="Q824" i="12"/>
  <c r="Q825" i="12"/>
  <c r="Q826" i="12"/>
  <c r="Q827" i="12"/>
  <c r="Q828" i="12"/>
  <c r="Q829" i="12"/>
  <c r="Q830" i="12"/>
  <c r="Q831" i="12"/>
  <c r="Q832" i="12"/>
  <c r="Q833" i="12"/>
  <c r="Q834" i="12"/>
  <c r="Q835" i="12"/>
  <c r="Q836" i="12"/>
  <c r="Q837" i="12"/>
  <c r="Q838" i="12"/>
  <c r="Q839" i="12"/>
  <c r="Q840" i="12"/>
  <c r="Q841" i="12"/>
  <c r="Q842" i="12"/>
  <c r="Q843" i="12"/>
  <c r="Q844" i="12"/>
  <c r="Q845" i="12"/>
  <c r="Q846" i="12"/>
  <c r="Q847" i="12"/>
  <c r="Q848" i="12"/>
  <c r="Q849" i="12"/>
  <c r="Q850" i="12"/>
  <c r="Q851" i="12"/>
  <c r="Q852" i="12"/>
  <c r="Q853" i="12"/>
  <c r="Q854" i="12"/>
  <c r="Q855" i="12"/>
  <c r="Q856" i="12"/>
  <c r="Q857" i="12"/>
  <c r="Q858" i="12"/>
  <c r="Q859" i="12"/>
  <c r="Q860" i="12"/>
  <c r="Q861" i="12"/>
  <c r="Q862" i="12"/>
  <c r="Q863" i="12"/>
  <c r="Q864" i="12"/>
  <c r="Q865" i="12"/>
  <c r="Q866" i="12"/>
  <c r="Q867" i="12"/>
  <c r="Q868" i="12"/>
  <c r="Q869" i="12"/>
  <c r="Q870" i="12"/>
  <c r="Q871" i="12"/>
  <c r="Q872" i="12"/>
  <c r="Q873" i="12"/>
  <c r="Q874" i="12"/>
  <c r="Q875" i="12"/>
  <c r="Q876" i="12"/>
  <c r="Q877" i="12"/>
  <c r="Q878" i="12"/>
  <c r="Q879" i="12"/>
  <c r="Q880" i="12"/>
  <c r="Q881" i="12"/>
  <c r="Q882" i="12"/>
  <c r="Q883" i="12"/>
  <c r="Q884" i="12"/>
  <c r="Q885" i="12"/>
  <c r="Q886" i="12"/>
  <c r="Q887" i="12"/>
  <c r="Q888" i="12"/>
  <c r="Q889" i="12"/>
  <c r="Q890" i="12"/>
  <c r="Q891" i="12"/>
  <c r="Q892" i="12"/>
  <c r="Q893" i="12"/>
  <c r="Q894" i="12"/>
  <c r="Q895" i="12"/>
  <c r="Q896" i="12"/>
  <c r="Q897" i="12"/>
  <c r="Q898" i="12"/>
  <c r="Q899" i="12"/>
  <c r="Q900" i="12"/>
  <c r="Q901" i="12"/>
  <c r="Q902" i="12"/>
  <c r="Q903" i="12"/>
  <c r="Q904" i="12"/>
  <c r="Q905" i="12"/>
  <c r="Q906" i="12"/>
  <c r="Q907" i="12"/>
  <c r="Q908" i="12"/>
  <c r="Q909" i="12"/>
  <c r="Q910" i="12"/>
  <c r="Q911" i="12"/>
  <c r="Q912" i="12"/>
  <c r="Q913" i="12"/>
  <c r="Q914" i="12"/>
  <c r="Q915" i="12"/>
  <c r="Q916" i="12"/>
  <c r="Q917" i="12"/>
  <c r="Q918" i="12"/>
  <c r="Q919" i="12"/>
  <c r="Q920" i="12"/>
  <c r="Q921" i="12"/>
  <c r="Q922" i="12"/>
  <c r="Q923" i="12"/>
  <c r="Q924" i="12"/>
  <c r="Q925" i="12"/>
  <c r="Q926" i="12"/>
  <c r="Q927" i="12"/>
  <c r="Q928" i="12"/>
  <c r="Q929" i="12"/>
  <c r="Q930" i="12"/>
  <c r="Q931" i="12"/>
  <c r="Q932" i="12"/>
  <c r="Q933" i="12"/>
  <c r="Q934" i="12"/>
  <c r="Q935" i="12"/>
  <c r="Q936" i="12"/>
  <c r="Q937" i="12"/>
  <c r="Q938" i="12"/>
  <c r="Q939" i="12"/>
  <c r="Q940" i="12"/>
  <c r="Q941" i="12"/>
  <c r="Q942" i="12"/>
  <c r="Q943" i="12"/>
  <c r="Q944" i="12"/>
  <c r="Q945" i="12"/>
  <c r="Q946" i="12"/>
  <c r="Q947" i="12"/>
  <c r="Q948" i="12"/>
  <c r="Q949" i="12"/>
  <c r="Q950" i="12"/>
  <c r="Q951" i="12"/>
  <c r="Q952" i="12"/>
  <c r="Q953" i="12"/>
  <c r="Q954" i="12"/>
  <c r="Q955" i="12"/>
  <c r="Q956" i="12"/>
  <c r="Q957" i="12"/>
  <c r="Q958" i="12"/>
  <c r="Q959" i="12"/>
  <c r="Q960" i="12"/>
  <c r="Q961" i="12"/>
  <c r="Q962" i="12"/>
  <c r="Q963" i="12"/>
  <c r="Q964" i="12"/>
  <c r="Q965" i="12"/>
  <c r="Q966" i="12"/>
  <c r="Q967" i="12"/>
  <c r="Q968" i="12"/>
  <c r="Q969" i="12"/>
  <c r="Q970" i="12"/>
  <c r="Q971" i="12"/>
  <c r="Q972" i="12"/>
  <c r="Q973" i="12"/>
  <c r="Q974" i="12"/>
  <c r="Q975" i="12"/>
  <c r="Q976" i="12"/>
  <c r="Q977" i="12"/>
  <c r="Q978" i="12"/>
  <c r="Q979" i="12"/>
  <c r="Q980" i="12"/>
  <c r="Q981" i="12"/>
  <c r="Q982" i="12"/>
  <c r="Q983" i="12"/>
  <c r="Q984" i="12"/>
  <c r="Q985" i="12"/>
  <c r="Q986" i="12"/>
  <c r="Q987" i="12"/>
  <c r="Q988" i="12"/>
  <c r="Q989" i="12"/>
  <c r="Q990" i="12"/>
  <c r="Q991" i="12"/>
  <c r="Q992" i="12"/>
  <c r="Q993" i="12"/>
  <c r="Q994" i="12"/>
  <c r="Q995" i="12"/>
  <c r="Q996" i="12"/>
  <c r="Q997" i="12"/>
  <c r="Q998" i="12"/>
  <c r="Q999" i="12"/>
  <c r="Q1000" i="12"/>
  <c r="Q1001" i="12"/>
  <c r="Q1002" i="12"/>
  <c r="Q1003" i="12"/>
  <c r="Q1004" i="12"/>
  <c r="Q1005" i="12"/>
  <c r="Q1006" i="12"/>
  <c r="Q1007" i="12"/>
  <c r="Q1008" i="12"/>
  <c r="Q1009" i="12"/>
  <c r="Q1010" i="12"/>
  <c r="Q1011" i="12"/>
  <c r="Q1012" i="12"/>
  <c r="Q1013" i="12"/>
  <c r="Q1014" i="12"/>
  <c r="Q1015" i="12"/>
  <c r="Q1016" i="12"/>
  <c r="Q1017" i="12"/>
  <c r="Q1018" i="12"/>
  <c r="Q1019" i="12"/>
  <c r="Q1020" i="12"/>
  <c r="Q1021" i="12"/>
  <c r="Q1022" i="12"/>
  <c r="A346" i="12"/>
  <c r="A347" i="12"/>
  <c r="A344" i="12"/>
  <c r="Q344" i="12"/>
  <c r="R344" i="12"/>
  <c r="S344" i="12"/>
  <c r="Y344" i="12"/>
  <c r="Z344" i="12"/>
  <c r="AJ344" i="12" s="1"/>
  <c r="AA344" i="12"/>
  <c r="AF344" i="12"/>
  <c r="AF343" i="12"/>
  <c r="AA343" i="12"/>
  <c r="Z343" i="12"/>
  <c r="AJ343" i="12" s="1"/>
  <c r="Y343" i="12"/>
  <c r="S343" i="12"/>
  <c r="R343" i="12"/>
  <c r="Q343" i="12"/>
  <c r="A343" i="12"/>
  <c r="A339" i="12"/>
  <c r="AF337" i="12"/>
  <c r="AA337" i="12"/>
  <c r="Z337" i="12"/>
  <c r="AJ337" i="12" s="1"/>
  <c r="Y337" i="12"/>
  <c r="S337" i="12"/>
  <c r="R337" i="12"/>
  <c r="Q337" i="12"/>
  <c r="A337" i="12"/>
  <c r="AF336" i="12"/>
  <c r="AA336" i="12"/>
  <c r="Z336" i="12"/>
  <c r="AJ336" i="12" s="1"/>
  <c r="Y336" i="12"/>
  <c r="S336" i="12"/>
  <c r="R336" i="12"/>
  <c r="Q336" i="12"/>
  <c r="A336" i="12"/>
  <c r="AF335" i="12"/>
  <c r="AA335" i="12"/>
  <c r="Z335" i="12"/>
  <c r="AJ335" i="12" s="1"/>
  <c r="Y335" i="12"/>
  <c r="S335" i="12"/>
  <c r="R335" i="12"/>
  <c r="Q335" i="12"/>
  <c r="A335" i="12"/>
  <c r="AF334" i="12"/>
  <c r="AA334" i="12"/>
  <c r="Z334" i="12"/>
  <c r="AJ334" i="12" s="1"/>
  <c r="Y334" i="12"/>
  <c r="S334" i="12"/>
  <c r="R334" i="12"/>
  <c r="Q334" i="12"/>
  <c r="A334" i="12"/>
  <c r="AF327" i="12"/>
  <c r="AA327" i="12"/>
  <c r="Z327" i="12"/>
  <c r="AJ327" i="12" s="1"/>
  <c r="Y327" i="12"/>
  <c r="S327" i="12"/>
  <c r="R327" i="12"/>
  <c r="Q327" i="12"/>
  <c r="A327" i="12"/>
  <c r="AF322" i="12"/>
  <c r="AA322" i="12"/>
  <c r="Z322" i="12"/>
  <c r="AJ322" i="12" s="1"/>
  <c r="Y322" i="12"/>
  <c r="S322" i="12"/>
  <c r="R322" i="12"/>
  <c r="Q322" i="12"/>
  <c r="A322" i="12"/>
  <c r="A321" i="12"/>
  <c r="Q321" i="12"/>
  <c r="R321" i="12"/>
  <c r="S321" i="12"/>
  <c r="Y321" i="12"/>
  <c r="Z321" i="12"/>
  <c r="AJ321" i="12" s="1"/>
  <c r="AA321" i="12"/>
  <c r="AF321" i="12"/>
  <c r="AF320" i="12"/>
  <c r="AA320" i="12"/>
  <c r="Z320" i="12"/>
  <c r="AJ320" i="12" s="1"/>
  <c r="Y320" i="12"/>
  <c r="S320" i="12"/>
  <c r="R320" i="12"/>
  <c r="Q320" i="12"/>
  <c r="A320" i="12"/>
  <c r="A318" i="12"/>
  <c r="A317" i="12"/>
  <c r="A312" i="12"/>
  <c r="AF308" i="12"/>
  <c r="AA308" i="12"/>
  <c r="Z308" i="12"/>
  <c r="AJ308" i="12" s="1"/>
  <c r="Y308" i="12"/>
  <c r="S308" i="12"/>
  <c r="R308" i="12"/>
  <c r="Q308" i="12"/>
  <c r="A308" i="12"/>
  <c r="A307" i="12"/>
  <c r="A306" i="12"/>
  <c r="AF304" i="12"/>
  <c r="AA304" i="12"/>
  <c r="Y304" i="12"/>
  <c r="S304" i="12"/>
  <c r="R304" i="12"/>
  <c r="Q304" i="12"/>
  <c r="A304" i="12"/>
  <c r="A299" i="12"/>
  <c r="A298" i="12"/>
  <c r="A296" i="12"/>
  <c r="A294" i="12"/>
  <c r="A293" i="12"/>
  <c r="AF292" i="12"/>
  <c r="AA292" i="12"/>
  <c r="Y292" i="12"/>
  <c r="S292" i="12"/>
  <c r="R292" i="12"/>
  <c r="Q292" i="12"/>
  <c r="A292" i="12"/>
  <c r="A291" i="12"/>
  <c r="A289" i="12"/>
  <c r="A285" i="12"/>
  <c r="A284" i="12"/>
  <c r="A282" i="12"/>
  <c r="A278" i="12"/>
  <c r="A276" i="12"/>
  <c r="A277" i="12"/>
  <c r="A275" i="12"/>
  <c r="Q275" i="12"/>
  <c r="R275" i="12"/>
  <c r="S275" i="12"/>
  <c r="Y275" i="12"/>
  <c r="Z275" i="12"/>
  <c r="AJ275" i="12" s="1"/>
  <c r="AA275" i="12"/>
  <c r="AF275" i="12"/>
  <c r="A274" i="12"/>
  <c r="A273" i="12"/>
  <c r="A272" i="12"/>
  <c r="A270" i="12"/>
  <c r="Q270" i="12"/>
  <c r="R270" i="12"/>
  <c r="S270" i="12"/>
  <c r="Y270" i="12"/>
  <c r="Z270" i="12"/>
  <c r="AJ270" i="12" s="1"/>
  <c r="AA270" i="12"/>
  <c r="AF270" i="12"/>
  <c r="AF269" i="12"/>
  <c r="AA269" i="12"/>
  <c r="Z269" i="12"/>
  <c r="AJ269" i="12" s="1"/>
  <c r="Y269" i="12"/>
  <c r="S269" i="12"/>
  <c r="R269" i="12"/>
  <c r="Q269" i="12"/>
  <c r="A269" i="12"/>
  <c r="A268" i="12"/>
  <c r="A266" i="12"/>
  <c r="A265" i="12"/>
  <c r="AF264" i="12"/>
  <c r="AA264" i="12"/>
  <c r="Z264" i="12"/>
  <c r="AJ264" i="12" s="1"/>
  <c r="Y264" i="12"/>
  <c r="S264" i="12"/>
  <c r="R264" i="12"/>
  <c r="Q264" i="12"/>
  <c r="A264" i="12"/>
  <c r="A263" i="12"/>
  <c r="Q263" i="12"/>
  <c r="R263" i="12"/>
  <c r="S263" i="12"/>
  <c r="Y263" i="12"/>
  <c r="Z263" i="12"/>
  <c r="AJ263" i="12" s="1"/>
  <c r="AA263" i="12"/>
  <c r="AF263" i="12"/>
  <c r="AF262" i="12"/>
  <c r="AA262" i="12"/>
  <c r="Z262" i="12"/>
  <c r="AJ262" i="12" s="1"/>
  <c r="Y262" i="12"/>
  <c r="S262" i="12"/>
  <c r="R262" i="12"/>
  <c r="Q262" i="12"/>
  <c r="A262" i="12"/>
  <c r="AF246" i="12"/>
  <c r="AA246" i="12"/>
  <c r="Z246" i="12"/>
  <c r="AJ246" i="12" s="1"/>
  <c r="Y246" i="12"/>
  <c r="S246" i="12"/>
  <c r="R246" i="12"/>
  <c r="Q246" i="12"/>
  <c r="A246" i="12"/>
  <c r="AF241" i="12"/>
  <c r="AA241" i="12"/>
  <c r="Z241" i="12"/>
  <c r="AJ241" i="12" s="1"/>
  <c r="Y241" i="12"/>
  <c r="S241" i="12"/>
  <c r="R241" i="12"/>
  <c r="Q241" i="12"/>
  <c r="A241" i="12"/>
  <c r="AF240" i="12"/>
  <c r="AA240" i="12"/>
  <c r="Z240" i="12"/>
  <c r="AJ240" i="12" s="1"/>
  <c r="Y240" i="12"/>
  <c r="S240" i="12"/>
  <c r="R240" i="12"/>
  <c r="Q240" i="12"/>
  <c r="A240" i="12"/>
  <c r="AF234" i="12"/>
  <c r="AA234" i="12"/>
  <c r="Z234" i="12"/>
  <c r="AJ234" i="12" s="1"/>
  <c r="Y234" i="12"/>
  <c r="S234" i="12"/>
  <c r="R234" i="12"/>
  <c r="Q234" i="12"/>
  <c r="A234" i="12"/>
  <c r="A233" i="12"/>
  <c r="A232" i="12"/>
  <c r="A230" i="12"/>
  <c r="A231" i="12"/>
  <c r="A226" i="12"/>
  <c r="A224" i="12"/>
  <c r="A223" i="12"/>
  <c r="AF215" i="12"/>
  <c r="AA215" i="12"/>
  <c r="Z215" i="12"/>
  <c r="AJ215" i="12" s="1"/>
  <c r="Y215" i="12"/>
  <c r="S215" i="12"/>
  <c r="R215" i="12"/>
  <c r="Q215" i="12"/>
  <c r="A215" i="12"/>
  <c r="S212" i="12"/>
  <c r="R212" i="12"/>
  <c r="Q212" i="12"/>
  <c r="A212" i="12"/>
  <c r="AF211" i="12"/>
  <c r="AA211" i="12"/>
  <c r="Z211" i="12"/>
  <c r="AJ211" i="12" s="1"/>
  <c r="Y211" i="12"/>
  <c r="S211" i="12"/>
  <c r="R211" i="12"/>
  <c r="Q211" i="12"/>
  <c r="A211" i="12"/>
  <c r="AF210" i="12"/>
  <c r="AA210" i="12"/>
  <c r="Z210" i="12"/>
  <c r="AJ210" i="12" s="1"/>
  <c r="Y210" i="12"/>
  <c r="S210" i="12"/>
  <c r="R210" i="12"/>
  <c r="Q210" i="12"/>
  <c r="A210" i="12"/>
  <c r="AF209" i="12"/>
  <c r="AA209" i="12"/>
  <c r="Z209" i="12"/>
  <c r="AJ209" i="12" s="1"/>
  <c r="Y209" i="12"/>
  <c r="S209" i="12"/>
  <c r="R209" i="12"/>
  <c r="Q209" i="12"/>
  <c r="A209" i="12"/>
  <c r="A208" i="12"/>
  <c r="AF206" i="12"/>
  <c r="AA206" i="12"/>
  <c r="Z206" i="12"/>
  <c r="AJ206" i="12" s="1"/>
  <c r="Y206" i="12"/>
  <c r="S206" i="12"/>
  <c r="R206" i="12"/>
  <c r="Q206" i="12"/>
  <c r="A206" i="12"/>
  <c r="AF205" i="12"/>
  <c r="AA205" i="12"/>
  <c r="Z205" i="12"/>
  <c r="AJ205" i="12" s="1"/>
  <c r="Y205" i="12"/>
  <c r="S205" i="12"/>
  <c r="R205" i="12"/>
  <c r="Q205" i="12"/>
  <c r="A205" i="12"/>
  <c r="AF204" i="12"/>
  <c r="AA204" i="12"/>
  <c r="Y204" i="12"/>
  <c r="S204" i="12"/>
  <c r="R204" i="12"/>
  <c r="Q204" i="12"/>
  <c r="Z204" i="12"/>
  <c r="AJ204" i="12" s="1"/>
  <c r="A204" i="12"/>
  <c r="A202" i="12"/>
  <c r="Q201" i="12"/>
  <c r="R201" i="12"/>
  <c r="S201" i="12"/>
  <c r="A201" i="12"/>
  <c r="AF200" i="12"/>
  <c r="AA200" i="12"/>
  <c r="Z200" i="12"/>
  <c r="AJ200" i="12" s="1"/>
  <c r="Y200" i="12"/>
  <c r="S200" i="12"/>
  <c r="R200" i="12"/>
  <c r="Q200" i="12"/>
  <c r="A200" i="12"/>
  <c r="A196" i="12"/>
  <c r="Q196" i="12"/>
  <c r="R196" i="12"/>
  <c r="S196" i="12"/>
  <c r="Y196" i="12"/>
  <c r="Z196" i="12"/>
  <c r="AJ196" i="12" s="1"/>
  <c r="AA196" i="12"/>
  <c r="AF196" i="12"/>
  <c r="Q191" i="12"/>
  <c r="R191" i="12"/>
  <c r="S191" i="12"/>
  <c r="AF190" i="12"/>
  <c r="Y190" i="12"/>
  <c r="Z190" i="12"/>
  <c r="AJ190" i="12" s="1"/>
  <c r="AA190" i="12"/>
  <c r="Q190" i="12"/>
  <c r="R190" i="12"/>
  <c r="S190" i="12"/>
  <c r="A190" i="12"/>
  <c r="A189" i="12"/>
  <c r="A187" i="12"/>
  <c r="A188" i="12"/>
  <c r="A186" i="12"/>
  <c r="AF184" i="12"/>
  <c r="AA184" i="12"/>
  <c r="Z184" i="12"/>
  <c r="AJ184" i="12" s="1"/>
  <c r="Y184" i="12"/>
  <c r="S184" i="12"/>
  <c r="R184" i="12"/>
  <c r="Q184" i="12"/>
  <c r="A184" i="12"/>
  <c r="AF183" i="12"/>
  <c r="AA183" i="12"/>
  <c r="Y183" i="12"/>
  <c r="S183" i="12"/>
  <c r="R183" i="12"/>
  <c r="Q183" i="12"/>
  <c r="A183" i="12"/>
  <c r="AF182" i="12"/>
  <c r="AA182" i="12"/>
  <c r="Y182" i="12"/>
  <c r="S182" i="12"/>
  <c r="R182" i="12"/>
  <c r="Q182" i="12"/>
  <c r="A182" i="12"/>
  <c r="AF181" i="12"/>
  <c r="AA181" i="12"/>
  <c r="Y181" i="12"/>
  <c r="S181" i="12"/>
  <c r="R181" i="12"/>
  <c r="Q181" i="12"/>
  <c r="A181" i="12"/>
  <c r="A180" i="12"/>
  <c r="A177" i="12"/>
  <c r="A178" i="12"/>
  <c r="A179" i="12"/>
  <c r="A176" i="12"/>
  <c r="A174" i="12"/>
  <c r="AF175" i="12"/>
  <c r="AA175" i="12"/>
  <c r="Z175" i="12"/>
  <c r="AJ175" i="12" s="1"/>
  <c r="Y175" i="12"/>
  <c r="S175" i="12"/>
  <c r="R175" i="12"/>
  <c r="Q175" i="12"/>
  <c r="A175" i="12"/>
  <c r="AF174" i="12"/>
  <c r="AA174" i="12"/>
  <c r="Z174" i="12"/>
  <c r="AJ174" i="12" s="1"/>
  <c r="Y174" i="12"/>
  <c r="S174" i="12"/>
  <c r="R174" i="12"/>
  <c r="Q174" i="12"/>
  <c r="AF170" i="12"/>
  <c r="AA170" i="12"/>
  <c r="Z170" i="12"/>
  <c r="AJ170" i="12" s="1"/>
  <c r="Y170" i="12"/>
  <c r="S170" i="12"/>
  <c r="R170" i="12"/>
  <c r="Q170" i="12"/>
  <c r="A170" i="12"/>
  <c r="AF171" i="12"/>
  <c r="AA171" i="12"/>
  <c r="Z171" i="12"/>
  <c r="AJ171" i="12" s="1"/>
  <c r="Y171" i="12"/>
  <c r="S171" i="12"/>
  <c r="R171" i="12"/>
  <c r="Q171" i="12"/>
  <c r="A171" i="12"/>
  <c r="AF169" i="12"/>
  <c r="AA169" i="12"/>
  <c r="Y169" i="12"/>
  <c r="S169" i="12"/>
  <c r="R169" i="12"/>
  <c r="Q169" i="12"/>
  <c r="A169" i="12"/>
  <c r="AF168" i="12"/>
  <c r="AA168" i="12"/>
  <c r="Y168" i="12"/>
  <c r="S168" i="12"/>
  <c r="R168" i="12"/>
  <c r="Q168" i="12"/>
  <c r="A168" i="12"/>
  <c r="A165" i="12"/>
  <c r="A166" i="12"/>
  <c r="AF163" i="12"/>
  <c r="AA163" i="12"/>
  <c r="Z163" i="12"/>
  <c r="AJ163" i="12" s="1"/>
  <c r="Y163" i="12"/>
  <c r="S163" i="12"/>
  <c r="R163" i="12"/>
  <c r="Q163" i="12"/>
  <c r="A163" i="12"/>
  <c r="A157" i="12"/>
  <c r="A158" i="12"/>
  <c r="A159" i="12"/>
  <c r="A160" i="12"/>
  <c r="A161" i="12"/>
  <c r="Q154" i="12"/>
  <c r="R154" i="12"/>
  <c r="S154" i="12"/>
  <c r="A154" i="12"/>
  <c r="A153" i="12"/>
  <c r="A152" i="12"/>
  <c r="A149" i="12"/>
  <c r="A150" i="12"/>
  <c r="Q150" i="12"/>
  <c r="R150" i="12"/>
  <c r="S150" i="12"/>
  <c r="Y150" i="12"/>
  <c r="Z150" i="12"/>
  <c r="AJ150" i="12" s="1"/>
  <c r="AA150" i="12"/>
  <c r="AF150" i="12"/>
  <c r="A151" i="12"/>
  <c r="Q151" i="12"/>
  <c r="R151" i="12"/>
  <c r="S151" i="12"/>
  <c r="Y151" i="12"/>
  <c r="Z151" i="12"/>
  <c r="AJ151" i="12" s="1"/>
  <c r="AA151" i="12"/>
  <c r="AF151" i="12"/>
  <c r="AF148" i="12"/>
  <c r="Y148" i="12"/>
  <c r="Z148" i="12"/>
  <c r="AJ148" i="12" s="1"/>
  <c r="AA148" i="12"/>
  <c r="Q148" i="12"/>
  <c r="R148" i="12"/>
  <c r="S148" i="12"/>
  <c r="A148" i="12"/>
  <c r="A147" i="12"/>
  <c r="A146" i="12"/>
  <c r="AF139" i="12"/>
  <c r="AA139" i="12"/>
  <c r="Z139" i="12"/>
  <c r="AJ139" i="12" s="1"/>
  <c r="Y139" i="12"/>
  <c r="S139" i="12"/>
  <c r="R139" i="12"/>
  <c r="Q139" i="12"/>
  <c r="A139" i="12"/>
  <c r="AF138" i="12"/>
  <c r="AA138" i="12"/>
  <c r="Z138" i="12"/>
  <c r="AJ138" i="12" s="1"/>
  <c r="Y138" i="12"/>
  <c r="S138" i="12"/>
  <c r="R138" i="12"/>
  <c r="Q138" i="12"/>
  <c r="A138" i="12"/>
  <c r="AF136" i="12"/>
  <c r="AA136" i="12"/>
  <c r="Z136" i="12"/>
  <c r="AJ136" i="12" s="1"/>
  <c r="Y136" i="12"/>
  <c r="S136" i="12"/>
  <c r="R136" i="12"/>
  <c r="Q136" i="12"/>
  <c r="A136" i="12"/>
  <c r="AF135" i="12"/>
  <c r="AA135" i="12"/>
  <c r="Z135" i="12"/>
  <c r="AJ135" i="12" s="1"/>
  <c r="Y135" i="12"/>
  <c r="S135" i="12"/>
  <c r="R135" i="12"/>
  <c r="Q135" i="12"/>
  <c r="A135" i="12"/>
  <c r="AF131" i="12"/>
  <c r="AA131" i="12"/>
  <c r="Z131" i="12"/>
  <c r="AJ131" i="12" s="1"/>
  <c r="Y131" i="12"/>
  <c r="S131" i="12"/>
  <c r="R131" i="12"/>
  <c r="Q131" i="12"/>
  <c r="A131" i="12"/>
  <c r="AF130" i="12"/>
  <c r="AA130" i="12"/>
  <c r="Z130" i="12"/>
  <c r="AJ130" i="12" s="1"/>
  <c r="Y130" i="12"/>
  <c r="S130" i="12"/>
  <c r="R130" i="12"/>
  <c r="Q130" i="12"/>
  <c r="A130" i="12"/>
  <c r="AF127" i="12"/>
  <c r="AA127" i="12"/>
  <c r="Y127" i="12"/>
  <c r="S127" i="12"/>
  <c r="R127" i="12"/>
  <c r="Q127" i="12"/>
  <c r="A127" i="12"/>
  <c r="A134" i="12"/>
  <c r="A128" i="12"/>
  <c r="A129" i="12"/>
  <c r="AF126" i="12"/>
  <c r="Y126" i="12"/>
  <c r="AA126" i="12"/>
  <c r="Q126" i="12"/>
  <c r="R126" i="12"/>
  <c r="S126" i="12"/>
  <c r="A126" i="12"/>
  <c r="AF125" i="12"/>
  <c r="Y125" i="12"/>
  <c r="AA125" i="12"/>
  <c r="Q125" i="12"/>
  <c r="R125" i="12"/>
  <c r="S125" i="12"/>
  <c r="A125" i="12"/>
  <c r="AF122" i="12"/>
  <c r="Y122" i="12"/>
  <c r="AA122" i="12"/>
  <c r="Q122" i="12"/>
  <c r="R122" i="12"/>
  <c r="S122" i="12"/>
  <c r="A122" i="12"/>
  <c r="A124" i="12"/>
  <c r="AF121" i="12"/>
  <c r="AA121" i="12"/>
  <c r="Z121" i="12"/>
  <c r="AJ121" i="12" s="1"/>
  <c r="Y121" i="12"/>
  <c r="S121" i="12"/>
  <c r="R121" i="12"/>
  <c r="Q121" i="12"/>
  <c r="A121" i="12"/>
  <c r="A119" i="12"/>
  <c r="Q109" i="12"/>
  <c r="R109" i="12"/>
  <c r="S109" i="12"/>
  <c r="Q107" i="12"/>
  <c r="R107" i="12"/>
  <c r="S107" i="12"/>
  <c r="Q108" i="12"/>
  <c r="R108" i="12"/>
  <c r="S108" i="12"/>
  <c r="AF106" i="12"/>
  <c r="AA106" i="12"/>
  <c r="Z106" i="12"/>
  <c r="AJ106" i="12" s="1"/>
  <c r="Y106" i="12"/>
  <c r="S106" i="12"/>
  <c r="R106" i="12"/>
  <c r="Q106" i="12"/>
  <c r="A106" i="12"/>
  <c r="Q111" i="12"/>
  <c r="R111" i="12"/>
  <c r="S111" i="12"/>
  <c r="AF111" i="12"/>
  <c r="AA111" i="12"/>
  <c r="Z111" i="12"/>
  <c r="AJ111" i="12" s="1"/>
  <c r="Y111" i="12"/>
  <c r="A111" i="12"/>
  <c r="A110" i="12"/>
  <c r="A109" i="12"/>
  <c r="A107" i="12"/>
  <c r="A108" i="12"/>
  <c r="S101" i="12"/>
  <c r="S102" i="12"/>
  <c r="S103" i="12"/>
  <c r="Q101" i="12"/>
  <c r="R101" i="12"/>
  <c r="Q102" i="12"/>
  <c r="R102" i="12"/>
  <c r="Q103" i="12"/>
  <c r="R103" i="12"/>
  <c r="A102" i="12"/>
  <c r="A103" i="12"/>
  <c r="AF105" i="12"/>
  <c r="AA105" i="12"/>
  <c r="Z105" i="12"/>
  <c r="AJ105" i="12" s="1"/>
  <c r="Y105" i="12"/>
  <c r="S105" i="12"/>
  <c r="R105" i="12"/>
  <c r="Q105" i="12"/>
  <c r="A105" i="12"/>
  <c r="AF104" i="12"/>
  <c r="AA104" i="12"/>
  <c r="Y104" i="12"/>
  <c r="S104" i="12"/>
  <c r="R104" i="12"/>
  <c r="Q104" i="12"/>
  <c r="A104" i="12"/>
  <c r="A100" i="12"/>
  <c r="A98" i="12"/>
  <c r="A99" i="12"/>
  <c r="AF97" i="12"/>
  <c r="AA97" i="12"/>
  <c r="Y97" i="12"/>
  <c r="S97" i="12"/>
  <c r="R97" i="12"/>
  <c r="Q97" i="12"/>
  <c r="A97" i="12"/>
  <c r="AF94" i="12"/>
  <c r="AA94" i="12"/>
  <c r="Z94" i="12"/>
  <c r="AJ94" i="12" s="1"/>
  <c r="Y94" i="12"/>
  <c r="S94" i="12"/>
  <c r="R94" i="12"/>
  <c r="Q94" i="12"/>
  <c r="A94" i="12"/>
  <c r="AF96" i="12"/>
  <c r="AA96" i="12"/>
  <c r="Z96" i="12"/>
  <c r="AJ96" i="12" s="1"/>
  <c r="Y96" i="12"/>
  <c r="S96" i="12"/>
  <c r="R96" i="12"/>
  <c r="Q96" i="12"/>
  <c r="A96" i="12"/>
  <c r="A95" i="12"/>
  <c r="A93" i="12"/>
  <c r="AF92" i="12"/>
  <c r="Y92" i="12"/>
  <c r="AA92" i="12"/>
  <c r="Q92" i="12"/>
  <c r="R92" i="12"/>
  <c r="S92" i="12"/>
  <c r="A92" i="12"/>
  <c r="A90" i="12"/>
  <c r="Q90" i="12"/>
  <c r="R90" i="12"/>
  <c r="S90" i="12"/>
  <c r="Y90" i="12"/>
  <c r="Z90" i="12"/>
  <c r="AJ90" i="12" s="1"/>
  <c r="AA90" i="12"/>
  <c r="AF90" i="12"/>
  <c r="A91" i="12"/>
  <c r="Q91" i="12"/>
  <c r="R91" i="12"/>
  <c r="S91" i="12"/>
  <c r="Y91" i="12"/>
  <c r="Z91" i="12"/>
  <c r="AJ91" i="12" s="1"/>
  <c r="AA91" i="12"/>
  <c r="AF91" i="12"/>
  <c r="AF88" i="12"/>
  <c r="AA88" i="12"/>
  <c r="Y88" i="12"/>
  <c r="S88" i="12"/>
  <c r="R88" i="12"/>
  <c r="Q88" i="12"/>
  <c r="A88" i="12"/>
  <c r="AF87" i="12"/>
  <c r="AA87" i="12"/>
  <c r="Y87" i="12"/>
  <c r="S87" i="12"/>
  <c r="R87" i="12"/>
  <c r="Q87" i="12"/>
  <c r="A87" i="12"/>
  <c r="AF86" i="12"/>
  <c r="AA86" i="12"/>
  <c r="Y86" i="12"/>
  <c r="S86" i="12"/>
  <c r="R86" i="12"/>
  <c r="Q86" i="12"/>
  <c r="A86" i="12"/>
  <c r="AF85" i="12"/>
  <c r="AA85" i="12"/>
  <c r="Y85" i="12"/>
  <c r="S85" i="12"/>
  <c r="R85" i="12"/>
  <c r="Q85" i="12"/>
  <c r="A85" i="12"/>
  <c r="AF83" i="12"/>
  <c r="AA83" i="12"/>
  <c r="Y83" i="12"/>
  <c r="S83" i="12"/>
  <c r="R83" i="12"/>
  <c r="Q83" i="12"/>
  <c r="A83" i="12"/>
  <c r="AF82" i="12"/>
  <c r="AA82" i="12"/>
  <c r="Y82" i="12"/>
  <c r="S82" i="12"/>
  <c r="R82" i="12"/>
  <c r="Q82" i="12"/>
  <c r="A82" i="12"/>
  <c r="A81" i="12"/>
  <c r="A76" i="12"/>
  <c r="A77" i="12"/>
  <c r="A75" i="12"/>
  <c r="A74" i="12"/>
  <c r="A73" i="12"/>
  <c r="AF66" i="12"/>
  <c r="AA66" i="12"/>
  <c r="Z66" i="12"/>
  <c r="AJ66" i="12" s="1"/>
  <c r="Y66" i="12"/>
  <c r="S66" i="12"/>
  <c r="R66" i="12"/>
  <c r="Q66" i="12"/>
  <c r="A66" i="12"/>
  <c r="AF68" i="12"/>
  <c r="AA68" i="12"/>
  <c r="Z68" i="12"/>
  <c r="AJ68" i="12" s="1"/>
  <c r="Y68" i="12"/>
  <c r="S68" i="12"/>
  <c r="R68" i="12"/>
  <c r="Q68" i="12"/>
  <c r="A68" i="12"/>
  <c r="AF65" i="12"/>
  <c r="AA65" i="12"/>
  <c r="Z65" i="12"/>
  <c r="AJ65" i="12" s="1"/>
  <c r="Y65" i="12"/>
  <c r="S65" i="12"/>
  <c r="R65" i="12"/>
  <c r="Q65" i="12"/>
  <c r="A65" i="12"/>
  <c r="AF59" i="12"/>
  <c r="AA59" i="12"/>
  <c r="Z59" i="12"/>
  <c r="AJ59" i="12" s="1"/>
  <c r="Y59" i="12"/>
  <c r="S59" i="12"/>
  <c r="R59" i="12"/>
  <c r="Q59" i="12"/>
  <c r="A59" i="12"/>
  <c r="AF58" i="12"/>
  <c r="AA58" i="12"/>
  <c r="Z58" i="12"/>
  <c r="AJ58" i="12" s="1"/>
  <c r="Y58" i="12"/>
  <c r="S58" i="12"/>
  <c r="R58" i="12"/>
  <c r="Q58" i="12"/>
  <c r="A58" i="12"/>
  <c r="AF57" i="12"/>
  <c r="AA57" i="12"/>
  <c r="Z57" i="12"/>
  <c r="AJ57" i="12" s="1"/>
  <c r="Y57" i="12"/>
  <c r="S57" i="12"/>
  <c r="R57" i="12"/>
  <c r="Q57" i="12"/>
  <c r="A57" i="12"/>
  <c r="AF56" i="12"/>
  <c r="AA56" i="12"/>
  <c r="Z56" i="12"/>
  <c r="AJ56" i="12" s="1"/>
  <c r="Y56" i="12"/>
  <c r="S56" i="12"/>
  <c r="R56" i="12"/>
  <c r="Q56" i="12"/>
  <c r="A56" i="12"/>
  <c r="AF55" i="12"/>
  <c r="AA55" i="12"/>
  <c r="Z55" i="12"/>
  <c r="AJ55" i="12" s="1"/>
  <c r="Y55" i="12"/>
  <c r="S55" i="12"/>
  <c r="R55" i="12"/>
  <c r="Q55" i="12"/>
  <c r="A55" i="12"/>
  <c r="AF48" i="12"/>
  <c r="AA48" i="12"/>
  <c r="Y48" i="12"/>
  <c r="S48" i="12"/>
  <c r="R48" i="12"/>
  <c r="Q48" i="12"/>
  <c r="A48" i="12"/>
  <c r="AF54" i="12"/>
  <c r="AA54" i="12"/>
  <c r="Y54" i="12"/>
  <c r="S54" i="12"/>
  <c r="R54" i="12"/>
  <c r="Q54" i="12"/>
  <c r="A54" i="12"/>
  <c r="AF51" i="12"/>
  <c r="AA51" i="12"/>
  <c r="Z51" i="12"/>
  <c r="AJ51" i="12" s="1"/>
  <c r="Y51" i="12"/>
  <c r="S51" i="12"/>
  <c r="R51" i="12"/>
  <c r="Q51" i="12"/>
  <c r="A51" i="12"/>
  <c r="A50" i="12"/>
  <c r="A47" i="12"/>
  <c r="AF39" i="12"/>
  <c r="AA39" i="12"/>
  <c r="Z39" i="12"/>
  <c r="AJ39" i="12" s="1"/>
  <c r="Y39" i="12"/>
  <c r="S39" i="12"/>
  <c r="R39" i="12"/>
  <c r="Q39" i="12"/>
  <c r="A39" i="12"/>
  <c r="A31" i="12"/>
  <c r="A30" i="12"/>
  <c r="AF28" i="12"/>
  <c r="AA28" i="12"/>
  <c r="Z28" i="12"/>
  <c r="AJ28" i="12" s="1"/>
  <c r="Y28" i="12"/>
  <c r="S28" i="12"/>
  <c r="R28" i="12"/>
  <c r="Q28" i="12"/>
  <c r="A28" i="12"/>
  <c r="AF27" i="12"/>
  <c r="AA27" i="12"/>
  <c r="Z27" i="12"/>
  <c r="AJ27" i="12" s="1"/>
  <c r="Y27" i="12"/>
  <c r="S27" i="12"/>
  <c r="R27" i="12"/>
  <c r="Q27" i="12"/>
  <c r="A27" i="12"/>
  <c r="AF26" i="12"/>
  <c r="AA26" i="12"/>
  <c r="Z26" i="12"/>
  <c r="AJ26" i="12" s="1"/>
  <c r="Y26" i="12"/>
  <c r="S26" i="12"/>
  <c r="R26" i="12"/>
  <c r="Q26" i="12"/>
  <c r="A26" i="12"/>
  <c r="AF23" i="12"/>
  <c r="AA23" i="12"/>
  <c r="Z23" i="12"/>
  <c r="AJ23" i="12" s="1"/>
  <c r="Y23" i="12"/>
  <c r="S23" i="12"/>
  <c r="R23" i="12"/>
  <c r="Q23" i="12"/>
  <c r="A23" i="12"/>
  <c r="AF22" i="12"/>
  <c r="AA22" i="12"/>
  <c r="Z22" i="12"/>
  <c r="AJ22" i="12" s="1"/>
  <c r="Y22" i="12"/>
  <c r="S22" i="12"/>
  <c r="R22" i="12"/>
  <c r="Q22" i="12"/>
  <c r="A22" i="12"/>
  <c r="A25" i="12"/>
  <c r="AF21" i="12"/>
  <c r="AA21" i="12"/>
  <c r="Z21" i="12"/>
  <c r="AJ21" i="12" s="1"/>
  <c r="Y21" i="12"/>
  <c r="S21" i="12"/>
  <c r="R21" i="12"/>
  <c r="Q21" i="12"/>
  <c r="A21" i="12"/>
  <c r="AF17" i="12"/>
  <c r="AA17" i="12"/>
  <c r="Z17" i="12"/>
  <c r="AJ17" i="12" s="1"/>
  <c r="Y17" i="12"/>
  <c r="S17" i="12"/>
  <c r="R17" i="12"/>
  <c r="Q17" i="12"/>
  <c r="A17" i="12"/>
  <c r="AF20" i="12"/>
  <c r="AA20" i="12"/>
  <c r="Z20" i="12"/>
  <c r="AJ20" i="12" s="1"/>
  <c r="Y20" i="12"/>
  <c r="S20" i="12"/>
  <c r="R20" i="12"/>
  <c r="Q20" i="12"/>
  <c r="A20" i="12"/>
  <c r="A16" i="12"/>
  <c r="S8" i="12"/>
  <c r="R8" i="12"/>
  <c r="Q8" i="12"/>
  <c r="A8" i="12"/>
  <c r="S7" i="12"/>
  <c r="R7" i="12"/>
  <c r="Q7" i="12"/>
  <c r="A7" i="12"/>
  <c r="S6" i="12"/>
  <c r="R6" i="12"/>
  <c r="Q6" i="12"/>
  <c r="A6" i="12"/>
  <c r="S5" i="12"/>
  <c r="R5" i="12"/>
  <c r="Q5" i="12"/>
  <c r="A5" i="12"/>
  <c r="A60" i="12"/>
  <c r="A61" i="12"/>
  <c r="A62" i="12"/>
  <c r="A63" i="12"/>
  <c r="A64" i="12"/>
  <c r="A67" i="12"/>
  <c r="A69" i="12"/>
  <c r="A70" i="12"/>
  <c r="A71" i="12"/>
  <c r="A72" i="12"/>
  <c r="A78" i="12"/>
  <c r="A79" i="12"/>
  <c r="A80" i="12"/>
  <c r="A84" i="12"/>
  <c r="A89" i="12"/>
  <c r="A101" i="12"/>
  <c r="A112" i="12"/>
  <c r="A113" i="12"/>
  <c r="A114" i="12"/>
  <c r="A115" i="12"/>
  <c r="A116" i="12"/>
  <c r="A117" i="12"/>
  <c r="A118" i="12"/>
  <c r="A120" i="12"/>
  <c r="A123" i="12"/>
  <c r="A132" i="12"/>
  <c r="A133" i="12"/>
  <c r="A137" i="12"/>
  <c r="A140" i="12"/>
  <c r="A141" i="12"/>
  <c r="A142" i="12"/>
  <c r="A143" i="12"/>
  <c r="A144" i="12"/>
  <c r="A145" i="12"/>
  <c r="A155" i="12"/>
  <c r="A156" i="12"/>
  <c r="A162" i="12"/>
  <c r="A164" i="12"/>
  <c r="A167" i="12"/>
  <c r="A172" i="12"/>
  <c r="A173" i="12"/>
  <c r="A185" i="12"/>
  <c r="A191" i="12"/>
  <c r="A192" i="12"/>
  <c r="A193" i="12"/>
  <c r="A194" i="12"/>
  <c r="A195" i="12"/>
  <c r="A197" i="12"/>
  <c r="A198" i="12"/>
  <c r="A9" i="12"/>
  <c r="A10" i="12"/>
  <c r="A11" i="12"/>
  <c r="A12" i="12"/>
  <c r="A13" i="12"/>
  <c r="A14" i="12"/>
  <c r="A15" i="12"/>
  <c r="A18" i="12"/>
  <c r="A19" i="12"/>
  <c r="A24" i="12"/>
  <c r="A29" i="12"/>
  <c r="A32" i="12"/>
  <c r="A33" i="12"/>
  <c r="A34" i="12"/>
  <c r="A35" i="12"/>
  <c r="A36" i="12"/>
  <c r="A37" i="12"/>
  <c r="A40" i="12"/>
  <c r="A41" i="12"/>
  <c r="A42" i="12"/>
  <c r="A43" i="12"/>
  <c r="A44" i="12"/>
  <c r="A45" i="12"/>
  <c r="A46" i="12"/>
  <c r="A49" i="12"/>
  <c r="A52" i="12"/>
  <c r="A53" i="12"/>
  <c r="S2" i="12"/>
  <c r="S3" i="12"/>
  <c r="S4" i="12"/>
  <c r="S9" i="12"/>
  <c r="S10" i="12"/>
  <c r="S11" i="12"/>
  <c r="S12" i="12"/>
  <c r="S13" i="12"/>
  <c r="S14" i="12"/>
  <c r="S15" i="12"/>
  <c r="S16" i="12"/>
  <c r="S18" i="12"/>
  <c r="S19" i="12"/>
  <c r="S24" i="12"/>
  <c r="S25" i="12"/>
  <c r="S29" i="12"/>
  <c r="S30" i="12"/>
  <c r="S31" i="12"/>
  <c r="S32" i="12"/>
  <c r="S33" i="12"/>
  <c r="S34" i="12"/>
  <c r="S35" i="12"/>
  <c r="S36" i="12"/>
  <c r="S37" i="12"/>
  <c r="S38" i="12"/>
  <c r="S40" i="12"/>
  <c r="S41" i="12"/>
  <c r="S42" i="12"/>
  <c r="S43" i="12"/>
  <c r="S44" i="12"/>
  <c r="S45" i="12"/>
  <c r="S46" i="12"/>
  <c r="S47" i="12"/>
  <c r="S49" i="12"/>
  <c r="S50" i="12"/>
  <c r="S52" i="12"/>
  <c r="S53" i="12"/>
  <c r="S60" i="12"/>
  <c r="S61" i="12"/>
  <c r="S62" i="12"/>
  <c r="S63" i="12"/>
  <c r="S64" i="12"/>
  <c r="S67" i="12"/>
  <c r="S69" i="12"/>
  <c r="S70" i="12"/>
  <c r="S71" i="12"/>
  <c r="S72" i="12"/>
  <c r="S73" i="12"/>
  <c r="S74" i="12"/>
  <c r="S75" i="12"/>
  <c r="S76" i="12"/>
  <c r="S77" i="12"/>
  <c r="S78" i="12"/>
  <c r="S79" i="12"/>
  <c r="S80" i="12"/>
  <c r="S81" i="12"/>
  <c r="S84" i="12"/>
  <c r="S89" i="12"/>
  <c r="S93" i="12"/>
  <c r="S95" i="12"/>
  <c r="S98" i="12"/>
  <c r="S99" i="12"/>
  <c r="S100" i="12"/>
  <c r="S110" i="12"/>
  <c r="S112" i="12"/>
  <c r="S113" i="12"/>
  <c r="S114" i="12"/>
  <c r="S115" i="12"/>
  <c r="S116" i="12"/>
  <c r="S117" i="12"/>
  <c r="S118" i="12"/>
  <c r="S119" i="12"/>
  <c r="S120" i="12"/>
  <c r="S123" i="12"/>
  <c r="S124" i="12"/>
  <c r="S128" i="12"/>
  <c r="S129" i="12"/>
  <c r="S132" i="12"/>
  <c r="S133" i="12"/>
  <c r="S134" i="12"/>
  <c r="S137" i="12"/>
  <c r="S140" i="12"/>
  <c r="S141" i="12"/>
  <c r="S142" i="12"/>
  <c r="S143" i="12"/>
  <c r="S144" i="12"/>
  <c r="S145" i="12"/>
  <c r="S146" i="12"/>
  <c r="S147" i="12"/>
  <c r="S149" i="12"/>
  <c r="S152" i="12"/>
  <c r="S153" i="12"/>
  <c r="S155" i="12"/>
  <c r="S156" i="12"/>
  <c r="S157" i="12"/>
  <c r="S158" i="12"/>
  <c r="S159" i="12"/>
  <c r="S160" i="12"/>
  <c r="S161" i="12"/>
  <c r="S162" i="12"/>
  <c r="S164" i="12"/>
  <c r="S165" i="12"/>
  <c r="S166" i="12"/>
  <c r="S167" i="12"/>
  <c r="S172" i="12"/>
  <c r="S173" i="12"/>
  <c r="S176" i="12"/>
  <c r="S177" i="12"/>
  <c r="S178" i="12"/>
  <c r="S179" i="12"/>
  <c r="S180" i="12"/>
  <c r="S185" i="12"/>
  <c r="S186" i="12"/>
  <c r="S187" i="12"/>
  <c r="S188" i="12"/>
  <c r="S189" i="12"/>
  <c r="S192" i="12"/>
  <c r="S193" i="12"/>
  <c r="S194" i="12"/>
  <c r="S195" i="12"/>
  <c r="S197" i="12"/>
  <c r="S198" i="12"/>
  <c r="S199" i="12"/>
  <c r="S202" i="12"/>
  <c r="S203" i="12"/>
  <c r="S207" i="12"/>
  <c r="S208" i="12"/>
  <c r="S213" i="12"/>
  <c r="S214" i="12"/>
  <c r="S216" i="12"/>
  <c r="S217" i="12"/>
  <c r="S218" i="12"/>
  <c r="S219" i="12"/>
  <c r="S220" i="12"/>
  <c r="S221" i="12"/>
  <c r="S222" i="12"/>
  <c r="S223" i="12"/>
  <c r="S224" i="12"/>
  <c r="S225" i="12"/>
  <c r="S226" i="12"/>
  <c r="S227" i="12"/>
  <c r="S228" i="12"/>
  <c r="S229" i="12"/>
  <c r="S230" i="12"/>
  <c r="S231" i="12"/>
  <c r="S232" i="12"/>
  <c r="S233" i="12"/>
  <c r="S235" i="12"/>
  <c r="S236" i="12"/>
  <c r="S237" i="12"/>
  <c r="S238" i="12"/>
  <c r="S239" i="12"/>
  <c r="S242" i="12"/>
  <c r="S243" i="12"/>
  <c r="S244" i="12"/>
  <c r="S245" i="12"/>
  <c r="S247" i="12"/>
  <c r="S248" i="12"/>
  <c r="S249" i="12"/>
  <c r="S250" i="12"/>
  <c r="S251" i="12"/>
  <c r="S252" i="12"/>
  <c r="S253" i="12"/>
  <c r="S254" i="12"/>
  <c r="S255" i="12"/>
  <c r="S256" i="12"/>
  <c r="S257" i="12"/>
  <c r="S258" i="12"/>
  <c r="R9" i="12"/>
  <c r="R10" i="12"/>
  <c r="R11" i="12"/>
  <c r="R12" i="12"/>
  <c r="R13" i="12"/>
  <c r="R14" i="12"/>
  <c r="R15" i="12"/>
  <c r="R16" i="12"/>
  <c r="R18" i="12"/>
  <c r="R19" i="12"/>
  <c r="R24" i="12"/>
  <c r="R25" i="12"/>
  <c r="R29" i="12"/>
  <c r="R30" i="12"/>
  <c r="R31" i="12"/>
  <c r="R32" i="12"/>
  <c r="R33" i="12"/>
  <c r="R34" i="12"/>
  <c r="R35" i="12"/>
  <c r="R36" i="12"/>
  <c r="R37" i="12"/>
  <c r="R38" i="12"/>
  <c r="R40" i="12"/>
  <c r="R41" i="12"/>
  <c r="R42" i="12"/>
  <c r="R43" i="12"/>
  <c r="R44" i="12"/>
  <c r="R45" i="12"/>
  <c r="R46" i="12"/>
  <c r="R47" i="12"/>
  <c r="R49" i="12"/>
  <c r="R50" i="12"/>
  <c r="R52" i="12"/>
  <c r="R53" i="12"/>
  <c r="R60" i="12"/>
  <c r="R61" i="12"/>
  <c r="R62" i="12"/>
  <c r="R63" i="12"/>
  <c r="R64" i="12"/>
  <c r="R67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4" i="12"/>
  <c r="R89" i="12"/>
  <c r="R93" i="12"/>
  <c r="R95" i="12"/>
  <c r="R98" i="12"/>
  <c r="R99" i="12"/>
  <c r="R100" i="12"/>
  <c r="R110" i="12"/>
  <c r="R112" i="12"/>
  <c r="R113" i="12"/>
  <c r="R114" i="12"/>
  <c r="R115" i="12"/>
  <c r="R116" i="12"/>
  <c r="R117" i="12"/>
  <c r="R118" i="12"/>
  <c r="R119" i="12"/>
  <c r="R120" i="12"/>
  <c r="R123" i="12"/>
  <c r="R124" i="12"/>
  <c r="R128" i="12"/>
  <c r="R129" i="12"/>
  <c r="R132" i="12"/>
  <c r="R133" i="12"/>
  <c r="R134" i="12"/>
  <c r="R137" i="12"/>
  <c r="R140" i="12"/>
  <c r="R141" i="12"/>
  <c r="R142" i="12"/>
  <c r="R143" i="12"/>
  <c r="R144" i="12"/>
  <c r="R145" i="12"/>
  <c r="R146" i="12"/>
  <c r="R147" i="12"/>
  <c r="R149" i="12"/>
  <c r="R152" i="12"/>
  <c r="R153" i="12"/>
  <c r="R155" i="12"/>
  <c r="R156" i="12"/>
  <c r="R157" i="12"/>
  <c r="R158" i="12"/>
  <c r="R159" i="12"/>
  <c r="R160" i="12"/>
  <c r="R161" i="12"/>
  <c r="R162" i="12"/>
  <c r="R164" i="12"/>
  <c r="R165" i="12"/>
  <c r="R166" i="12"/>
  <c r="R167" i="12"/>
  <c r="R172" i="12"/>
  <c r="R173" i="12"/>
  <c r="R176" i="12"/>
  <c r="R177" i="12"/>
  <c r="R178" i="12"/>
  <c r="R179" i="12"/>
  <c r="R180" i="12"/>
  <c r="R185" i="12"/>
  <c r="R186" i="12"/>
  <c r="R187" i="12"/>
  <c r="R188" i="12"/>
  <c r="R189" i="12"/>
  <c r="R192" i="12"/>
  <c r="R193" i="12"/>
  <c r="R194" i="12"/>
  <c r="R195" i="12"/>
  <c r="R197" i="12"/>
  <c r="R198" i="12"/>
  <c r="R199" i="12"/>
  <c r="R202" i="12"/>
  <c r="R203" i="12"/>
  <c r="R207" i="12"/>
  <c r="R208" i="12"/>
  <c r="R213" i="12"/>
  <c r="R214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5" i="12"/>
  <c r="R236" i="12"/>
  <c r="R237" i="12"/>
  <c r="R238" i="12"/>
  <c r="R239" i="12"/>
  <c r="R242" i="12"/>
  <c r="R243" i="12"/>
  <c r="R244" i="12"/>
  <c r="R245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5" i="12"/>
  <c r="R266" i="12"/>
  <c r="R267" i="12"/>
  <c r="R268" i="12"/>
  <c r="R271" i="12"/>
  <c r="R272" i="12"/>
  <c r="R273" i="12"/>
  <c r="R274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3" i="12"/>
  <c r="R294" i="12"/>
  <c r="R295" i="12"/>
  <c r="R296" i="12"/>
  <c r="R297" i="12"/>
  <c r="R298" i="12"/>
  <c r="R299" i="12"/>
  <c r="R300" i="12"/>
  <c r="R301" i="12"/>
  <c r="R302" i="12"/>
  <c r="R303" i="12"/>
  <c r="R305" i="12"/>
  <c r="R306" i="12"/>
  <c r="R307" i="12"/>
  <c r="R309" i="12"/>
  <c r="R310" i="12"/>
  <c r="R311" i="12"/>
  <c r="R312" i="12"/>
  <c r="R313" i="12"/>
  <c r="R314" i="12"/>
  <c r="R315" i="12"/>
  <c r="R316" i="12"/>
  <c r="R317" i="12"/>
  <c r="R318" i="12"/>
  <c r="R319" i="12"/>
  <c r="R323" i="12"/>
  <c r="R324" i="12"/>
  <c r="R325" i="12"/>
  <c r="R326" i="12"/>
  <c r="R328" i="12"/>
  <c r="R329" i="12"/>
  <c r="R330" i="12"/>
  <c r="R331" i="12"/>
  <c r="R332" i="12"/>
  <c r="R333" i="12"/>
  <c r="R338" i="12"/>
  <c r="R339" i="12"/>
  <c r="R340" i="12"/>
  <c r="R341" i="12"/>
  <c r="R342" i="12"/>
  <c r="R345" i="12"/>
  <c r="R346" i="12"/>
  <c r="R347" i="12"/>
  <c r="R348" i="12"/>
  <c r="R349" i="12"/>
  <c r="R350" i="12"/>
  <c r="R351" i="12"/>
  <c r="R352" i="12"/>
  <c r="R353" i="12"/>
  <c r="R354" i="12"/>
  <c r="R360" i="12"/>
  <c r="R361" i="12"/>
  <c r="R362" i="12"/>
  <c r="R363" i="12"/>
  <c r="R364" i="12"/>
  <c r="R365" i="12"/>
  <c r="R368" i="12"/>
  <c r="R369" i="12"/>
  <c r="R370" i="12"/>
  <c r="R371" i="12"/>
  <c r="R372" i="12"/>
  <c r="R373" i="12"/>
  <c r="R374" i="12"/>
  <c r="R375" i="12"/>
  <c r="R376" i="12"/>
  <c r="R377" i="12"/>
  <c r="R380" i="12"/>
  <c r="R381" i="12"/>
  <c r="R382" i="12"/>
  <c r="R383" i="12"/>
  <c r="R384" i="12"/>
  <c r="R386" i="12"/>
  <c r="R387" i="12"/>
  <c r="R388" i="12"/>
  <c r="R389" i="12"/>
  <c r="R390" i="12"/>
  <c r="R399" i="12"/>
  <c r="R400" i="12"/>
  <c r="R401" i="12"/>
  <c r="R403" i="12"/>
  <c r="R404" i="12"/>
  <c r="R405" i="12"/>
  <c r="R412" i="12"/>
  <c r="R413" i="12"/>
  <c r="R414" i="12"/>
  <c r="R415" i="12"/>
  <c r="R417" i="12"/>
  <c r="R418" i="12"/>
  <c r="R420" i="12"/>
  <c r="R421" i="12"/>
  <c r="R422" i="12"/>
  <c r="R423" i="12"/>
  <c r="R428" i="12"/>
  <c r="R433" i="12"/>
  <c r="R435" i="12"/>
  <c r="R439" i="12"/>
  <c r="R440" i="12"/>
  <c r="R441" i="12"/>
  <c r="R587" i="12"/>
  <c r="R588" i="12"/>
  <c r="R589" i="12"/>
  <c r="R590" i="12"/>
  <c r="R591" i="12"/>
  <c r="R592" i="12"/>
  <c r="R593" i="12"/>
  <c r="R594" i="12"/>
  <c r="R595" i="12"/>
  <c r="R596" i="12"/>
  <c r="R597" i="12"/>
  <c r="R598" i="12"/>
  <c r="R599" i="12"/>
  <c r="R600" i="12"/>
  <c r="R601" i="12"/>
  <c r="R602" i="12"/>
  <c r="R603" i="12"/>
  <c r="R604" i="12"/>
  <c r="R605" i="12"/>
  <c r="R606" i="12"/>
  <c r="R607" i="12"/>
  <c r="R608" i="12"/>
  <c r="R609" i="12"/>
  <c r="R610" i="12"/>
  <c r="R611" i="12"/>
  <c r="R612" i="12"/>
  <c r="R613" i="12"/>
  <c r="R614" i="12"/>
  <c r="R615" i="12"/>
  <c r="R616" i="12"/>
  <c r="R617" i="12"/>
  <c r="R618" i="12"/>
  <c r="R619" i="12"/>
  <c r="R620" i="12"/>
  <c r="R621" i="12"/>
  <c r="R622" i="12"/>
  <c r="R623" i="12"/>
  <c r="R624" i="12"/>
  <c r="R625" i="12"/>
  <c r="R626" i="12"/>
  <c r="R627" i="12"/>
  <c r="R628" i="12"/>
  <c r="R629" i="12"/>
  <c r="R630" i="12"/>
  <c r="R631" i="12"/>
  <c r="R632" i="12"/>
  <c r="R633" i="12"/>
  <c r="R634" i="12"/>
  <c r="R635" i="12"/>
  <c r="R636" i="12"/>
  <c r="R637" i="12"/>
  <c r="R638" i="12"/>
  <c r="R639" i="12"/>
  <c r="R640" i="12"/>
  <c r="R641" i="12"/>
  <c r="R642" i="12"/>
  <c r="R643" i="12"/>
  <c r="R644" i="12"/>
  <c r="R645" i="12"/>
  <c r="R646" i="12"/>
  <c r="R647" i="12"/>
  <c r="R648" i="12"/>
  <c r="R649" i="12"/>
  <c r="R650" i="12"/>
  <c r="R651" i="12"/>
  <c r="R652" i="12"/>
  <c r="R653" i="12"/>
  <c r="R654" i="12"/>
  <c r="R655" i="12"/>
  <c r="R656" i="12"/>
  <c r="R657" i="12"/>
  <c r="R658" i="12"/>
  <c r="R659" i="12"/>
  <c r="R660" i="12"/>
  <c r="R661" i="12"/>
  <c r="R662" i="12"/>
  <c r="R663" i="12"/>
  <c r="R664" i="12"/>
  <c r="R665" i="12"/>
  <c r="R666" i="12"/>
  <c r="R667" i="12"/>
  <c r="R668" i="12"/>
  <c r="R669" i="12"/>
  <c r="R670" i="12"/>
  <c r="R671" i="12"/>
  <c r="R672" i="12"/>
  <c r="R673" i="12"/>
  <c r="R674" i="12"/>
  <c r="R675" i="12"/>
  <c r="R676" i="12"/>
  <c r="R677" i="12"/>
  <c r="R678" i="12"/>
  <c r="R679" i="12"/>
  <c r="R680" i="12"/>
  <c r="R681" i="12"/>
  <c r="R682" i="12"/>
  <c r="R683" i="12"/>
  <c r="R684" i="12"/>
  <c r="R685" i="12"/>
  <c r="R686" i="12"/>
  <c r="R687" i="12"/>
  <c r="R688" i="12"/>
  <c r="R689" i="12"/>
  <c r="R690" i="12"/>
  <c r="R691" i="12"/>
  <c r="R692" i="12"/>
  <c r="R693" i="12"/>
  <c r="R694" i="12"/>
  <c r="R695" i="12"/>
  <c r="R696" i="12"/>
  <c r="R697" i="12"/>
  <c r="R698" i="12"/>
  <c r="R699" i="12"/>
  <c r="R700" i="12"/>
  <c r="R701" i="12"/>
  <c r="R702" i="12"/>
  <c r="R703" i="12"/>
  <c r="R704" i="12"/>
  <c r="R705" i="12"/>
  <c r="R706" i="12"/>
  <c r="R707" i="12"/>
  <c r="R708" i="12"/>
  <c r="R709" i="12"/>
  <c r="R710" i="12"/>
  <c r="R711" i="12"/>
  <c r="R712" i="12"/>
  <c r="R713" i="12"/>
  <c r="R714" i="12"/>
  <c r="R715" i="12"/>
  <c r="R716" i="12"/>
  <c r="R717" i="12"/>
  <c r="R718" i="12"/>
  <c r="R719" i="12"/>
  <c r="R720" i="12"/>
  <c r="R721" i="12"/>
  <c r="R722" i="12"/>
  <c r="R723" i="12"/>
  <c r="R724" i="12"/>
  <c r="R725" i="12"/>
  <c r="R726" i="12"/>
  <c r="R727" i="12"/>
  <c r="R728" i="12"/>
  <c r="R729" i="12"/>
  <c r="R730" i="12"/>
  <c r="R731" i="12"/>
  <c r="R732" i="12"/>
  <c r="R733" i="12"/>
  <c r="R734" i="12"/>
  <c r="R735" i="12"/>
  <c r="R736" i="12"/>
  <c r="R737" i="12"/>
  <c r="R738" i="12"/>
  <c r="R739" i="12"/>
  <c r="R740" i="12"/>
  <c r="R741" i="12"/>
  <c r="R742" i="12"/>
  <c r="R743" i="12"/>
  <c r="R744" i="12"/>
  <c r="R745" i="12"/>
  <c r="R746" i="12"/>
  <c r="R747" i="12"/>
  <c r="R748" i="12"/>
  <c r="R749" i="12"/>
  <c r="R750" i="12"/>
  <c r="R751" i="12"/>
  <c r="R752" i="12"/>
  <c r="R753" i="12"/>
  <c r="R754" i="12"/>
  <c r="R755" i="12"/>
  <c r="R756" i="12"/>
  <c r="R757" i="12"/>
  <c r="R758" i="12"/>
  <c r="R759" i="12"/>
  <c r="R760" i="12"/>
  <c r="R761" i="12"/>
  <c r="R762" i="12"/>
  <c r="R763" i="12"/>
  <c r="R764" i="12"/>
  <c r="R765" i="12"/>
  <c r="R766" i="12"/>
  <c r="R767" i="12"/>
  <c r="R768" i="12"/>
  <c r="R769" i="12"/>
  <c r="R770" i="12"/>
  <c r="R771" i="12"/>
  <c r="R772" i="12"/>
  <c r="R773" i="12"/>
  <c r="R774" i="12"/>
  <c r="R775" i="12"/>
  <c r="R776" i="12"/>
  <c r="R777" i="12"/>
  <c r="R778" i="12"/>
  <c r="R779" i="12"/>
  <c r="R780" i="12"/>
  <c r="R781" i="12"/>
  <c r="R782" i="12"/>
  <c r="R783" i="12"/>
  <c r="R784" i="12"/>
  <c r="R785" i="12"/>
  <c r="R786" i="12"/>
  <c r="R787" i="12"/>
  <c r="R788" i="12"/>
  <c r="R789" i="12"/>
  <c r="R790" i="12"/>
  <c r="R791" i="12"/>
  <c r="R792" i="12"/>
  <c r="R793" i="12"/>
  <c r="R794" i="12"/>
  <c r="R795" i="12"/>
  <c r="R796" i="12"/>
  <c r="R797" i="12"/>
  <c r="R798" i="12"/>
  <c r="R799" i="12"/>
  <c r="R800" i="12"/>
  <c r="R801" i="12"/>
  <c r="R802" i="12"/>
  <c r="R803" i="12"/>
  <c r="R804" i="12"/>
  <c r="R805" i="12"/>
  <c r="R806" i="12"/>
  <c r="R807" i="12"/>
  <c r="R808" i="12"/>
  <c r="R809" i="12"/>
  <c r="R810" i="12"/>
  <c r="R811" i="12"/>
  <c r="R812" i="12"/>
  <c r="R813" i="12"/>
  <c r="R814" i="12"/>
  <c r="R815" i="12"/>
  <c r="R816" i="12"/>
  <c r="R817" i="12"/>
  <c r="R818" i="12"/>
  <c r="R819" i="12"/>
  <c r="R820" i="12"/>
  <c r="R821" i="12"/>
  <c r="R822" i="12"/>
  <c r="R823" i="12"/>
  <c r="R824" i="12"/>
  <c r="R825" i="12"/>
  <c r="R826" i="12"/>
  <c r="R827" i="12"/>
  <c r="R828" i="12"/>
  <c r="R829" i="12"/>
  <c r="R830" i="12"/>
  <c r="R831" i="12"/>
  <c r="R832" i="12"/>
  <c r="R833" i="12"/>
  <c r="R834" i="12"/>
  <c r="R835" i="12"/>
  <c r="R836" i="12"/>
  <c r="R837" i="12"/>
  <c r="R838" i="12"/>
  <c r="R839" i="12"/>
  <c r="R840" i="12"/>
  <c r="R841" i="12"/>
  <c r="R842" i="12"/>
  <c r="R843" i="12"/>
  <c r="R844" i="12"/>
  <c r="R845" i="12"/>
  <c r="R846" i="12"/>
  <c r="R847" i="12"/>
  <c r="R848" i="12"/>
  <c r="R849" i="12"/>
  <c r="R850" i="12"/>
  <c r="R851" i="12"/>
  <c r="R852" i="12"/>
  <c r="R853" i="12"/>
  <c r="R854" i="12"/>
  <c r="R855" i="12"/>
  <c r="R856" i="12"/>
  <c r="R857" i="12"/>
  <c r="R858" i="12"/>
  <c r="R859" i="12"/>
  <c r="R860" i="12"/>
  <c r="R861" i="12"/>
  <c r="R862" i="12"/>
  <c r="R863" i="12"/>
  <c r="R864" i="12"/>
  <c r="R865" i="12"/>
  <c r="R866" i="12"/>
  <c r="R867" i="12"/>
  <c r="R868" i="12"/>
  <c r="R869" i="12"/>
  <c r="R870" i="12"/>
  <c r="R871" i="12"/>
  <c r="R872" i="12"/>
  <c r="R873" i="12"/>
  <c r="R874" i="12"/>
  <c r="R875" i="12"/>
  <c r="R876" i="12"/>
  <c r="R877" i="12"/>
  <c r="R878" i="12"/>
  <c r="R879" i="12"/>
  <c r="R880" i="12"/>
  <c r="R881" i="12"/>
  <c r="R882" i="12"/>
  <c r="R883" i="12"/>
  <c r="R884" i="12"/>
  <c r="R885" i="12"/>
  <c r="R886" i="12"/>
  <c r="R887" i="12"/>
  <c r="R888" i="12"/>
  <c r="R889" i="12"/>
  <c r="R890" i="12"/>
  <c r="R891" i="12"/>
  <c r="R892" i="12"/>
  <c r="R893" i="12"/>
  <c r="R894" i="12"/>
  <c r="R895" i="12"/>
  <c r="R896" i="12"/>
  <c r="R897" i="12"/>
  <c r="R898" i="12"/>
  <c r="R899" i="12"/>
  <c r="R900" i="12"/>
  <c r="R901" i="12"/>
  <c r="R902" i="12"/>
  <c r="R903" i="12"/>
  <c r="R904" i="12"/>
  <c r="R905" i="12"/>
  <c r="R906" i="12"/>
  <c r="R907" i="12"/>
  <c r="R908" i="12"/>
  <c r="R909" i="12"/>
  <c r="R910" i="12"/>
  <c r="R911" i="12"/>
  <c r="R912" i="12"/>
  <c r="R913" i="12"/>
  <c r="R914" i="12"/>
  <c r="R915" i="12"/>
  <c r="R916" i="12"/>
  <c r="R917" i="12"/>
  <c r="R918" i="12"/>
  <c r="R919" i="12"/>
  <c r="R920" i="12"/>
  <c r="R921" i="12"/>
  <c r="R922" i="12"/>
  <c r="R923" i="12"/>
  <c r="R924" i="12"/>
  <c r="R925" i="12"/>
  <c r="R926" i="12"/>
  <c r="R927" i="12"/>
  <c r="R928" i="12"/>
  <c r="R929" i="12"/>
  <c r="R930" i="12"/>
  <c r="R931" i="12"/>
  <c r="R932" i="12"/>
  <c r="R933" i="12"/>
  <c r="R934" i="12"/>
  <c r="R935" i="12"/>
  <c r="R936" i="12"/>
  <c r="R937" i="12"/>
  <c r="R938" i="12"/>
  <c r="R939" i="12"/>
  <c r="R940" i="12"/>
  <c r="R941" i="12"/>
  <c r="R942" i="12"/>
  <c r="R943" i="12"/>
  <c r="R944" i="12"/>
  <c r="R945" i="12"/>
  <c r="R946" i="12"/>
  <c r="R947" i="12"/>
  <c r="R948" i="12"/>
  <c r="R949" i="12"/>
  <c r="R950" i="12"/>
  <c r="R951" i="12"/>
  <c r="R952" i="12"/>
  <c r="R953" i="12"/>
  <c r="R954" i="12"/>
  <c r="R955" i="12"/>
  <c r="R956" i="12"/>
  <c r="R957" i="12"/>
  <c r="R958" i="12"/>
  <c r="R959" i="12"/>
  <c r="R960" i="12"/>
  <c r="R961" i="12"/>
  <c r="R962" i="12"/>
  <c r="R963" i="12"/>
  <c r="R964" i="12"/>
  <c r="R965" i="12"/>
  <c r="R966" i="12"/>
  <c r="R967" i="12"/>
  <c r="R968" i="12"/>
  <c r="R969" i="12"/>
  <c r="R970" i="12"/>
  <c r="R971" i="12"/>
  <c r="R972" i="12"/>
  <c r="R973" i="12"/>
  <c r="R974" i="12"/>
  <c r="R975" i="12"/>
  <c r="R976" i="12"/>
  <c r="R977" i="12"/>
  <c r="R978" i="12"/>
  <c r="R979" i="12"/>
  <c r="R980" i="12"/>
  <c r="R981" i="12"/>
  <c r="R982" i="12"/>
  <c r="R983" i="12"/>
  <c r="R984" i="12"/>
  <c r="R985" i="12"/>
  <c r="R986" i="12"/>
  <c r="R987" i="12"/>
  <c r="R988" i="12"/>
  <c r="R989" i="12"/>
  <c r="R990" i="12"/>
  <c r="R991" i="12"/>
  <c r="R992" i="12"/>
  <c r="R993" i="12"/>
  <c r="R994" i="12"/>
  <c r="R995" i="12"/>
  <c r="R996" i="12"/>
  <c r="R997" i="12"/>
  <c r="R998" i="12"/>
  <c r="R999" i="12"/>
  <c r="R1000" i="12"/>
  <c r="R1001" i="12"/>
  <c r="R1002" i="12"/>
  <c r="R1003" i="12"/>
  <c r="R1004" i="12"/>
  <c r="R1005" i="12"/>
  <c r="R1006" i="12"/>
  <c r="R1007" i="12"/>
  <c r="R1008" i="12"/>
  <c r="R1009" i="12"/>
  <c r="R1010" i="12"/>
  <c r="R1011" i="12"/>
  <c r="R1012" i="12"/>
  <c r="R1013" i="12"/>
  <c r="R1014" i="12"/>
  <c r="R1015" i="12"/>
  <c r="R1016" i="12"/>
  <c r="R1017" i="12"/>
  <c r="R1018" i="12"/>
  <c r="R1019" i="12"/>
  <c r="R1020" i="12"/>
  <c r="R1021" i="12"/>
  <c r="R1022" i="12"/>
  <c r="R1023" i="12"/>
  <c r="R1024" i="12"/>
  <c r="R1025" i="12"/>
  <c r="R1026" i="12"/>
  <c r="R1027" i="12"/>
  <c r="R1028" i="12"/>
  <c r="R1029" i="12"/>
  <c r="R1030" i="12"/>
  <c r="R1031" i="12"/>
  <c r="R1032" i="12"/>
  <c r="R1033" i="12"/>
  <c r="R1034" i="12"/>
  <c r="R1035" i="12"/>
  <c r="R1036" i="12"/>
  <c r="R1037" i="12"/>
  <c r="R1038" i="12"/>
  <c r="R1039" i="12"/>
  <c r="R1040" i="12"/>
  <c r="R1041" i="12"/>
  <c r="R1042" i="12"/>
  <c r="R1043" i="12"/>
  <c r="R1044" i="12"/>
  <c r="R1045" i="12"/>
  <c r="R1046" i="12"/>
  <c r="R1047" i="12"/>
  <c r="R1048" i="12"/>
  <c r="R1049" i="12"/>
  <c r="R1050" i="12"/>
  <c r="R1051" i="12"/>
  <c r="R1052" i="12"/>
  <c r="R1053" i="12"/>
  <c r="R1054" i="12"/>
  <c r="R1055" i="12"/>
  <c r="R1056" i="12"/>
  <c r="R1057" i="12"/>
  <c r="R1058" i="12"/>
  <c r="R1059" i="12"/>
  <c r="R1060" i="12"/>
  <c r="R1061" i="12"/>
  <c r="R1062" i="12"/>
  <c r="R1063" i="12"/>
  <c r="R1064" i="12"/>
  <c r="R1065" i="12"/>
  <c r="R1066" i="12"/>
  <c r="R1067" i="12"/>
  <c r="R1068" i="12"/>
  <c r="R1069" i="12"/>
  <c r="R1070" i="12"/>
  <c r="R1071" i="12"/>
  <c r="R1072" i="12"/>
  <c r="R1073" i="12"/>
  <c r="R1074" i="12"/>
  <c r="R1075" i="12"/>
  <c r="R1076" i="12"/>
  <c r="R1077" i="12"/>
  <c r="R1078" i="12"/>
  <c r="R1079" i="12"/>
  <c r="R1080" i="12"/>
  <c r="R1081" i="12"/>
  <c r="R1082" i="12"/>
  <c r="R1083" i="12"/>
  <c r="R1084" i="12"/>
  <c r="R1085" i="12"/>
  <c r="R1086" i="12"/>
  <c r="R1087" i="12"/>
  <c r="R1088" i="12"/>
  <c r="R1089" i="12"/>
  <c r="R1090" i="12"/>
  <c r="R1091" i="12"/>
  <c r="R1092" i="12"/>
  <c r="R1093" i="12"/>
  <c r="R1094" i="12"/>
  <c r="R1095" i="12"/>
  <c r="R1096" i="12"/>
  <c r="R1097" i="12"/>
  <c r="R1098" i="12"/>
  <c r="R1099" i="12"/>
  <c r="R1100" i="12"/>
  <c r="R1101" i="12"/>
  <c r="R1102" i="12"/>
  <c r="R1103" i="12"/>
  <c r="R1104" i="12"/>
  <c r="R1105" i="12"/>
  <c r="R1106" i="12"/>
  <c r="R1107" i="12"/>
  <c r="R1108" i="12"/>
  <c r="R1109" i="12"/>
  <c r="R1110" i="12"/>
  <c r="R1111" i="12"/>
  <c r="R1112" i="12"/>
  <c r="R1113" i="12"/>
  <c r="R1114" i="12"/>
  <c r="R1115" i="12"/>
  <c r="R1116" i="12"/>
  <c r="R1117" i="12"/>
  <c r="R1118" i="12"/>
  <c r="R1119" i="12"/>
  <c r="R1120" i="12"/>
  <c r="R1121" i="12"/>
  <c r="R1122" i="12"/>
  <c r="R1123" i="12"/>
  <c r="R1124" i="12"/>
  <c r="R1125" i="12"/>
  <c r="R1126" i="12"/>
  <c r="R1127" i="12"/>
  <c r="R1128" i="12"/>
  <c r="R1129" i="12"/>
  <c r="R1130" i="12"/>
  <c r="R1131" i="12"/>
  <c r="R1132" i="12"/>
  <c r="R1133" i="12"/>
  <c r="R1134" i="12"/>
  <c r="R1135" i="12"/>
  <c r="R1136" i="12"/>
  <c r="R1137" i="12"/>
  <c r="R1138" i="12"/>
  <c r="R1139" i="12"/>
  <c r="R1140" i="12"/>
  <c r="R1141" i="12"/>
  <c r="R1142" i="12"/>
  <c r="R1143" i="12"/>
  <c r="R1144" i="12"/>
  <c r="R1145" i="12"/>
  <c r="R1146" i="12"/>
  <c r="R1147" i="12"/>
  <c r="R1148" i="12"/>
  <c r="R1149" i="12"/>
  <c r="R1150" i="12"/>
  <c r="R1151" i="12"/>
  <c r="R1152" i="12"/>
  <c r="R1153" i="12"/>
  <c r="R1154" i="12"/>
  <c r="R1155" i="12"/>
  <c r="R1156" i="12"/>
  <c r="R1157" i="12"/>
  <c r="R1158" i="12"/>
  <c r="R1159" i="12"/>
  <c r="R1160" i="12"/>
  <c r="R1161" i="12"/>
  <c r="R1162" i="12"/>
  <c r="R1163" i="12"/>
  <c r="R1164" i="12"/>
  <c r="R1165" i="12"/>
  <c r="R1166" i="12"/>
  <c r="R1167" i="12"/>
  <c r="R1168" i="12"/>
  <c r="R1169" i="12"/>
  <c r="R1170" i="12"/>
  <c r="R1171" i="12"/>
  <c r="R1172" i="12"/>
  <c r="R1173" i="12"/>
  <c r="R1174" i="12"/>
  <c r="R1175" i="12"/>
  <c r="R1176" i="12"/>
  <c r="R1177" i="12"/>
  <c r="R1178" i="12"/>
  <c r="R1179" i="12"/>
  <c r="R1180" i="12"/>
  <c r="R1181" i="12"/>
  <c r="R1182" i="12"/>
  <c r="R1183" i="12"/>
  <c r="R1184" i="12"/>
  <c r="R1185" i="12"/>
  <c r="R1186" i="12"/>
  <c r="R1187" i="12"/>
  <c r="R1188" i="12"/>
  <c r="R1189" i="12"/>
  <c r="R1190" i="12"/>
  <c r="R1191" i="12"/>
  <c r="R1192" i="12"/>
  <c r="R1193" i="12"/>
  <c r="R1194" i="12"/>
  <c r="R1195" i="12"/>
  <c r="R1196" i="12"/>
  <c r="R1197" i="12"/>
  <c r="R1198" i="12"/>
  <c r="R1199" i="12"/>
  <c r="R1200" i="12"/>
  <c r="R1201" i="12"/>
  <c r="R1202" i="12"/>
  <c r="R1203" i="12"/>
  <c r="R1204" i="12"/>
  <c r="R1205" i="12"/>
  <c r="R1206" i="12"/>
  <c r="R1207" i="12"/>
  <c r="R1208" i="12"/>
  <c r="R1209" i="12"/>
  <c r="R1210" i="12"/>
  <c r="R1211" i="12"/>
  <c r="R1212" i="12"/>
  <c r="R1213" i="12"/>
  <c r="R1214" i="12"/>
  <c r="R1215" i="12"/>
  <c r="R1216" i="12"/>
  <c r="R1217" i="12"/>
  <c r="R1218" i="12"/>
  <c r="R1219" i="12"/>
  <c r="R1220" i="12"/>
  <c r="R1221" i="12"/>
  <c r="R1222" i="12"/>
  <c r="R1223" i="12"/>
  <c r="R1224" i="12"/>
  <c r="R1225" i="12"/>
  <c r="R1226" i="12"/>
  <c r="R1227" i="12"/>
  <c r="R1228" i="12"/>
  <c r="R1229" i="12"/>
  <c r="R1230" i="12"/>
  <c r="R1231" i="12"/>
  <c r="R1232" i="12"/>
  <c r="R1233" i="12"/>
  <c r="R1234" i="12"/>
  <c r="R1235" i="12"/>
  <c r="R1236" i="12"/>
  <c r="R1237" i="12"/>
  <c r="R1238" i="12"/>
  <c r="R1239" i="12"/>
  <c r="R1240" i="12"/>
  <c r="R1241" i="12"/>
  <c r="R1242" i="12"/>
  <c r="R1243" i="12"/>
  <c r="R1244" i="12"/>
  <c r="R1245" i="12"/>
  <c r="R1246" i="12"/>
  <c r="R1247" i="12"/>
  <c r="R1248" i="12"/>
  <c r="R1249" i="12"/>
  <c r="R1250" i="12"/>
  <c r="R1251" i="12"/>
  <c r="R1252" i="12"/>
  <c r="R1253" i="12"/>
  <c r="R1254" i="12"/>
  <c r="R1255" i="12"/>
  <c r="R1256" i="12"/>
  <c r="R1257" i="12"/>
  <c r="R1258" i="12"/>
  <c r="R1259" i="12"/>
  <c r="R1260" i="12"/>
  <c r="R1261" i="12"/>
  <c r="R1262" i="12"/>
  <c r="R1263" i="12"/>
  <c r="R1264" i="12"/>
  <c r="R1265" i="12"/>
  <c r="R1266" i="12"/>
  <c r="R1267" i="12"/>
  <c r="R1268" i="12"/>
  <c r="R1269" i="12"/>
  <c r="R1270" i="12"/>
  <c r="R1271" i="12"/>
  <c r="R1272" i="12"/>
  <c r="R1273" i="12"/>
  <c r="R1274" i="12"/>
  <c r="R1275" i="12"/>
  <c r="R1276" i="12"/>
  <c r="R1277" i="12"/>
  <c r="R1278" i="12"/>
  <c r="R1279" i="12"/>
  <c r="R1280" i="12"/>
  <c r="R1281" i="12"/>
  <c r="R1282" i="12"/>
  <c r="R1283" i="12"/>
  <c r="R1284" i="12"/>
  <c r="R1285" i="12"/>
  <c r="R1286" i="12"/>
  <c r="R1287" i="12"/>
  <c r="R1288" i="12"/>
  <c r="R1289" i="12"/>
  <c r="R1290" i="12"/>
  <c r="R1291" i="12"/>
  <c r="R1292" i="12"/>
  <c r="R1293" i="12"/>
  <c r="R1294" i="12"/>
  <c r="R1295" i="12"/>
  <c r="R1296" i="12"/>
  <c r="R1297" i="12"/>
  <c r="R1298" i="12"/>
  <c r="R1299" i="12"/>
  <c r="R1300" i="12"/>
  <c r="R1301" i="12"/>
  <c r="R1302" i="12"/>
  <c r="R1303" i="12"/>
  <c r="R1304" i="12"/>
  <c r="R1305" i="12"/>
  <c r="R1306" i="12"/>
  <c r="R1307" i="12"/>
  <c r="R1308" i="12"/>
  <c r="R1309" i="12"/>
  <c r="R1310" i="12"/>
  <c r="R1311" i="12"/>
  <c r="R1312" i="12"/>
  <c r="R1313" i="12"/>
  <c r="R1314" i="12"/>
  <c r="R1315" i="12"/>
  <c r="R1316" i="12"/>
  <c r="R1317" i="12"/>
  <c r="R1318" i="12"/>
  <c r="R1319" i="12"/>
  <c r="R1320" i="12"/>
  <c r="R1321" i="12"/>
  <c r="R1322" i="12"/>
  <c r="R1323" i="12"/>
  <c r="R1324" i="12"/>
  <c r="R1325" i="12"/>
  <c r="R1326" i="12"/>
  <c r="R1327" i="12"/>
  <c r="R1328" i="12"/>
  <c r="R1329" i="12"/>
  <c r="R1330" i="12"/>
  <c r="R1331" i="12"/>
  <c r="R1332" i="12"/>
  <c r="R1333" i="12"/>
  <c r="R1334" i="12"/>
  <c r="R1335" i="12"/>
  <c r="R1336" i="12"/>
  <c r="R1337" i="12"/>
  <c r="R1338" i="12"/>
  <c r="R1339" i="12"/>
  <c r="R1340" i="12"/>
  <c r="R1341" i="12"/>
  <c r="R1342" i="12"/>
  <c r="R1343" i="12"/>
  <c r="R1344" i="12"/>
  <c r="R1345" i="12"/>
  <c r="R1346" i="12"/>
  <c r="R1347" i="12"/>
  <c r="R1348" i="12"/>
  <c r="R1349" i="12"/>
  <c r="R1350" i="12"/>
  <c r="R1351" i="12"/>
  <c r="R1352" i="12"/>
  <c r="R1353" i="12"/>
  <c r="R1354" i="12"/>
  <c r="R1355" i="12"/>
  <c r="R1356" i="12"/>
  <c r="R1357" i="12"/>
  <c r="R1358" i="12"/>
  <c r="R1359" i="12"/>
  <c r="R1360" i="12"/>
  <c r="R1361" i="12"/>
  <c r="R1362" i="12"/>
  <c r="R1363" i="12"/>
  <c r="R1364" i="12"/>
  <c r="R1365" i="12"/>
  <c r="R1366" i="12"/>
  <c r="R1367" i="12"/>
  <c r="R1368" i="12"/>
  <c r="R1369" i="12"/>
  <c r="R1370" i="12"/>
  <c r="R2" i="12"/>
  <c r="R3" i="12"/>
  <c r="R4" i="12"/>
  <c r="Q2" i="12"/>
  <c r="Q3" i="12"/>
  <c r="Q4" i="12"/>
  <c r="Q9" i="12"/>
  <c r="Q10" i="12"/>
  <c r="Q11" i="12"/>
  <c r="Q12" i="12"/>
  <c r="Q13" i="12"/>
  <c r="Q14" i="12"/>
  <c r="Q15" i="12"/>
  <c r="Q16" i="12"/>
  <c r="Q18" i="12"/>
  <c r="Q19" i="12"/>
  <c r="Q24" i="12"/>
  <c r="Q25" i="12"/>
  <c r="Q29" i="12"/>
  <c r="Q30" i="12"/>
  <c r="Q31" i="12"/>
  <c r="Q32" i="12"/>
  <c r="Q33" i="12"/>
  <c r="Q34" i="12"/>
  <c r="Q35" i="12"/>
  <c r="Q36" i="12"/>
  <c r="Q37" i="12"/>
  <c r="Q38" i="12"/>
  <c r="Q40" i="12"/>
  <c r="Q41" i="12"/>
  <c r="Q42" i="12"/>
  <c r="Q43" i="12"/>
  <c r="Q44" i="12"/>
  <c r="Q45" i="12"/>
  <c r="Q46" i="12"/>
  <c r="Q47" i="12"/>
  <c r="Q49" i="12"/>
  <c r="Q50" i="12"/>
  <c r="Q52" i="12"/>
  <c r="Q53" i="12"/>
  <c r="Q60" i="12"/>
  <c r="Q61" i="12"/>
  <c r="Q62" i="12"/>
  <c r="Q63" i="12"/>
  <c r="Q64" i="12"/>
  <c r="Q67" i="12"/>
  <c r="Q69" i="12"/>
  <c r="Q70" i="12"/>
  <c r="Q71" i="12"/>
  <c r="Q72" i="12"/>
  <c r="Q73" i="12"/>
  <c r="Q74" i="12"/>
  <c r="Q75" i="12"/>
  <c r="Q76" i="12"/>
  <c r="Q77" i="12"/>
  <c r="Q78" i="12"/>
  <c r="Q79" i="12"/>
  <c r="Q80" i="12"/>
  <c r="Q81" i="12"/>
  <c r="Q84" i="12"/>
  <c r="Q89" i="12"/>
  <c r="Q93" i="12"/>
  <c r="Q95" i="12"/>
  <c r="Q98" i="12"/>
  <c r="Q99" i="12"/>
  <c r="Q100" i="12"/>
  <c r="Q110" i="12"/>
  <c r="Q112" i="12"/>
  <c r="Q113" i="12"/>
  <c r="Q114" i="12"/>
  <c r="Q115" i="12"/>
  <c r="Q116" i="12"/>
  <c r="Q117" i="12"/>
  <c r="Q118" i="12"/>
  <c r="Q119" i="12"/>
  <c r="Q120" i="12"/>
  <c r="Q123" i="12"/>
  <c r="Q124" i="12"/>
  <c r="Q128" i="12"/>
  <c r="Q129" i="12"/>
  <c r="Q132" i="12"/>
  <c r="Q133" i="12"/>
  <c r="Q134" i="12"/>
  <c r="Q137" i="12"/>
  <c r="Q140" i="12"/>
  <c r="Q141" i="12"/>
  <c r="Q142" i="12"/>
  <c r="Q143" i="12"/>
  <c r="Q144" i="12"/>
  <c r="Q145" i="12"/>
  <c r="Q146" i="12"/>
  <c r="Q147" i="12"/>
  <c r="Q149" i="12"/>
  <c r="Q152" i="12"/>
  <c r="Q153" i="12"/>
  <c r="Q155" i="12"/>
  <c r="Q156" i="12"/>
  <c r="Q157" i="12"/>
  <c r="Q158" i="12"/>
  <c r="Q159" i="12"/>
  <c r="Q160" i="12"/>
  <c r="Q161" i="12"/>
  <c r="Q162" i="12"/>
  <c r="Q164" i="12"/>
  <c r="Q165" i="12"/>
  <c r="Q166" i="12"/>
  <c r="Q167" i="12"/>
  <c r="Q172" i="12"/>
  <c r="Q173" i="12"/>
  <c r="Q176" i="12"/>
  <c r="Q177" i="12"/>
  <c r="Q178" i="12"/>
  <c r="Q179" i="12"/>
  <c r="Q180" i="12"/>
  <c r="Q185" i="12"/>
  <c r="Q186" i="12"/>
  <c r="Q187" i="12"/>
  <c r="Q188" i="12"/>
  <c r="Q189" i="12"/>
  <c r="Q192" i="12"/>
  <c r="Q193" i="12"/>
  <c r="Q194" i="12"/>
  <c r="Q195" i="12"/>
  <c r="Q197" i="12"/>
  <c r="Q198" i="12"/>
  <c r="Q199" i="12"/>
  <c r="Q202" i="12"/>
  <c r="Q203" i="12"/>
  <c r="Q207" i="12"/>
  <c r="Q208" i="12"/>
  <c r="Q213" i="12"/>
  <c r="Q214" i="12"/>
  <c r="Q216" i="12"/>
  <c r="Q217" i="12"/>
  <c r="Q218" i="12"/>
  <c r="Q219" i="12"/>
  <c r="Q220" i="12"/>
  <c r="Q221" i="12"/>
  <c r="Q222" i="12"/>
  <c r="Q223" i="12"/>
  <c r="Q224" i="12"/>
  <c r="Q225" i="12"/>
  <c r="Q226" i="12"/>
  <c r="Q227" i="12"/>
  <c r="Q228" i="12"/>
  <c r="Q229" i="12"/>
  <c r="Q230" i="12"/>
  <c r="Q231" i="12"/>
  <c r="Q232" i="12"/>
  <c r="Q233" i="12"/>
  <c r="Q235" i="12"/>
  <c r="Q236" i="12"/>
  <c r="Q237" i="12"/>
  <c r="Q238" i="12"/>
  <c r="Q239" i="12"/>
  <c r="Q242" i="12"/>
  <c r="Q243" i="12"/>
  <c r="Q244" i="12"/>
  <c r="Q245" i="12"/>
  <c r="Q247" i="12"/>
  <c r="Q248" i="12"/>
  <c r="Q249" i="12"/>
  <c r="Q250" i="12"/>
  <c r="Q251" i="12"/>
  <c r="Q252" i="12"/>
  <c r="Q253" i="12"/>
  <c r="Q254" i="12"/>
  <c r="Q255" i="12"/>
  <c r="Q256" i="12"/>
  <c r="Q257" i="12"/>
  <c r="Q258" i="12"/>
  <c r="Q259" i="12"/>
  <c r="Q260" i="12"/>
  <c r="Q261" i="12"/>
  <c r="Q265" i="12"/>
  <c r="Q266" i="12"/>
  <c r="Q267" i="12"/>
  <c r="Q268" i="12"/>
  <c r="Q271" i="12"/>
  <c r="Q272" i="12"/>
  <c r="Q273" i="12"/>
  <c r="Q274" i="12"/>
  <c r="Q276" i="12"/>
  <c r="Q277" i="12"/>
  <c r="Q278" i="12"/>
  <c r="Q279" i="12"/>
  <c r="Q280" i="12"/>
  <c r="Q281" i="12"/>
  <c r="Q282" i="12"/>
  <c r="Q283" i="12"/>
  <c r="Q284" i="12"/>
  <c r="Q285" i="12"/>
  <c r="Q286" i="12"/>
  <c r="Q287" i="12"/>
  <c r="Q288" i="12"/>
  <c r="Q289" i="12"/>
  <c r="Q290" i="12"/>
  <c r="Q291" i="12"/>
  <c r="Q293" i="12"/>
  <c r="Q294" i="12"/>
  <c r="Q295" i="12"/>
  <c r="Q296" i="12"/>
  <c r="Q297" i="12"/>
  <c r="Q298" i="12"/>
  <c r="Q299" i="12"/>
  <c r="Q300" i="12"/>
  <c r="Q301" i="12"/>
  <c r="Q302" i="12"/>
  <c r="Q303" i="12"/>
  <c r="Q305" i="12"/>
  <c r="Q306" i="12"/>
  <c r="Q307" i="12"/>
  <c r="Q309" i="12"/>
  <c r="Q310" i="12"/>
  <c r="Q311" i="12"/>
  <c r="Q312" i="12"/>
  <c r="Q313" i="12"/>
  <c r="Q314" i="12"/>
  <c r="Q315" i="12"/>
  <c r="Q316" i="12"/>
  <c r="Q317" i="12"/>
  <c r="Q318" i="12"/>
  <c r="Q319" i="12"/>
  <c r="Q323" i="12"/>
  <c r="Q324" i="12"/>
  <c r="Q325" i="12"/>
  <c r="Q326" i="12"/>
  <c r="Q328" i="12"/>
  <c r="Q329" i="12"/>
  <c r="Q330" i="12"/>
  <c r="Q331" i="12"/>
  <c r="Q332" i="12"/>
  <c r="Q333" i="12"/>
  <c r="Q338" i="12"/>
  <c r="Q339" i="12"/>
  <c r="Q340" i="12"/>
  <c r="Q341" i="12"/>
  <c r="Q342" i="12"/>
  <c r="I1" i="6"/>
  <c r="G3" i="6" s="1" a="1"/>
  <c r="G3" i="6" s="1"/>
  <c r="A3" i="6" a="1"/>
  <c r="A3" i="6" s="1"/>
  <c r="M3" i="6" a="1"/>
  <c r="M3" i="6" s="1"/>
  <c r="G1" i="17"/>
  <c r="A2" i="17"/>
  <c r="G2" i="17"/>
  <c r="AF3" i="17"/>
  <c r="A17" i="17"/>
  <c r="B17" i="17" s="1"/>
  <c r="A20" i="17" a="1"/>
  <c r="A20" i="17" s="1"/>
  <c r="A31" i="17"/>
  <c r="A42" i="17"/>
  <c r="Y2" i="12"/>
  <c r="Z2" i="12"/>
  <c r="AJ2" i="12" s="1"/>
  <c r="AA2" i="12"/>
  <c r="AF2" i="12"/>
  <c r="A3" i="12"/>
  <c r="Y3" i="12"/>
  <c r="Z3" i="12"/>
  <c r="AJ3" i="12" s="1"/>
  <c r="AA3" i="12"/>
  <c r="AF3" i="12"/>
  <c r="A4" i="12"/>
  <c r="Y4" i="12"/>
  <c r="Z4" i="12"/>
  <c r="AJ4" i="12" s="1"/>
  <c r="AA4" i="12"/>
  <c r="AF4" i="12"/>
  <c r="Y5" i="12"/>
  <c r="Z5" i="12"/>
  <c r="AJ5" i="12" s="1"/>
  <c r="AA5" i="12"/>
  <c r="AF5" i="12"/>
  <c r="Y6" i="12"/>
  <c r="Z6" i="12"/>
  <c r="AJ6" i="12" s="1"/>
  <c r="AA6" i="12"/>
  <c r="AF6" i="12"/>
  <c r="Y7" i="12"/>
  <c r="Z7" i="12"/>
  <c r="AJ7" i="12" s="1"/>
  <c r="AA7" i="12"/>
  <c r="AF7" i="12"/>
  <c r="Y8" i="12"/>
  <c r="Z8" i="12"/>
  <c r="AJ8" i="12" s="1"/>
  <c r="AA8" i="12"/>
  <c r="AF8" i="12"/>
  <c r="Y9" i="12"/>
  <c r="Z9" i="12"/>
  <c r="AJ9" i="12" s="1"/>
  <c r="AA9" i="12"/>
  <c r="AF9" i="12"/>
  <c r="Y10" i="12"/>
  <c r="Z10" i="12"/>
  <c r="AJ10" i="12" s="1"/>
  <c r="AA10" i="12"/>
  <c r="AF10" i="12"/>
  <c r="Y11" i="12"/>
  <c r="Z11" i="12"/>
  <c r="AJ11" i="12" s="1"/>
  <c r="AA11" i="12"/>
  <c r="AF11" i="12"/>
  <c r="Y12" i="12"/>
  <c r="Z12" i="12"/>
  <c r="AJ12" i="12" s="1"/>
  <c r="AA12" i="12"/>
  <c r="AF12" i="12"/>
  <c r="Y13" i="12"/>
  <c r="Z13" i="12"/>
  <c r="AJ13" i="12" s="1"/>
  <c r="AA13" i="12"/>
  <c r="AF13" i="12"/>
  <c r="Y14" i="12"/>
  <c r="Z14" i="12"/>
  <c r="AJ14" i="12" s="1"/>
  <c r="AA14" i="12"/>
  <c r="AF14" i="12"/>
  <c r="Y15" i="12"/>
  <c r="Z15" i="12"/>
  <c r="AJ15" i="12" s="1"/>
  <c r="AA15" i="12"/>
  <c r="AF15" i="12"/>
  <c r="Y16" i="12"/>
  <c r="Z16" i="12"/>
  <c r="AJ16" i="12" s="1"/>
  <c r="AA16" i="12"/>
  <c r="AF16" i="12"/>
  <c r="Y18" i="12"/>
  <c r="Z18" i="12"/>
  <c r="AJ18" i="12" s="1"/>
  <c r="AA18" i="12"/>
  <c r="AF18" i="12"/>
  <c r="Y19" i="12"/>
  <c r="Z19" i="12"/>
  <c r="AJ19" i="12" s="1"/>
  <c r="AA19" i="12"/>
  <c r="AF19" i="12"/>
  <c r="Y24" i="12"/>
  <c r="Z24" i="12"/>
  <c r="AJ24" i="12" s="1"/>
  <c r="AA24" i="12"/>
  <c r="AF24" i="12"/>
  <c r="Y25" i="12"/>
  <c r="Z25" i="12"/>
  <c r="AJ25" i="12" s="1"/>
  <c r="AA25" i="12"/>
  <c r="AF25" i="12"/>
  <c r="Y29" i="12"/>
  <c r="Z29" i="12"/>
  <c r="AJ29" i="12" s="1"/>
  <c r="AA29" i="12"/>
  <c r="AF29" i="12"/>
  <c r="Y30" i="12"/>
  <c r="Z30" i="12"/>
  <c r="AJ30" i="12" s="1"/>
  <c r="AA30" i="12"/>
  <c r="AF30" i="12"/>
  <c r="Y31" i="12"/>
  <c r="Z31" i="12"/>
  <c r="AJ31" i="12" s="1"/>
  <c r="AA31" i="12"/>
  <c r="AF31" i="12"/>
  <c r="Y32" i="12"/>
  <c r="Z32" i="12"/>
  <c r="AJ32" i="12" s="1"/>
  <c r="AA32" i="12"/>
  <c r="AF32" i="12"/>
  <c r="Y33" i="12"/>
  <c r="Z33" i="12"/>
  <c r="AJ33" i="12" s="1"/>
  <c r="AA33" i="12"/>
  <c r="AF33" i="12"/>
  <c r="Y34" i="12"/>
  <c r="Z34" i="12"/>
  <c r="AJ34" i="12" s="1"/>
  <c r="AA34" i="12"/>
  <c r="AF34" i="12"/>
  <c r="Y35" i="12"/>
  <c r="Z35" i="12"/>
  <c r="AJ35" i="12" s="1"/>
  <c r="AA35" i="12"/>
  <c r="AF35" i="12"/>
  <c r="Y36" i="12"/>
  <c r="Z36" i="12"/>
  <c r="AJ36" i="12" s="1"/>
  <c r="AA36" i="12"/>
  <c r="AF36" i="12"/>
  <c r="Y37" i="12"/>
  <c r="Z37" i="12"/>
  <c r="AJ37" i="12" s="1"/>
  <c r="AA37" i="12"/>
  <c r="AF37" i="12"/>
  <c r="Y38" i="12"/>
  <c r="Z38" i="12"/>
  <c r="AJ38" i="12" s="1"/>
  <c r="AA38" i="12"/>
  <c r="AF38" i="12"/>
  <c r="Y40" i="12"/>
  <c r="Z40" i="12"/>
  <c r="AJ40" i="12" s="1"/>
  <c r="AA40" i="12"/>
  <c r="AF40" i="12"/>
  <c r="Y41" i="12"/>
  <c r="Z41" i="12"/>
  <c r="AJ41" i="12" s="1"/>
  <c r="AA41" i="12"/>
  <c r="AF41" i="12"/>
  <c r="Y42" i="12"/>
  <c r="Z42" i="12"/>
  <c r="AJ42" i="12" s="1"/>
  <c r="AA42" i="12"/>
  <c r="AF42" i="12"/>
  <c r="Y43" i="12"/>
  <c r="Z43" i="12"/>
  <c r="AJ43" i="12" s="1"/>
  <c r="AA43" i="12"/>
  <c r="AF43" i="12"/>
  <c r="Y44" i="12"/>
  <c r="Z44" i="12"/>
  <c r="AJ44" i="12" s="1"/>
  <c r="AA44" i="12"/>
  <c r="AF44" i="12"/>
  <c r="Y45" i="12"/>
  <c r="Z45" i="12"/>
  <c r="AJ45" i="12" s="1"/>
  <c r="AA45" i="12"/>
  <c r="AF45" i="12"/>
  <c r="Y46" i="12"/>
  <c r="Z46" i="12"/>
  <c r="AJ46" i="12" s="1"/>
  <c r="AA46" i="12"/>
  <c r="AF46" i="12"/>
  <c r="Y47" i="12"/>
  <c r="Z47" i="12"/>
  <c r="AJ47" i="12" s="1"/>
  <c r="AA47" i="12"/>
  <c r="AF47" i="12"/>
  <c r="Y49" i="12"/>
  <c r="Z49" i="12"/>
  <c r="AJ49" i="12" s="1"/>
  <c r="AA49" i="12"/>
  <c r="AF49" i="12"/>
  <c r="Y50" i="12"/>
  <c r="Z50" i="12"/>
  <c r="AJ50" i="12" s="1"/>
  <c r="AA50" i="12"/>
  <c r="AF50" i="12"/>
  <c r="Y52" i="12"/>
  <c r="Z52" i="12"/>
  <c r="AJ52" i="12" s="1"/>
  <c r="AA52" i="12"/>
  <c r="AF52" i="12"/>
  <c r="Y53" i="12"/>
  <c r="Z53" i="12"/>
  <c r="AJ53" i="12" s="1"/>
  <c r="AA53" i="12"/>
  <c r="AF53" i="12"/>
  <c r="Y60" i="12"/>
  <c r="Z60" i="12"/>
  <c r="AJ60" i="12" s="1"/>
  <c r="AA60" i="12"/>
  <c r="AF60" i="12"/>
  <c r="Y61" i="12"/>
  <c r="Z61" i="12"/>
  <c r="AJ61" i="12" s="1"/>
  <c r="AA61" i="12"/>
  <c r="AF61" i="12"/>
  <c r="Y62" i="12"/>
  <c r="Z62" i="12"/>
  <c r="AJ62" i="12" s="1"/>
  <c r="AA62" i="12"/>
  <c r="AF62" i="12"/>
  <c r="Y63" i="12"/>
  <c r="Z63" i="12"/>
  <c r="AJ63" i="12" s="1"/>
  <c r="AA63" i="12"/>
  <c r="AF63" i="12"/>
  <c r="Y64" i="12"/>
  <c r="Z64" i="12"/>
  <c r="AJ64" i="12" s="1"/>
  <c r="AA64" i="12"/>
  <c r="AF64" i="12"/>
  <c r="Y67" i="12"/>
  <c r="Z67" i="12"/>
  <c r="AJ67" i="12" s="1"/>
  <c r="AA67" i="12"/>
  <c r="AF67" i="12"/>
  <c r="Y69" i="12"/>
  <c r="Z69" i="12"/>
  <c r="AJ69" i="12" s="1"/>
  <c r="AA69" i="12"/>
  <c r="AF69" i="12"/>
  <c r="Y70" i="12"/>
  <c r="Z70" i="12"/>
  <c r="AJ70" i="12" s="1"/>
  <c r="AA70" i="12"/>
  <c r="AF70" i="12"/>
  <c r="Y71" i="12"/>
  <c r="Z71" i="12"/>
  <c r="AJ71" i="12" s="1"/>
  <c r="AA71" i="12"/>
  <c r="AF71" i="12"/>
  <c r="Y72" i="12"/>
  <c r="Z72" i="12"/>
  <c r="AJ72" i="12" s="1"/>
  <c r="AA72" i="12"/>
  <c r="AF72" i="12"/>
  <c r="Y73" i="12"/>
  <c r="Z73" i="12"/>
  <c r="AJ73" i="12" s="1"/>
  <c r="AA73" i="12"/>
  <c r="AF73" i="12"/>
  <c r="Y74" i="12"/>
  <c r="Z74" i="12"/>
  <c r="AJ74" i="12" s="1"/>
  <c r="AA74" i="12"/>
  <c r="AF74" i="12"/>
  <c r="Y75" i="12"/>
  <c r="Z75" i="12"/>
  <c r="AJ75" i="12" s="1"/>
  <c r="AA75" i="12"/>
  <c r="AF75" i="12"/>
  <c r="Y76" i="12"/>
  <c r="Z76" i="12"/>
  <c r="AJ76" i="12" s="1"/>
  <c r="AA76" i="12"/>
  <c r="AF76" i="12"/>
  <c r="Y77" i="12"/>
  <c r="Z77" i="12"/>
  <c r="AJ77" i="12" s="1"/>
  <c r="AA77" i="12"/>
  <c r="AF77" i="12"/>
  <c r="Y78" i="12"/>
  <c r="Z78" i="12"/>
  <c r="AJ78" i="12" s="1"/>
  <c r="AA78" i="12"/>
  <c r="AF78" i="12"/>
  <c r="Y79" i="12"/>
  <c r="Z79" i="12"/>
  <c r="AJ79" i="12" s="1"/>
  <c r="AA79" i="12"/>
  <c r="AF79" i="12"/>
  <c r="Y80" i="12"/>
  <c r="Z80" i="12"/>
  <c r="AJ80" i="12" s="1"/>
  <c r="AA80" i="12"/>
  <c r="AF80" i="12"/>
  <c r="Y81" i="12"/>
  <c r="Z81" i="12"/>
  <c r="AJ81" i="12" s="1"/>
  <c r="AA81" i="12"/>
  <c r="AF81" i="12"/>
  <c r="Y84" i="12"/>
  <c r="Z84" i="12"/>
  <c r="AJ84" i="12" s="1"/>
  <c r="AA84" i="12"/>
  <c r="AF84" i="12"/>
  <c r="Y89" i="12"/>
  <c r="Z89" i="12"/>
  <c r="AJ89" i="12" s="1"/>
  <c r="AA89" i="12"/>
  <c r="AF89" i="12"/>
  <c r="Y93" i="12"/>
  <c r="Z93" i="12"/>
  <c r="AJ93" i="12" s="1"/>
  <c r="AA93" i="12"/>
  <c r="AF93" i="12"/>
  <c r="Y95" i="12"/>
  <c r="Z95" i="12"/>
  <c r="AJ95" i="12" s="1"/>
  <c r="AA95" i="12"/>
  <c r="AF95" i="12"/>
  <c r="Y98" i="12"/>
  <c r="Z98" i="12"/>
  <c r="AJ98" i="12" s="1"/>
  <c r="AA98" i="12"/>
  <c r="AF98" i="12"/>
  <c r="Y99" i="12"/>
  <c r="Z99" i="12"/>
  <c r="AJ99" i="12" s="1"/>
  <c r="AA99" i="12"/>
  <c r="AF99" i="12"/>
  <c r="Y100" i="12"/>
  <c r="Z100" i="12"/>
  <c r="AJ100" i="12" s="1"/>
  <c r="AA100" i="12"/>
  <c r="AF100" i="12"/>
  <c r="Y107" i="12"/>
  <c r="Z107" i="12"/>
  <c r="AJ107" i="12" s="1"/>
  <c r="AA107" i="12"/>
  <c r="AF107" i="12"/>
  <c r="Y108" i="12"/>
  <c r="Z108" i="12"/>
  <c r="AJ108" i="12" s="1"/>
  <c r="AA108" i="12"/>
  <c r="AF108" i="12"/>
  <c r="Y109" i="12"/>
  <c r="Z109" i="12"/>
  <c r="AJ109" i="12" s="1"/>
  <c r="AA109" i="12"/>
  <c r="AF109" i="12"/>
  <c r="Y110" i="12"/>
  <c r="Z110" i="12"/>
  <c r="AJ110" i="12" s="1"/>
  <c r="AA110" i="12"/>
  <c r="AF110" i="12"/>
  <c r="Y112" i="12"/>
  <c r="Z112" i="12"/>
  <c r="AJ112" i="12" s="1"/>
  <c r="AA112" i="12"/>
  <c r="AF112" i="12"/>
  <c r="Y113" i="12"/>
  <c r="Z113" i="12"/>
  <c r="AJ113" i="12" s="1"/>
  <c r="AA113" i="12"/>
  <c r="AF113" i="12"/>
  <c r="Y114" i="12"/>
  <c r="Z114" i="12"/>
  <c r="AJ114" i="12" s="1"/>
  <c r="AA114" i="12"/>
  <c r="AF114" i="12"/>
  <c r="Y115" i="12"/>
  <c r="Z115" i="12"/>
  <c r="AJ115" i="12" s="1"/>
  <c r="AA115" i="12"/>
  <c r="AF115" i="12"/>
  <c r="Y116" i="12"/>
  <c r="Z116" i="12"/>
  <c r="AJ116" i="12" s="1"/>
  <c r="AA116" i="12"/>
  <c r="AF116" i="12"/>
  <c r="Y117" i="12"/>
  <c r="Z117" i="12"/>
  <c r="AJ117" i="12" s="1"/>
  <c r="AA117" i="12"/>
  <c r="AF117" i="12"/>
  <c r="Y118" i="12"/>
  <c r="Z118" i="12"/>
  <c r="AJ118" i="12" s="1"/>
  <c r="AA118" i="12"/>
  <c r="AF118" i="12"/>
  <c r="Y119" i="12"/>
  <c r="Z119" i="12"/>
  <c r="AJ119" i="12" s="1"/>
  <c r="AA119" i="12"/>
  <c r="AF119" i="12"/>
  <c r="Y120" i="12"/>
  <c r="Z120" i="12"/>
  <c r="AJ120" i="12" s="1"/>
  <c r="AA120" i="12"/>
  <c r="AF120" i="12"/>
  <c r="Y123" i="12"/>
  <c r="Z123" i="12"/>
  <c r="AJ123" i="12" s="1"/>
  <c r="AA123" i="12"/>
  <c r="AF123" i="12"/>
  <c r="Y124" i="12"/>
  <c r="Z124" i="12"/>
  <c r="AJ124" i="12" s="1"/>
  <c r="AA124" i="12"/>
  <c r="AF124" i="12"/>
  <c r="Y128" i="12"/>
  <c r="Z128" i="12"/>
  <c r="AJ128" i="12" s="1"/>
  <c r="AA128" i="12"/>
  <c r="AF128" i="12"/>
  <c r="Y129" i="12"/>
  <c r="Z129" i="12"/>
  <c r="AJ129" i="12" s="1"/>
  <c r="AA129" i="12"/>
  <c r="AF129" i="12"/>
  <c r="Y132" i="12"/>
  <c r="Z132" i="12"/>
  <c r="AJ132" i="12" s="1"/>
  <c r="AA132" i="12"/>
  <c r="AF132" i="12"/>
  <c r="Y133" i="12"/>
  <c r="Z133" i="12"/>
  <c r="AJ133" i="12" s="1"/>
  <c r="AA133" i="12"/>
  <c r="AF133" i="12"/>
  <c r="Y134" i="12"/>
  <c r="Z134" i="12"/>
  <c r="AJ134" i="12" s="1"/>
  <c r="AA134" i="12"/>
  <c r="AF134" i="12"/>
  <c r="Y137" i="12"/>
  <c r="Z137" i="12"/>
  <c r="AJ137" i="12" s="1"/>
  <c r="AA137" i="12"/>
  <c r="AF137" i="12"/>
  <c r="Y140" i="12"/>
  <c r="Z140" i="12"/>
  <c r="AJ140" i="12" s="1"/>
  <c r="AA140" i="12"/>
  <c r="AF140" i="12"/>
  <c r="Y141" i="12"/>
  <c r="Z141" i="12"/>
  <c r="AJ141" i="12" s="1"/>
  <c r="AA141" i="12"/>
  <c r="AF141" i="12"/>
  <c r="Y142" i="12"/>
  <c r="Z142" i="12"/>
  <c r="AJ142" i="12" s="1"/>
  <c r="AA142" i="12"/>
  <c r="AF142" i="12"/>
  <c r="Y143" i="12"/>
  <c r="Z143" i="12"/>
  <c r="AJ143" i="12" s="1"/>
  <c r="AA143" i="12"/>
  <c r="AF143" i="12"/>
  <c r="Y144" i="12"/>
  <c r="Z144" i="12"/>
  <c r="AJ144" i="12" s="1"/>
  <c r="AA144" i="12"/>
  <c r="AF144" i="12"/>
  <c r="Y145" i="12"/>
  <c r="Z145" i="12"/>
  <c r="AJ145" i="12" s="1"/>
  <c r="AA145" i="12"/>
  <c r="AF145" i="12"/>
  <c r="Y146" i="12"/>
  <c r="Z146" i="12"/>
  <c r="AJ146" i="12" s="1"/>
  <c r="AA146" i="12"/>
  <c r="AF146" i="12"/>
  <c r="Y147" i="12"/>
  <c r="Z147" i="12"/>
  <c r="AJ147" i="12" s="1"/>
  <c r="AA147" i="12"/>
  <c r="AF147" i="12"/>
  <c r="Y149" i="12"/>
  <c r="Z149" i="12"/>
  <c r="AJ149" i="12" s="1"/>
  <c r="AA149" i="12"/>
  <c r="AF149" i="12"/>
  <c r="Y152" i="12"/>
  <c r="Z152" i="12"/>
  <c r="AJ152" i="12" s="1"/>
  <c r="AA152" i="12"/>
  <c r="AF152" i="12"/>
  <c r="Y153" i="12"/>
  <c r="Z153" i="12"/>
  <c r="AJ153" i="12" s="1"/>
  <c r="AA153" i="12"/>
  <c r="AF153" i="12"/>
  <c r="Y154" i="12"/>
  <c r="Z154" i="12"/>
  <c r="AJ154" i="12" s="1"/>
  <c r="AA154" i="12"/>
  <c r="AF154" i="12"/>
  <c r="Y155" i="12"/>
  <c r="Z155" i="12"/>
  <c r="AJ155" i="12" s="1"/>
  <c r="AA155" i="12"/>
  <c r="AF155" i="12"/>
  <c r="Y156" i="12"/>
  <c r="Z156" i="12"/>
  <c r="AJ156" i="12" s="1"/>
  <c r="AA156" i="12"/>
  <c r="AF156" i="12"/>
  <c r="Y157" i="12"/>
  <c r="Z157" i="12"/>
  <c r="AJ157" i="12" s="1"/>
  <c r="AA157" i="12"/>
  <c r="AF157" i="12"/>
  <c r="Y158" i="12"/>
  <c r="Z158" i="12"/>
  <c r="AJ158" i="12" s="1"/>
  <c r="AA158" i="12"/>
  <c r="AF158" i="12"/>
  <c r="Y159" i="12"/>
  <c r="Z159" i="12"/>
  <c r="AJ159" i="12" s="1"/>
  <c r="AA159" i="12"/>
  <c r="AF159" i="12"/>
  <c r="Y160" i="12"/>
  <c r="Z160" i="12"/>
  <c r="AJ160" i="12" s="1"/>
  <c r="AA160" i="12"/>
  <c r="AF160" i="12"/>
  <c r="Y161" i="12"/>
  <c r="Z161" i="12"/>
  <c r="AJ161" i="12" s="1"/>
  <c r="AA161" i="12"/>
  <c r="AF161" i="12"/>
  <c r="Y162" i="12"/>
  <c r="Z162" i="12"/>
  <c r="AJ162" i="12" s="1"/>
  <c r="AA162" i="12"/>
  <c r="AF162" i="12"/>
  <c r="Y164" i="12"/>
  <c r="Z164" i="12"/>
  <c r="AJ164" i="12" s="1"/>
  <c r="AA164" i="12"/>
  <c r="AF164" i="12"/>
  <c r="Y165" i="12"/>
  <c r="Z165" i="12"/>
  <c r="AJ165" i="12" s="1"/>
  <c r="AA165" i="12"/>
  <c r="AF165" i="12"/>
  <c r="Y166" i="12"/>
  <c r="Z166" i="12"/>
  <c r="AJ166" i="12" s="1"/>
  <c r="AA166" i="12"/>
  <c r="AF166" i="12"/>
  <c r="Y167" i="12"/>
  <c r="Z167" i="12"/>
  <c r="AJ167" i="12" s="1"/>
  <c r="AA167" i="12"/>
  <c r="AF167" i="12"/>
  <c r="Y172" i="12"/>
  <c r="Z172" i="12"/>
  <c r="AJ172" i="12" s="1"/>
  <c r="AA172" i="12"/>
  <c r="AF172" i="12"/>
  <c r="Y173" i="12"/>
  <c r="Z173" i="12"/>
  <c r="AJ173" i="12" s="1"/>
  <c r="AA173" i="12"/>
  <c r="AF173" i="12"/>
  <c r="Y176" i="12"/>
  <c r="Z176" i="12"/>
  <c r="AJ176" i="12" s="1"/>
  <c r="AA176" i="12"/>
  <c r="AF176" i="12"/>
  <c r="Y177" i="12"/>
  <c r="Z177" i="12"/>
  <c r="AJ177" i="12" s="1"/>
  <c r="AA177" i="12"/>
  <c r="AF177" i="12"/>
  <c r="Y178" i="12"/>
  <c r="Z178" i="12"/>
  <c r="AJ178" i="12" s="1"/>
  <c r="AA178" i="12"/>
  <c r="AF178" i="12"/>
  <c r="Y179" i="12"/>
  <c r="Z179" i="12"/>
  <c r="AJ179" i="12" s="1"/>
  <c r="AA179" i="12"/>
  <c r="AF179" i="12"/>
  <c r="Y180" i="12"/>
  <c r="Z180" i="12"/>
  <c r="AJ180" i="12" s="1"/>
  <c r="AA180" i="12"/>
  <c r="AF180" i="12"/>
  <c r="Y185" i="12"/>
  <c r="Z185" i="12"/>
  <c r="AJ185" i="12" s="1"/>
  <c r="AA185" i="12"/>
  <c r="AF185" i="12"/>
  <c r="Y186" i="12"/>
  <c r="Z186" i="12"/>
  <c r="AJ186" i="12" s="1"/>
  <c r="AA186" i="12"/>
  <c r="AF186" i="12"/>
  <c r="Y187" i="12"/>
  <c r="Z187" i="12"/>
  <c r="AJ187" i="12" s="1"/>
  <c r="AA187" i="12"/>
  <c r="AF187" i="12"/>
  <c r="Y188" i="12"/>
  <c r="Z188" i="12"/>
  <c r="AJ188" i="12" s="1"/>
  <c r="AA188" i="12"/>
  <c r="AF188" i="12"/>
  <c r="Y189" i="12"/>
  <c r="Z189" i="12"/>
  <c r="AJ189" i="12" s="1"/>
  <c r="AA189" i="12"/>
  <c r="AF189" i="12"/>
  <c r="Y191" i="12"/>
  <c r="Z191" i="12"/>
  <c r="AJ191" i="12" s="1"/>
  <c r="AA191" i="12"/>
  <c r="AF191" i="12"/>
  <c r="Y192" i="12"/>
  <c r="Z192" i="12"/>
  <c r="AJ192" i="12" s="1"/>
  <c r="AA192" i="12"/>
  <c r="AF192" i="12"/>
  <c r="Y193" i="12"/>
  <c r="Z193" i="12"/>
  <c r="AJ193" i="12" s="1"/>
  <c r="AA193" i="12"/>
  <c r="AF193" i="12"/>
  <c r="Y194" i="12"/>
  <c r="Z194" i="12"/>
  <c r="AJ194" i="12" s="1"/>
  <c r="AA194" i="12"/>
  <c r="AF194" i="12"/>
  <c r="Y195" i="12"/>
  <c r="Z195" i="12"/>
  <c r="AJ195" i="12" s="1"/>
  <c r="AA195" i="12"/>
  <c r="AF195" i="12"/>
  <c r="Y197" i="12"/>
  <c r="Z197" i="12"/>
  <c r="AJ197" i="12" s="1"/>
  <c r="AA197" i="12"/>
  <c r="AF197" i="12"/>
  <c r="Y198" i="12"/>
  <c r="Z198" i="12"/>
  <c r="AJ198" i="12" s="1"/>
  <c r="AA198" i="12"/>
  <c r="AF198" i="12"/>
  <c r="A199" i="12"/>
  <c r="Y199" i="12"/>
  <c r="Z199" i="12"/>
  <c r="AJ199" i="12" s="1"/>
  <c r="AA199" i="12"/>
  <c r="AF199" i="12"/>
  <c r="Y202" i="12"/>
  <c r="Z202" i="12"/>
  <c r="AJ202" i="12" s="1"/>
  <c r="AA202" i="12"/>
  <c r="AF202" i="12"/>
  <c r="A203" i="12"/>
  <c r="Y203" i="12"/>
  <c r="Z203" i="12"/>
  <c r="AJ203" i="12" s="1"/>
  <c r="AA203" i="12"/>
  <c r="AF203" i="12"/>
  <c r="A207" i="12"/>
  <c r="Y207" i="12"/>
  <c r="Z207" i="12"/>
  <c r="AJ207" i="12" s="1"/>
  <c r="AA207" i="12"/>
  <c r="AF207" i="12"/>
  <c r="Y208" i="12"/>
  <c r="Z208" i="12"/>
  <c r="AJ208" i="12" s="1"/>
  <c r="AA208" i="12"/>
  <c r="AF208" i="12"/>
  <c r="Y212" i="12"/>
  <c r="Z212" i="12"/>
  <c r="AJ212" i="12" s="1"/>
  <c r="AA212" i="12"/>
  <c r="AF212" i="12"/>
  <c r="A213" i="12"/>
  <c r="Y213" i="12"/>
  <c r="Z213" i="12"/>
  <c r="AJ213" i="12" s="1"/>
  <c r="AA213" i="12"/>
  <c r="AF213" i="12"/>
  <c r="A214" i="12"/>
  <c r="Y214" i="12"/>
  <c r="Z214" i="12"/>
  <c r="AJ214" i="12" s="1"/>
  <c r="AA214" i="12"/>
  <c r="AF214" i="12"/>
  <c r="A216" i="12"/>
  <c r="Y216" i="12"/>
  <c r="Z216" i="12"/>
  <c r="AJ216" i="12" s="1"/>
  <c r="AA216" i="12"/>
  <c r="AF216" i="12"/>
  <c r="A217" i="12"/>
  <c r="Y217" i="12"/>
  <c r="Z217" i="12"/>
  <c r="AJ217" i="12" s="1"/>
  <c r="AA217" i="12"/>
  <c r="AF217" i="12"/>
  <c r="A218" i="12"/>
  <c r="Y218" i="12"/>
  <c r="Z218" i="12"/>
  <c r="AJ218" i="12" s="1"/>
  <c r="AA218" i="12"/>
  <c r="AF218" i="12"/>
  <c r="A219" i="12"/>
  <c r="Y219" i="12"/>
  <c r="Z219" i="12"/>
  <c r="AJ219" i="12" s="1"/>
  <c r="AA219" i="12"/>
  <c r="AF219" i="12"/>
  <c r="A220" i="12"/>
  <c r="Y220" i="12"/>
  <c r="Z220" i="12"/>
  <c r="AJ220" i="12" s="1"/>
  <c r="AA220" i="12"/>
  <c r="AF220" i="12"/>
  <c r="A221" i="12"/>
  <c r="Y221" i="12"/>
  <c r="Z221" i="12"/>
  <c r="AJ221" i="12" s="1"/>
  <c r="AA221" i="12"/>
  <c r="AF221" i="12"/>
  <c r="A222" i="12"/>
  <c r="Y222" i="12"/>
  <c r="Z222" i="12"/>
  <c r="AJ222" i="12" s="1"/>
  <c r="AA222" i="12"/>
  <c r="AF222" i="12"/>
  <c r="Y223" i="12"/>
  <c r="Z223" i="12"/>
  <c r="AJ223" i="12" s="1"/>
  <c r="AA223" i="12"/>
  <c r="AF223" i="12"/>
  <c r="Y224" i="12"/>
  <c r="Z224" i="12"/>
  <c r="AJ224" i="12" s="1"/>
  <c r="AA224" i="12"/>
  <c r="AF224" i="12"/>
  <c r="A225" i="12"/>
  <c r="Y225" i="12"/>
  <c r="Z225" i="12"/>
  <c r="AJ225" i="12" s="1"/>
  <c r="AA225" i="12"/>
  <c r="AF225" i="12"/>
  <c r="Y226" i="12"/>
  <c r="Z226" i="12"/>
  <c r="AJ226" i="12" s="1"/>
  <c r="AA226" i="12"/>
  <c r="AF226" i="12"/>
  <c r="A227" i="12"/>
  <c r="Y227" i="12"/>
  <c r="Z227" i="12"/>
  <c r="AJ227" i="12" s="1"/>
  <c r="AA227" i="12"/>
  <c r="AF227" i="12"/>
  <c r="A228" i="12"/>
  <c r="Y228" i="12"/>
  <c r="Z228" i="12"/>
  <c r="AJ228" i="12" s="1"/>
  <c r="AA228" i="12"/>
  <c r="AF228" i="12"/>
  <c r="A229" i="12"/>
  <c r="Y229" i="12"/>
  <c r="Z229" i="12"/>
  <c r="AJ229" i="12" s="1"/>
  <c r="AA229" i="12"/>
  <c r="AF229" i="12"/>
  <c r="Y230" i="12"/>
  <c r="Z230" i="12"/>
  <c r="AJ230" i="12" s="1"/>
  <c r="AA230" i="12"/>
  <c r="AF230" i="12"/>
  <c r="Y231" i="12"/>
  <c r="Z231" i="12"/>
  <c r="AJ231" i="12" s="1"/>
  <c r="AA231" i="12"/>
  <c r="AF231" i="12"/>
  <c r="Y232" i="12"/>
  <c r="Z232" i="12"/>
  <c r="AJ232" i="12" s="1"/>
  <c r="AA232" i="12"/>
  <c r="AF232" i="12"/>
  <c r="Y233" i="12"/>
  <c r="Z233" i="12"/>
  <c r="AJ233" i="12" s="1"/>
  <c r="AA233" i="12"/>
  <c r="AF233" i="12"/>
  <c r="A235" i="12"/>
  <c r="Y235" i="12"/>
  <c r="Z235" i="12"/>
  <c r="AJ235" i="12" s="1"/>
  <c r="AA235" i="12"/>
  <c r="AF235" i="12"/>
  <c r="A236" i="12"/>
  <c r="Y236" i="12"/>
  <c r="Z236" i="12"/>
  <c r="AJ236" i="12" s="1"/>
  <c r="AA236" i="12"/>
  <c r="AF236" i="12"/>
  <c r="A237" i="12"/>
  <c r="Y237" i="12"/>
  <c r="Z237" i="12"/>
  <c r="AJ237" i="12" s="1"/>
  <c r="AA237" i="12"/>
  <c r="AF237" i="12"/>
  <c r="A238" i="12"/>
  <c r="Y238" i="12"/>
  <c r="Z238" i="12"/>
  <c r="AJ238" i="12" s="1"/>
  <c r="AA238" i="12"/>
  <c r="AF238" i="12"/>
  <c r="A239" i="12"/>
  <c r="Y239" i="12"/>
  <c r="Z239" i="12"/>
  <c r="AJ239" i="12" s="1"/>
  <c r="AA239" i="12"/>
  <c r="AF239" i="12"/>
  <c r="A242" i="12"/>
  <c r="Y242" i="12"/>
  <c r="Z242" i="12"/>
  <c r="AJ242" i="12" s="1"/>
  <c r="AA242" i="12"/>
  <c r="AF242" i="12"/>
  <c r="A243" i="12"/>
  <c r="Y243" i="12"/>
  <c r="Z243" i="12"/>
  <c r="AJ243" i="12" s="1"/>
  <c r="AA243" i="12"/>
  <c r="AF243" i="12"/>
  <c r="A244" i="12"/>
  <c r="Y244" i="12"/>
  <c r="Z244" i="12"/>
  <c r="AJ244" i="12" s="1"/>
  <c r="AA244" i="12"/>
  <c r="AF244" i="12"/>
  <c r="A245" i="12"/>
  <c r="Y245" i="12"/>
  <c r="Z245" i="12"/>
  <c r="AJ245" i="12" s="1"/>
  <c r="AA245" i="12"/>
  <c r="AF245" i="12"/>
  <c r="A247" i="12"/>
  <c r="Y247" i="12"/>
  <c r="Z247" i="12"/>
  <c r="AJ247" i="12" s="1"/>
  <c r="AA247" i="12"/>
  <c r="AF247" i="12"/>
  <c r="A248" i="12"/>
  <c r="Y248" i="12"/>
  <c r="Z248" i="12"/>
  <c r="AJ248" i="12" s="1"/>
  <c r="AA248" i="12"/>
  <c r="AF248" i="12"/>
  <c r="A249" i="12"/>
  <c r="Y249" i="12"/>
  <c r="Z249" i="12"/>
  <c r="AJ249" i="12" s="1"/>
  <c r="AA249" i="12"/>
  <c r="AF249" i="12"/>
  <c r="A250" i="12"/>
  <c r="Y250" i="12"/>
  <c r="Z250" i="12"/>
  <c r="AJ250" i="12" s="1"/>
  <c r="AA250" i="12"/>
  <c r="AF250" i="12"/>
  <c r="A251" i="12"/>
  <c r="Y251" i="12"/>
  <c r="Z251" i="12"/>
  <c r="AJ251" i="12" s="1"/>
  <c r="AA251" i="12"/>
  <c r="AF251" i="12"/>
  <c r="A252" i="12"/>
  <c r="Y252" i="12"/>
  <c r="Z252" i="12"/>
  <c r="AJ252" i="12" s="1"/>
  <c r="AA252" i="12"/>
  <c r="AF252" i="12"/>
  <c r="A253" i="12"/>
  <c r="Y253" i="12"/>
  <c r="Z253" i="12"/>
  <c r="AJ253" i="12" s="1"/>
  <c r="AA253" i="12"/>
  <c r="AF253" i="12"/>
  <c r="A254" i="12"/>
  <c r="Y254" i="12"/>
  <c r="Z254" i="12"/>
  <c r="AJ254" i="12" s="1"/>
  <c r="AA254" i="12"/>
  <c r="AF254" i="12"/>
  <c r="A255" i="12"/>
  <c r="Y255" i="12"/>
  <c r="Z255" i="12"/>
  <c r="AJ255" i="12" s="1"/>
  <c r="AA255" i="12"/>
  <c r="AF255" i="12"/>
  <c r="A256" i="12"/>
  <c r="Y256" i="12"/>
  <c r="Z256" i="12"/>
  <c r="AJ256" i="12" s="1"/>
  <c r="AA256" i="12"/>
  <c r="AF256" i="12"/>
  <c r="A257" i="12"/>
  <c r="Y257" i="12"/>
  <c r="Z257" i="12"/>
  <c r="AJ257" i="12" s="1"/>
  <c r="AA257" i="12"/>
  <c r="AF257" i="12"/>
  <c r="A258" i="12"/>
  <c r="Y258" i="12"/>
  <c r="Z258" i="12"/>
  <c r="AJ258" i="12" s="1"/>
  <c r="AA258" i="12"/>
  <c r="AF258" i="12"/>
  <c r="A259" i="12"/>
  <c r="S259" i="12"/>
  <c r="Y259" i="12"/>
  <c r="Z259" i="12"/>
  <c r="AJ259" i="12" s="1"/>
  <c r="AA259" i="12"/>
  <c r="AF259" i="12"/>
  <c r="A260" i="12"/>
  <c r="S260" i="12"/>
  <c r="Y260" i="12"/>
  <c r="Z260" i="12"/>
  <c r="AJ260" i="12" s="1"/>
  <c r="AA260" i="12"/>
  <c r="AF260" i="12"/>
  <c r="A261" i="12"/>
  <c r="S261" i="12"/>
  <c r="Y261" i="12"/>
  <c r="Z261" i="12"/>
  <c r="AJ261" i="12" s="1"/>
  <c r="AA261" i="12"/>
  <c r="AF261" i="12"/>
  <c r="S265" i="12"/>
  <c r="Y265" i="12"/>
  <c r="Z265" i="12"/>
  <c r="AJ265" i="12" s="1"/>
  <c r="AA265" i="12"/>
  <c r="AF265" i="12"/>
  <c r="S266" i="12"/>
  <c r="Y266" i="12"/>
  <c r="Z266" i="12"/>
  <c r="AJ266" i="12" s="1"/>
  <c r="AA266" i="12"/>
  <c r="AF266" i="12"/>
  <c r="A267" i="12"/>
  <c r="S267" i="12"/>
  <c r="Y267" i="12"/>
  <c r="Z267" i="12"/>
  <c r="AJ267" i="12" s="1"/>
  <c r="AA267" i="12"/>
  <c r="AF267" i="12"/>
  <c r="S268" i="12"/>
  <c r="Y268" i="12"/>
  <c r="Z268" i="12"/>
  <c r="AJ268" i="12" s="1"/>
  <c r="AA268" i="12"/>
  <c r="AF268" i="12"/>
  <c r="A271" i="12"/>
  <c r="S271" i="12"/>
  <c r="Y271" i="12"/>
  <c r="Z271" i="12"/>
  <c r="AJ271" i="12" s="1"/>
  <c r="AA271" i="12"/>
  <c r="AF271" i="12"/>
  <c r="S272" i="12"/>
  <c r="Y272" i="12"/>
  <c r="Z272" i="12"/>
  <c r="AJ272" i="12" s="1"/>
  <c r="AA272" i="12"/>
  <c r="AF272" i="12"/>
  <c r="S273" i="12"/>
  <c r="Y273" i="12"/>
  <c r="Z273" i="12"/>
  <c r="AJ273" i="12" s="1"/>
  <c r="AA273" i="12"/>
  <c r="AF273" i="12"/>
  <c r="S274" i="12"/>
  <c r="Y274" i="12"/>
  <c r="Z274" i="12"/>
  <c r="AJ274" i="12" s="1"/>
  <c r="AA274" i="12"/>
  <c r="AF274" i="12"/>
  <c r="S276" i="12"/>
  <c r="Y276" i="12"/>
  <c r="Z276" i="12"/>
  <c r="AJ276" i="12" s="1"/>
  <c r="AA276" i="12"/>
  <c r="AF276" i="12"/>
  <c r="S277" i="12"/>
  <c r="Y277" i="12"/>
  <c r="Z277" i="12"/>
  <c r="AJ277" i="12" s="1"/>
  <c r="AA277" i="12"/>
  <c r="AF277" i="12"/>
  <c r="S278" i="12"/>
  <c r="Y278" i="12"/>
  <c r="Z278" i="12"/>
  <c r="AJ278" i="12" s="1"/>
  <c r="AA278" i="12"/>
  <c r="AF278" i="12"/>
  <c r="A279" i="12"/>
  <c r="S279" i="12"/>
  <c r="Y279" i="12"/>
  <c r="Z279" i="12"/>
  <c r="AJ279" i="12" s="1"/>
  <c r="AA279" i="12"/>
  <c r="AF279" i="12"/>
  <c r="A280" i="12"/>
  <c r="S280" i="12"/>
  <c r="Y280" i="12"/>
  <c r="Z280" i="12"/>
  <c r="AJ280" i="12" s="1"/>
  <c r="AA280" i="12"/>
  <c r="AF280" i="12"/>
  <c r="A281" i="12"/>
  <c r="S281" i="12"/>
  <c r="Y281" i="12"/>
  <c r="Z281" i="12"/>
  <c r="AJ281" i="12" s="1"/>
  <c r="AA281" i="12"/>
  <c r="AF281" i="12"/>
  <c r="S282" i="12"/>
  <c r="Y282" i="12"/>
  <c r="Z282" i="12"/>
  <c r="AJ282" i="12" s="1"/>
  <c r="AA282" i="12"/>
  <c r="AF282" i="12"/>
  <c r="A283" i="12"/>
  <c r="S283" i="12"/>
  <c r="Y283" i="12"/>
  <c r="Z283" i="12"/>
  <c r="AJ283" i="12" s="1"/>
  <c r="AA283" i="12"/>
  <c r="AF283" i="12"/>
  <c r="S284" i="12"/>
  <c r="Y284" i="12"/>
  <c r="Z284" i="12"/>
  <c r="AJ284" i="12" s="1"/>
  <c r="AA284" i="12"/>
  <c r="AF284" i="12"/>
  <c r="S285" i="12"/>
  <c r="Y285" i="12"/>
  <c r="Z285" i="12"/>
  <c r="AJ285" i="12" s="1"/>
  <c r="AA285" i="12"/>
  <c r="AF285" i="12"/>
  <c r="A286" i="12"/>
  <c r="S286" i="12"/>
  <c r="Y286" i="12"/>
  <c r="Z286" i="12"/>
  <c r="AJ286" i="12" s="1"/>
  <c r="AA286" i="12"/>
  <c r="AF286" i="12"/>
  <c r="A287" i="12"/>
  <c r="S287" i="12"/>
  <c r="Y287" i="12"/>
  <c r="Z287" i="12"/>
  <c r="AJ287" i="12" s="1"/>
  <c r="AA287" i="12"/>
  <c r="AF287" i="12"/>
  <c r="A288" i="12"/>
  <c r="S288" i="12"/>
  <c r="Y288" i="12"/>
  <c r="Z288" i="12"/>
  <c r="AJ288" i="12" s="1"/>
  <c r="AA288" i="12"/>
  <c r="AF288" i="12"/>
  <c r="S289" i="12"/>
  <c r="Y289" i="12"/>
  <c r="Z289" i="12"/>
  <c r="AJ289" i="12" s="1"/>
  <c r="AA289" i="12"/>
  <c r="AF289" i="12"/>
  <c r="A290" i="12"/>
  <c r="S290" i="12"/>
  <c r="Y290" i="12"/>
  <c r="Z290" i="12"/>
  <c r="AJ290" i="12" s="1"/>
  <c r="AA290" i="12"/>
  <c r="AF290" i="12"/>
  <c r="O291" i="12"/>
  <c r="S291" i="12"/>
  <c r="Y291" i="12"/>
  <c r="AA291" i="12"/>
  <c r="AF291" i="12"/>
  <c r="S293" i="12"/>
  <c r="Y293" i="12"/>
  <c r="Z293" i="12"/>
  <c r="AJ293" i="12" s="1"/>
  <c r="AA293" i="12"/>
  <c r="AF293" i="12"/>
  <c r="S294" i="12"/>
  <c r="Y294" i="12"/>
  <c r="Z294" i="12"/>
  <c r="AJ294" i="12" s="1"/>
  <c r="AA294" i="12"/>
  <c r="AF294" i="12"/>
  <c r="A295" i="12"/>
  <c r="S295" i="12"/>
  <c r="Y295" i="12"/>
  <c r="Z295" i="12"/>
  <c r="AJ295" i="12" s="1"/>
  <c r="AA295" i="12"/>
  <c r="AF295" i="12"/>
  <c r="S296" i="12"/>
  <c r="Y296" i="12"/>
  <c r="Z296" i="12"/>
  <c r="AJ296" i="12" s="1"/>
  <c r="AA296" i="12"/>
  <c r="AF296" i="12"/>
  <c r="A297" i="12"/>
  <c r="S297" i="12"/>
  <c r="Y297" i="12"/>
  <c r="Z297" i="12"/>
  <c r="AJ297" i="12" s="1"/>
  <c r="AA297" i="12"/>
  <c r="AF297" i="12"/>
  <c r="S298" i="12"/>
  <c r="Y298" i="12"/>
  <c r="Z298" i="12"/>
  <c r="AJ298" i="12" s="1"/>
  <c r="AA298" i="12"/>
  <c r="AF298" i="12"/>
  <c r="S299" i="12"/>
  <c r="Y299" i="12"/>
  <c r="Z299" i="12"/>
  <c r="AJ299" i="12" s="1"/>
  <c r="AA299" i="12"/>
  <c r="AF299" i="12"/>
  <c r="A300" i="12"/>
  <c r="S300" i="12"/>
  <c r="Y300" i="12"/>
  <c r="Z300" i="12"/>
  <c r="AJ300" i="12" s="1"/>
  <c r="AA300" i="12"/>
  <c r="AF300" i="12"/>
  <c r="A301" i="12"/>
  <c r="S301" i="12"/>
  <c r="Y301" i="12"/>
  <c r="Z301" i="12"/>
  <c r="AJ301" i="12" s="1"/>
  <c r="AA301" i="12"/>
  <c r="AF301" i="12"/>
  <c r="A302" i="12"/>
  <c r="S302" i="12"/>
  <c r="Y302" i="12"/>
  <c r="Z302" i="12"/>
  <c r="AJ302" i="12" s="1"/>
  <c r="AA302" i="12"/>
  <c r="AF302" i="12"/>
  <c r="A303" i="12"/>
  <c r="S303" i="12"/>
  <c r="Y303" i="12"/>
  <c r="Z303" i="12"/>
  <c r="AJ303" i="12" s="1"/>
  <c r="AA303" i="12"/>
  <c r="AF303" i="12"/>
  <c r="A305" i="12"/>
  <c r="S305" i="12"/>
  <c r="Y305" i="12"/>
  <c r="Z305" i="12"/>
  <c r="AJ305" i="12" s="1"/>
  <c r="AA305" i="12"/>
  <c r="AF305" i="12"/>
  <c r="S306" i="12"/>
  <c r="Y306" i="12"/>
  <c r="Z306" i="12"/>
  <c r="AJ306" i="12" s="1"/>
  <c r="AA306" i="12"/>
  <c r="AF306" i="12"/>
  <c r="S307" i="12"/>
  <c r="Y307" i="12"/>
  <c r="Z307" i="12"/>
  <c r="AJ307" i="12" s="1"/>
  <c r="AA307" i="12"/>
  <c r="AF307" i="12"/>
  <c r="A309" i="12"/>
  <c r="S309" i="12"/>
  <c r="Y309" i="12"/>
  <c r="Z309" i="12"/>
  <c r="AJ309" i="12" s="1"/>
  <c r="AA309" i="12"/>
  <c r="AF309" i="12"/>
  <c r="A310" i="12"/>
  <c r="S310" i="12"/>
  <c r="Y310" i="12"/>
  <c r="Z310" i="12"/>
  <c r="AJ310" i="12" s="1"/>
  <c r="AA310" i="12"/>
  <c r="AF310" i="12"/>
  <c r="A311" i="12"/>
  <c r="S311" i="12"/>
  <c r="Y311" i="12"/>
  <c r="Z311" i="12"/>
  <c r="AJ311" i="12" s="1"/>
  <c r="AA311" i="12"/>
  <c r="AF311" i="12"/>
  <c r="S312" i="12"/>
  <c r="Y312" i="12"/>
  <c r="Z312" i="12"/>
  <c r="AJ312" i="12" s="1"/>
  <c r="AA312" i="12"/>
  <c r="AF312" i="12"/>
  <c r="A313" i="12"/>
  <c r="S313" i="12"/>
  <c r="Y313" i="12"/>
  <c r="Z313" i="12"/>
  <c r="AJ313" i="12" s="1"/>
  <c r="AA313" i="12"/>
  <c r="AF313" i="12"/>
  <c r="A314" i="12"/>
  <c r="S314" i="12"/>
  <c r="Y314" i="12"/>
  <c r="Z314" i="12"/>
  <c r="AJ314" i="12" s="1"/>
  <c r="AA314" i="12"/>
  <c r="AF314" i="12"/>
  <c r="A315" i="12"/>
  <c r="S315" i="12"/>
  <c r="Y315" i="12"/>
  <c r="Z315" i="12"/>
  <c r="AJ315" i="12" s="1"/>
  <c r="AA315" i="12"/>
  <c r="AF315" i="12"/>
  <c r="A316" i="12"/>
  <c r="S316" i="12"/>
  <c r="Y316" i="12"/>
  <c r="Z316" i="12"/>
  <c r="AJ316" i="12" s="1"/>
  <c r="AA316" i="12"/>
  <c r="AF316" i="12"/>
  <c r="S317" i="12"/>
  <c r="Y317" i="12"/>
  <c r="Z317" i="12"/>
  <c r="AJ317" i="12" s="1"/>
  <c r="AA317" i="12"/>
  <c r="AF317" i="12"/>
  <c r="S318" i="12"/>
  <c r="Y318" i="12"/>
  <c r="Z318" i="12"/>
  <c r="AJ318" i="12" s="1"/>
  <c r="AA318" i="12"/>
  <c r="AF318" i="12"/>
  <c r="A319" i="12"/>
  <c r="S319" i="12"/>
  <c r="Y319" i="12"/>
  <c r="Z319" i="12"/>
  <c r="AJ319" i="12" s="1"/>
  <c r="AA319" i="12"/>
  <c r="AF319" i="12"/>
  <c r="A323" i="12"/>
  <c r="S323" i="12"/>
  <c r="Y323" i="12"/>
  <c r="Z323" i="12"/>
  <c r="AJ323" i="12" s="1"/>
  <c r="AA323" i="12"/>
  <c r="AF323" i="12"/>
  <c r="A324" i="12"/>
  <c r="S324" i="12"/>
  <c r="Y324" i="12"/>
  <c r="Z324" i="12"/>
  <c r="AJ324" i="12" s="1"/>
  <c r="AA324" i="12"/>
  <c r="AF324" i="12"/>
  <c r="A325" i="12"/>
  <c r="S325" i="12"/>
  <c r="Y325" i="12"/>
  <c r="Z325" i="12"/>
  <c r="AJ325" i="12" s="1"/>
  <c r="AA325" i="12"/>
  <c r="AF325" i="12"/>
  <c r="A326" i="12"/>
  <c r="S326" i="12"/>
  <c r="Y326" i="12"/>
  <c r="Z326" i="12"/>
  <c r="AJ326" i="12" s="1"/>
  <c r="AA326" i="12"/>
  <c r="AF326" i="12"/>
  <c r="A328" i="12"/>
  <c r="S328" i="12"/>
  <c r="Y328" i="12"/>
  <c r="Z328" i="12"/>
  <c r="AJ328" i="12" s="1"/>
  <c r="AA328" i="12"/>
  <c r="AF328" i="12"/>
  <c r="A329" i="12"/>
  <c r="S329" i="12"/>
  <c r="Y329" i="12"/>
  <c r="Z329" i="12"/>
  <c r="AJ329" i="12" s="1"/>
  <c r="AA329" i="12"/>
  <c r="AF329" i="12"/>
  <c r="A330" i="12"/>
  <c r="S330" i="12"/>
  <c r="Y330" i="12"/>
  <c r="Z330" i="12"/>
  <c r="AJ330" i="12" s="1"/>
  <c r="AA330" i="12"/>
  <c r="AF330" i="12"/>
  <c r="A331" i="12"/>
  <c r="S331" i="12"/>
  <c r="Y331" i="12"/>
  <c r="Z331" i="12"/>
  <c r="AJ331" i="12" s="1"/>
  <c r="AA331" i="12"/>
  <c r="AF331" i="12"/>
  <c r="A332" i="12"/>
  <c r="S332" i="12"/>
  <c r="Y332" i="12"/>
  <c r="Z332" i="12"/>
  <c r="AJ332" i="12" s="1"/>
  <c r="AA332" i="12"/>
  <c r="AF332" i="12"/>
  <c r="A333" i="12"/>
  <c r="S333" i="12"/>
  <c r="Y333" i="12"/>
  <c r="Z333" i="12"/>
  <c r="AJ333" i="12" s="1"/>
  <c r="AA333" i="12"/>
  <c r="AF333" i="12"/>
  <c r="A338" i="12"/>
  <c r="S338" i="12"/>
  <c r="Y338" i="12"/>
  <c r="Z338" i="12"/>
  <c r="AJ338" i="12" s="1"/>
  <c r="AA338" i="12"/>
  <c r="AF338" i="12"/>
  <c r="S339" i="12"/>
  <c r="Y339" i="12"/>
  <c r="Z339" i="12"/>
  <c r="AJ339" i="12" s="1"/>
  <c r="AA339" i="12"/>
  <c r="AF339" i="12"/>
  <c r="A340" i="12"/>
  <c r="S340" i="12"/>
  <c r="Y340" i="12"/>
  <c r="Z340" i="12"/>
  <c r="AJ340" i="12" s="1"/>
  <c r="AA340" i="12"/>
  <c r="AF340" i="12"/>
  <c r="A341" i="12"/>
  <c r="S341" i="12"/>
  <c r="Y341" i="12"/>
  <c r="Z341" i="12"/>
  <c r="AJ341" i="12" s="1"/>
  <c r="AA341" i="12"/>
  <c r="AF341" i="12"/>
  <c r="A342" i="12"/>
  <c r="S342" i="12"/>
  <c r="Y342" i="12"/>
  <c r="Z342" i="12"/>
  <c r="AJ342" i="12" s="1"/>
  <c r="AA342" i="12"/>
  <c r="AF342" i="12"/>
  <c r="A345" i="12"/>
  <c r="Q345" i="12"/>
  <c r="S345" i="12"/>
  <c r="Y345" i="12"/>
  <c r="Z345" i="12"/>
  <c r="AJ345" i="12" s="1"/>
  <c r="AA345" i="12"/>
  <c r="AF345" i="12"/>
  <c r="S346" i="12"/>
  <c r="Y346" i="12"/>
  <c r="Z346" i="12"/>
  <c r="AJ346" i="12" s="1"/>
  <c r="AA346" i="12"/>
  <c r="AF346" i="12"/>
  <c r="S347" i="12"/>
  <c r="Y347" i="12"/>
  <c r="Z347" i="12"/>
  <c r="AJ347" i="12" s="1"/>
  <c r="AA347" i="12"/>
  <c r="AF347" i="12"/>
  <c r="A348" i="12"/>
  <c r="S348" i="12"/>
  <c r="Y348" i="12"/>
  <c r="Z348" i="12"/>
  <c r="AJ348" i="12" s="1"/>
  <c r="AA348" i="12"/>
  <c r="AF348" i="12"/>
  <c r="A349" i="12"/>
  <c r="S349" i="12"/>
  <c r="Y349" i="12"/>
  <c r="Z349" i="12"/>
  <c r="AJ349" i="12" s="1"/>
  <c r="AA349" i="12"/>
  <c r="AF349" i="12"/>
  <c r="A350" i="12"/>
  <c r="S350" i="12"/>
  <c r="Y350" i="12"/>
  <c r="Z350" i="12"/>
  <c r="AJ350" i="12" s="1"/>
  <c r="AA350" i="12"/>
  <c r="AF350" i="12"/>
  <c r="A351" i="12"/>
  <c r="S351" i="12"/>
  <c r="Y351" i="12"/>
  <c r="Z351" i="12"/>
  <c r="AJ351" i="12" s="1"/>
  <c r="AA351" i="12"/>
  <c r="AF351" i="12"/>
  <c r="A352" i="12"/>
  <c r="S352" i="12"/>
  <c r="Y352" i="12"/>
  <c r="Z352" i="12"/>
  <c r="AJ352" i="12" s="1"/>
  <c r="AA352" i="12"/>
  <c r="AF352" i="12"/>
  <c r="A353" i="12"/>
  <c r="S353" i="12"/>
  <c r="Y353" i="12"/>
  <c r="Z353" i="12"/>
  <c r="AJ353" i="12" s="1"/>
  <c r="AA353" i="12"/>
  <c r="AF353" i="12"/>
  <c r="A354" i="12"/>
  <c r="S354" i="12"/>
  <c r="Y354" i="12"/>
  <c r="Z354" i="12"/>
  <c r="AJ354" i="12" s="1"/>
  <c r="AA354" i="12"/>
  <c r="AF354" i="12"/>
  <c r="A360" i="12"/>
  <c r="S360" i="12"/>
  <c r="Y360" i="12"/>
  <c r="Z360" i="12"/>
  <c r="AJ360" i="12" s="1"/>
  <c r="AA360" i="12"/>
  <c r="AF360" i="12"/>
  <c r="A361" i="12"/>
  <c r="S361" i="12"/>
  <c r="Y361" i="12"/>
  <c r="Z361" i="12"/>
  <c r="AJ361" i="12" s="1"/>
  <c r="AA361" i="12"/>
  <c r="AF361" i="12"/>
  <c r="A362" i="12"/>
  <c r="S362" i="12"/>
  <c r="Y362" i="12"/>
  <c r="Z362" i="12"/>
  <c r="AJ362" i="12" s="1"/>
  <c r="AA362" i="12"/>
  <c r="AF362" i="12"/>
  <c r="A363" i="12"/>
  <c r="S363" i="12"/>
  <c r="Y363" i="12"/>
  <c r="Z363" i="12"/>
  <c r="AJ363" i="12" s="1"/>
  <c r="AA363" i="12"/>
  <c r="AF363" i="12"/>
  <c r="S364" i="12"/>
  <c r="Y364" i="12"/>
  <c r="Z364" i="12"/>
  <c r="AJ364" i="12" s="1"/>
  <c r="AA364" i="12"/>
  <c r="AF364" i="12"/>
  <c r="S365" i="12"/>
  <c r="Y365" i="12"/>
  <c r="Z365" i="12"/>
  <c r="AJ365" i="12" s="1"/>
  <c r="AA365" i="12"/>
  <c r="AF365" i="12"/>
  <c r="A368" i="12"/>
  <c r="S368" i="12"/>
  <c r="Y368" i="12"/>
  <c r="Z368" i="12"/>
  <c r="AJ368" i="12" s="1"/>
  <c r="AA368" i="12"/>
  <c r="AF368" i="12"/>
  <c r="A369" i="12"/>
  <c r="S369" i="12"/>
  <c r="Y369" i="12"/>
  <c r="Z369" i="12"/>
  <c r="AJ369" i="12" s="1"/>
  <c r="AA369" i="12"/>
  <c r="AF369" i="12"/>
  <c r="S370" i="12"/>
  <c r="Y370" i="12"/>
  <c r="Z370" i="12"/>
  <c r="AJ370" i="12" s="1"/>
  <c r="AA370" i="12"/>
  <c r="AF370" i="12"/>
  <c r="A371" i="12"/>
  <c r="S371" i="12"/>
  <c r="Y371" i="12"/>
  <c r="Z371" i="12"/>
  <c r="AJ371" i="12" s="1"/>
  <c r="AA371" i="12"/>
  <c r="AF371" i="12"/>
  <c r="S372" i="12"/>
  <c r="Y372" i="12"/>
  <c r="Z372" i="12"/>
  <c r="AJ372" i="12" s="1"/>
  <c r="AA372" i="12"/>
  <c r="AF372" i="12"/>
  <c r="S373" i="12"/>
  <c r="Y373" i="12"/>
  <c r="Z373" i="12"/>
  <c r="AJ373" i="12" s="1"/>
  <c r="AA373" i="12"/>
  <c r="AF373" i="12"/>
  <c r="A374" i="12"/>
  <c r="S374" i="12"/>
  <c r="Y374" i="12"/>
  <c r="Z374" i="12"/>
  <c r="AJ374" i="12" s="1"/>
  <c r="AA374" i="12"/>
  <c r="AF374" i="12"/>
  <c r="A375" i="12"/>
  <c r="S375" i="12"/>
  <c r="Y375" i="12"/>
  <c r="Z375" i="12"/>
  <c r="AJ375" i="12" s="1"/>
  <c r="AA375" i="12"/>
  <c r="AF375" i="12"/>
  <c r="A376" i="12"/>
  <c r="S376" i="12"/>
  <c r="Y376" i="12"/>
  <c r="Z376" i="12"/>
  <c r="AJ376" i="12" s="1"/>
  <c r="AA376" i="12"/>
  <c r="AF376" i="12"/>
  <c r="S377" i="12"/>
  <c r="Y377" i="12"/>
  <c r="Z377" i="12"/>
  <c r="AJ377" i="12" s="1"/>
  <c r="AA377" i="12"/>
  <c r="AF377" i="12"/>
  <c r="Y379" i="12"/>
  <c r="Z379" i="12"/>
  <c r="AJ379" i="12" s="1"/>
  <c r="AA379" i="12"/>
  <c r="AF379" i="12"/>
  <c r="A380" i="12"/>
  <c r="S380" i="12"/>
  <c r="Y380" i="12"/>
  <c r="Z380" i="12"/>
  <c r="AJ380" i="12" s="1"/>
  <c r="AA380" i="12"/>
  <c r="AF380" i="12"/>
  <c r="A381" i="12"/>
  <c r="S381" i="12"/>
  <c r="Y381" i="12"/>
  <c r="Z381" i="12"/>
  <c r="AJ381" i="12" s="1"/>
  <c r="AA381" i="12"/>
  <c r="AF381" i="12"/>
  <c r="S382" i="12"/>
  <c r="Y382" i="12"/>
  <c r="Z382" i="12"/>
  <c r="AJ382" i="12" s="1"/>
  <c r="AA382" i="12"/>
  <c r="AF382" i="12"/>
  <c r="A383" i="12"/>
  <c r="S383" i="12"/>
  <c r="Y383" i="12"/>
  <c r="Z383" i="12"/>
  <c r="AJ383" i="12" s="1"/>
  <c r="AA383" i="12"/>
  <c r="AF383" i="12"/>
  <c r="S384" i="12"/>
  <c r="Y384" i="12"/>
  <c r="Z384" i="12"/>
  <c r="AJ384" i="12" s="1"/>
  <c r="AA384" i="12"/>
  <c r="AF384" i="12"/>
  <c r="S386" i="12"/>
  <c r="Y386" i="12"/>
  <c r="Z386" i="12"/>
  <c r="AJ386" i="12" s="1"/>
  <c r="AA386" i="12"/>
  <c r="AF386" i="12"/>
  <c r="A387" i="12"/>
  <c r="S387" i="12"/>
  <c r="Y387" i="12"/>
  <c r="Z387" i="12"/>
  <c r="AJ387" i="12" s="1"/>
  <c r="AA387" i="12"/>
  <c r="AF387" i="12"/>
  <c r="S388" i="12"/>
  <c r="Y388" i="12"/>
  <c r="Z388" i="12"/>
  <c r="AJ388" i="12" s="1"/>
  <c r="AA388" i="12"/>
  <c r="AF388" i="12"/>
  <c r="S389" i="12"/>
  <c r="Y389" i="12"/>
  <c r="Z389" i="12"/>
  <c r="AJ389" i="12" s="1"/>
  <c r="AA389" i="12"/>
  <c r="AF389" i="12"/>
  <c r="A390" i="12"/>
  <c r="S390" i="12"/>
  <c r="Y390" i="12"/>
  <c r="Z390" i="12"/>
  <c r="AJ390" i="12" s="1"/>
  <c r="AA390" i="12"/>
  <c r="AF390" i="12"/>
  <c r="A399" i="12"/>
  <c r="S399" i="12"/>
  <c r="Y399" i="12"/>
  <c r="Z399" i="12"/>
  <c r="AJ399" i="12" s="1"/>
  <c r="AA399" i="12"/>
  <c r="AF399" i="12"/>
  <c r="A400" i="12"/>
  <c r="S400" i="12"/>
  <c r="Y400" i="12"/>
  <c r="Z400" i="12"/>
  <c r="AJ400" i="12" s="1"/>
  <c r="AA400" i="12"/>
  <c r="AF400" i="12"/>
  <c r="S401" i="12"/>
  <c r="Y401" i="12"/>
  <c r="Z401" i="12"/>
  <c r="AJ401" i="12" s="1"/>
  <c r="AA401" i="12"/>
  <c r="AF401" i="12"/>
  <c r="A403" i="12"/>
  <c r="S403" i="12"/>
  <c r="Y403" i="12"/>
  <c r="Z403" i="12"/>
  <c r="AJ403" i="12" s="1"/>
  <c r="AA403" i="12"/>
  <c r="AF403" i="12"/>
  <c r="A404" i="12"/>
  <c r="S404" i="12"/>
  <c r="Y404" i="12"/>
  <c r="Z404" i="12"/>
  <c r="AJ404" i="12" s="1"/>
  <c r="AA404" i="12"/>
  <c r="AF404" i="12"/>
  <c r="A405" i="12"/>
  <c r="S405" i="12"/>
  <c r="Y405" i="12"/>
  <c r="Z405" i="12"/>
  <c r="AJ405" i="12" s="1"/>
  <c r="AA405" i="12"/>
  <c r="AF405" i="12"/>
  <c r="A412" i="12"/>
  <c r="S412" i="12"/>
  <c r="AI412" i="12"/>
  <c r="Y412" i="12"/>
  <c r="Z412" i="12"/>
  <c r="AJ412" i="12" s="1"/>
  <c r="AA412" i="12"/>
  <c r="AF412" i="12"/>
  <c r="A413" i="12"/>
  <c r="S413" i="12"/>
  <c r="AI413" i="12"/>
  <c r="Y413" i="12"/>
  <c r="Z413" i="12"/>
  <c r="AJ413" i="12" s="1"/>
  <c r="AA413" i="12"/>
  <c r="AF413" i="12"/>
  <c r="A414" i="12"/>
  <c r="S414" i="12"/>
  <c r="AI414" i="12"/>
  <c r="Y414" i="12"/>
  <c r="Z414" i="12"/>
  <c r="AJ414" i="12" s="1"/>
  <c r="AA414" i="12"/>
  <c r="AF414" i="12"/>
  <c r="A415" i="12"/>
  <c r="S415" i="12"/>
  <c r="AI415" i="12"/>
  <c r="Y415" i="12"/>
  <c r="Z415" i="12"/>
  <c r="AJ415" i="12" s="1"/>
  <c r="AA415" i="12"/>
  <c r="AF415" i="12"/>
  <c r="S417" i="12"/>
  <c r="AI417" i="12"/>
  <c r="Y417" i="12"/>
  <c r="Z417" i="12"/>
  <c r="AJ417" i="12" s="1"/>
  <c r="AA417" i="12"/>
  <c r="AF417" i="12"/>
  <c r="A418" i="12"/>
  <c r="S418" i="12"/>
  <c r="AI418" i="12"/>
  <c r="Y418" i="12"/>
  <c r="Z418" i="12"/>
  <c r="AJ418" i="12" s="1"/>
  <c r="AA418" i="12"/>
  <c r="AF418" i="12"/>
  <c r="A420" i="12"/>
  <c r="S420" i="12"/>
  <c r="AI420" i="12"/>
  <c r="Y420" i="12"/>
  <c r="Z420" i="12"/>
  <c r="AJ420" i="12" s="1"/>
  <c r="AA420" i="12"/>
  <c r="AF420" i="12"/>
  <c r="S421" i="12"/>
  <c r="AI421" i="12"/>
  <c r="Y421" i="12"/>
  <c r="Z421" i="12"/>
  <c r="AJ421" i="12" s="1"/>
  <c r="AA421" i="12"/>
  <c r="AF421" i="12"/>
  <c r="S422" i="12"/>
  <c r="AI422" i="12"/>
  <c r="Y422" i="12"/>
  <c r="Z422" i="12"/>
  <c r="AJ422" i="12" s="1"/>
  <c r="AA422" i="12"/>
  <c r="AF422" i="12"/>
  <c r="S423" i="12"/>
  <c r="AI423" i="12"/>
  <c r="Y423" i="12"/>
  <c r="Z423" i="12"/>
  <c r="AJ423" i="12" s="1"/>
  <c r="AA423" i="12"/>
  <c r="AF423" i="12"/>
  <c r="A428" i="12"/>
  <c r="S428" i="12"/>
  <c r="AI428" i="12"/>
  <c r="Y428" i="12"/>
  <c r="Z428" i="12"/>
  <c r="AJ428" i="12" s="1"/>
  <c r="AA428" i="12"/>
  <c r="AF428" i="12"/>
  <c r="AI429" i="12"/>
  <c r="AJ429" i="12"/>
  <c r="AJ430" i="12"/>
  <c r="A433" i="12"/>
  <c r="S433" i="12"/>
  <c r="Y433" i="12"/>
  <c r="Z433" i="12"/>
  <c r="AJ433" i="12" s="1"/>
  <c r="AA433" i="12"/>
  <c r="AF433" i="12"/>
  <c r="A435" i="12"/>
  <c r="S435" i="12"/>
  <c r="Y435" i="12"/>
  <c r="Z435" i="12"/>
  <c r="AJ435" i="12" s="1"/>
  <c r="AA435" i="12"/>
  <c r="AF435" i="12"/>
  <c r="A439" i="12"/>
  <c r="S439" i="12"/>
  <c r="AI439" i="12"/>
  <c r="Y439" i="12"/>
  <c r="Z439" i="12"/>
  <c r="AJ439" i="12" s="1"/>
  <c r="AA439" i="12"/>
  <c r="AF439" i="12"/>
  <c r="A440" i="12"/>
  <c r="S440" i="12"/>
  <c r="AI440" i="12"/>
  <c r="Y440" i="12"/>
  <c r="Z440" i="12"/>
  <c r="AJ440" i="12" s="1"/>
  <c r="AA440" i="12"/>
  <c r="AF440" i="12"/>
  <c r="S441" i="12"/>
  <c r="AI441" i="12"/>
  <c r="Y441" i="12"/>
  <c r="Z441" i="12"/>
  <c r="AJ441" i="12" s="1"/>
  <c r="AA441" i="12"/>
  <c r="AF441" i="12"/>
  <c r="Z442" i="12"/>
  <c r="AJ442" i="12" s="1"/>
  <c r="Y442" i="12"/>
  <c r="AA442" i="12"/>
  <c r="AF442" i="12"/>
  <c r="Z443" i="12"/>
  <c r="AJ443" i="12" s="1"/>
  <c r="AI443" i="12"/>
  <c r="Y443" i="12"/>
  <c r="AA443" i="12"/>
  <c r="AF443" i="12"/>
  <c r="Y444" i="12"/>
  <c r="AA444" i="12"/>
  <c r="AF444" i="12"/>
  <c r="Z445" i="12"/>
  <c r="AJ445" i="12" s="1"/>
  <c r="AI445" i="12"/>
  <c r="Y445" i="12"/>
  <c r="AA445" i="12"/>
  <c r="AF445" i="12"/>
  <c r="Z446" i="12"/>
  <c r="AJ446" i="12" s="1"/>
  <c r="AI446" i="12"/>
  <c r="Y446" i="12"/>
  <c r="AA446" i="12"/>
  <c r="AF446" i="12"/>
  <c r="Z447" i="12"/>
  <c r="AJ447" i="12" s="1"/>
  <c r="Y447" i="12"/>
  <c r="AA447" i="12"/>
  <c r="AF447" i="12"/>
  <c r="Z448" i="12"/>
  <c r="AJ448" i="12" s="1"/>
  <c r="Y448" i="12"/>
  <c r="AA448" i="12"/>
  <c r="AF448" i="12"/>
  <c r="Y449" i="12"/>
  <c r="AA449" i="12"/>
  <c r="AF449" i="12"/>
  <c r="Z450" i="12"/>
  <c r="AJ450" i="12" s="1"/>
  <c r="Y450" i="12"/>
  <c r="AA450" i="12"/>
  <c r="AF450" i="12"/>
  <c r="Z451" i="12"/>
  <c r="AJ451" i="12" s="1"/>
  <c r="AI451" i="12"/>
  <c r="Y451" i="12"/>
  <c r="AA451" i="12"/>
  <c r="AF451" i="12"/>
  <c r="Y452" i="12"/>
  <c r="AA452" i="12"/>
  <c r="AF452" i="12"/>
  <c r="Z453" i="12"/>
  <c r="AJ453" i="12" s="1"/>
  <c r="AI453" i="12"/>
  <c r="Y453" i="12"/>
  <c r="AA453" i="12"/>
  <c r="AF453" i="12"/>
  <c r="Z454" i="12"/>
  <c r="AJ454" i="12" s="1"/>
  <c r="AI454" i="12"/>
  <c r="Y454" i="12"/>
  <c r="AA454" i="12"/>
  <c r="AF454" i="12"/>
  <c r="Z455" i="12"/>
  <c r="AJ455" i="12" s="1"/>
  <c r="Y455" i="12"/>
  <c r="AA455" i="12"/>
  <c r="AF455" i="12"/>
  <c r="Z456" i="12"/>
  <c r="AJ456" i="12" s="1"/>
  <c r="Y456" i="12"/>
  <c r="AA456" i="12"/>
  <c r="AF456" i="12"/>
  <c r="Y457" i="12"/>
  <c r="AA457" i="12"/>
  <c r="AF457" i="12"/>
  <c r="Z458" i="12"/>
  <c r="AJ458" i="12" s="1"/>
  <c r="Y458" i="12"/>
  <c r="AA458" i="12"/>
  <c r="AF458" i="12"/>
  <c r="Z459" i="12"/>
  <c r="AJ459" i="12" s="1"/>
  <c r="AI459" i="12"/>
  <c r="Y459" i="12"/>
  <c r="AA459" i="12"/>
  <c r="AF459" i="12"/>
  <c r="Z460" i="12"/>
  <c r="AJ460" i="12" s="1"/>
  <c r="Y460" i="12"/>
  <c r="AA460" i="12"/>
  <c r="AF460" i="12"/>
  <c r="Z461" i="12"/>
  <c r="AJ461" i="12" s="1"/>
  <c r="AI461" i="12"/>
  <c r="Y461" i="12"/>
  <c r="AA461" i="12"/>
  <c r="AF461" i="12"/>
  <c r="Z462" i="12"/>
  <c r="AJ462" i="12" s="1"/>
  <c r="AI462" i="12"/>
  <c r="Y462" i="12"/>
  <c r="AA462" i="12"/>
  <c r="AF462" i="12"/>
  <c r="Z463" i="12"/>
  <c r="AJ463" i="12" s="1"/>
  <c r="Y463" i="12"/>
  <c r="AA463" i="12"/>
  <c r="AF463" i="12"/>
  <c r="Z464" i="12"/>
  <c r="AJ464" i="12" s="1"/>
  <c r="Y464" i="12"/>
  <c r="AA464" i="12"/>
  <c r="AF464" i="12"/>
  <c r="Y465" i="12"/>
  <c r="AA465" i="12"/>
  <c r="AF465" i="12"/>
  <c r="Y466" i="12"/>
  <c r="AA466" i="12"/>
  <c r="AF466" i="12"/>
  <c r="Z467" i="12"/>
  <c r="AJ467" i="12" s="1"/>
  <c r="AI467" i="12"/>
  <c r="Y467" i="12"/>
  <c r="AA467" i="12"/>
  <c r="AF467" i="12"/>
  <c r="Z468" i="12"/>
  <c r="AJ468" i="12" s="1"/>
  <c r="AI468" i="12"/>
  <c r="Y468" i="12"/>
  <c r="AA468" i="12"/>
  <c r="AF468" i="12"/>
  <c r="Z469" i="12"/>
  <c r="AJ469" i="12" s="1"/>
  <c r="AI469" i="12"/>
  <c r="Y469" i="12"/>
  <c r="AA469" i="12"/>
  <c r="AF469" i="12"/>
  <c r="Z470" i="12"/>
  <c r="AJ470" i="12" s="1"/>
  <c r="AI470" i="12"/>
  <c r="Y470" i="12"/>
  <c r="AA470" i="12"/>
  <c r="AF470" i="12"/>
  <c r="Z471" i="12"/>
  <c r="AJ471" i="12" s="1"/>
  <c r="Y471" i="12"/>
  <c r="AA471" i="12"/>
  <c r="AF471" i="12"/>
  <c r="Z472" i="12"/>
  <c r="AJ472" i="12" s="1"/>
  <c r="Y472" i="12"/>
  <c r="AA472" i="12"/>
  <c r="AF472" i="12"/>
  <c r="Y473" i="12"/>
  <c r="AA473" i="12"/>
  <c r="AF473" i="12"/>
  <c r="Y474" i="12"/>
  <c r="AA474" i="12"/>
  <c r="AF474" i="12"/>
  <c r="Z475" i="12"/>
  <c r="AJ475" i="12" s="1"/>
  <c r="AI475" i="12"/>
  <c r="Y475" i="12"/>
  <c r="AA475" i="12"/>
  <c r="AF475" i="12"/>
  <c r="Z476" i="12"/>
  <c r="AJ476" i="12" s="1"/>
  <c r="Y476" i="12"/>
  <c r="AA476" i="12"/>
  <c r="AF476" i="12"/>
  <c r="Z477" i="12"/>
  <c r="AJ477" i="12" s="1"/>
  <c r="AI477" i="12"/>
  <c r="Y477" i="12"/>
  <c r="AA477" i="12"/>
  <c r="AF477" i="12"/>
  <c r="Z478" i="12"/>
  <c r="AJ478" i="12" s="1"/>
  <c r="AI478" i="12"/>
  <c r="Y478" i="12"/>
  <c r="AA478" i="12"/>
  <c r="AF478" i="12"/>
  <c r="Z479" i="12"/>
  <c r="AJ479" i="12" s="1"/>
  <c r="Y479" i="12"/>
  <c r="AA479" i="12"/>
  <c r="AF479" i="12"/>
  <c r="Z480" i="12"/>
  <c r="AJ480" i="12" s="1"/>
  <c r="Y480" i="12"/>
  <c r="AA480" i="12"/>
  <c r="AF480" i="12"/>
  <c r="Y481" i="12"/>
  <c r="AA481" i="12"/>
  <c r="AF481" i="12"/>
  <c r="Y482" i="12"/>
  <c r="AA482" i="12"/>
  <c r="AF482" i="12"/>
  <c r="Z483" i="12"/>
  <c r="AJ483" i="12" s="1"/>
  <c r="AI483" i="12"/>
  <c r="Y483" i="12"/>
  <c r="AA483" i="12"/>
  <c r="AF483" i="12"/>
  <c r="Z484" i="12"/>
  <c r="AJ484" i="12" s="1"/>
  <c r="AI484" i="12"/>
  <c r="Y484" i="12"/>
  <c r="AA484" i="12"/>
  <c r="AF484" i="12"/>
  <c r="Z485" i="12"/>
  <c r="AJ485" i="12" s="1"/>
  <c r="AI485" i="12"/>
  <c r="Y485" i="12"/>
  <c r="AA485" i="12"/>
  <c r="AF485" i="12"/>
  <c r="Z486" i="12"/>
  <c r="AJ486" i="12" s="1"/>
  <c r="AI486" i="12"/>
  <c r="Y486" i="12"/>
  <c r="AA486" i="12"/>
  <c r="AF486" i="12"/>
  <c r="Z487" i="12"/>
  <c r="AJ487" i="12" s="1"/>
  <c r="Y487" i="12"/>
  <c r="AA487" i="12"/>
  <c r="AF487" i="12"/>
  <c r="Z488" i="12"/>
  <c r="AJ488" i="12" s="1"/>
  <c r="Y488" i="12"/>
  <c r="AA488" i="12"/>
  <c r="AF488" i="12"/>
  <c r="Y489" i="12"/>
  <c r="AA489" i="12"/>
  <c r="AF489" i="12"/>
  <c r="Y490" i="12"/>
  <c r="AA490" i="12"/>
  <c r="AF490" i="12"/>
  <c r="Z491" i="12"/>
  <c r="AJ491" i="12" s="1"/>
  <c r="AI491" i="12"/>
  <c r="Y491" i="12"/>
  <c r="AA491" i="12"/>
  <c r="AF491" i="12"/>
  <c r="Z492" i="12"/>
  <c r="AJ492" i="12" s="1"/>
  <c r="Y492" i="12"/>
  <c r="AA492" i="12"/>
  <c r="AF492" i="12"/>
  <c r="Z493" i="12"/>
  <c r="AJ493" i="12" s="1"/>
  <c r="AI493" i="12"/>
  <c r="Y493" i="12"/>
  <c r="AA493" i="12"/>
  <c r="AF493" i="12"/>
  <c r="Z494" i="12"/>
  <c r="AJ494" i="12" s="1"/>
  <c r="AI494" i="12"/>
  <c r="Y494" i="12"/>
  <c r="AA494" i="12"/>
  <c r="AF494" i="12"/>
  <c r="Z495" i="12"/>
  <c r="AJ495" i="12" s="1"/>
  <c r="Y495" i="12"/>
  <c r="AA495" i="12"/>
  <c r="AF495" i="12"/>
  <c r="Z496" i="12"/>
  <c r="AJ496" i="12" s="1"/>
  <c r="Y496" i="12"/>
  <c r="AA496" i="12"/>
  <c r="AF496" i="12"/>
  <c r="Y497" i="12"/>
  <c r="AA497" i="12"/>
  <c r="AF497" i="12"/>
  <c r="Y498" i="12"/>
  <c r="AA498" i="12"/>
  <c r="AF498" i="12"/>
  <c r="Z499" i="12"/>
  <c r="AJ499" i="12" s="1"/>
  <c r="AI499" i="12"/>
  <c r="Y499" i="12"/>
  <c r="AA499" i="12"/>
  <c r="AF499" i="12"/>
  <c r="Z500" i="12"/>
  <c r="AJ500" i="12" s="1"/>
  <c r="AI500" i="12"/>
  <c r="Y500" i="12"/>
  <c r="AA500" i="12"/>
  <c r="AF500" i="12"/>
  <c r="Z501" i="12"/>
  <c r="AJ501" i="12" s="1"/>
  <c r="AI501" i="12"/>
  <c r="Y501" i="12"/>
  <c r="AA501" i="12"/>
  <c r="AF501" i="12"/>
  <c r="Z502" i="12"/>
  <c r="AJ502" i="12" s="1"/>
  <c r="AI502" i="12"/>
  <c r="Y502" i="12"/>
  <c r="AA502" i="12"/>
  <c r="AF502" i="12"/>
  <c r="Z503" i="12"/>
  <c r="AJ503" i="12" s="1"/>
  <c r="Y503" i="12"/>
  <c r="AA503" i="12"/>
  <c r="AF503" i="12"/>
  <c r="Z504" i="12"/>
  <c r="AJ504" i="12" s="1"/>
  <c r="Y504" i="12"/>
  <c r="AA504" i="12"/>
  <c r="AF504" i="12"/>
  <c r="Y505" i="12"/>
  <c r="AA505" i="12"/>
  <c r="AF505" i="12"/>
  <c r="Y506" i="12"/>
  <c r="AA506" i="12"/>
  <c r="AF506" i="12"/>
  <c r="Z507" i="12"/>
  <c r="AJ507" i="12" s="1"/>
  <c r="AI507" i="12"/>
  <c r="Y507" i="12"/>
  <c r="AA507" i="12"/>
  <c r="AF507" i="12"/>
  <c r="Z508" i="12"/>
  <c r="AJ508" i="12" s="1"/>
  <c r="Y508" i="12"/>
  <c r="AA508" i="12"/>
  <c r="AF508" i="12"/>
  <c r="Z509" i="12"/>
  <c r="AJ509" i="12" s="1"/>
  <c r="AI509" i="12"/>
  <c r="Y509" i="12"/>
  <c r="AA509" i="12"/>
  <c r="AF509" i="12"/>
  <c r="Z510" i="12"/>
  <c r="AJ510" i="12" s="1"/>
  <c r="AI510" i="12"/>
  <c r="Y510" i="12"/>
  <c r="AA510" i="12"/>
  <c r="AF510" i="12"/>
  <c r="Z511" i="12"/>
  <c r="AJ511" i="12" s="1"/>
  <c r="Y511" i="12"/>
  <c r="AA511" i="12"/>
  <c r="AF511" i="12"/>
  <c r="Z512" i="12"/>
  <c r="AJ512" i="12" s="1"/>
  <c r="Y512" i="12"/>
  <c r="AA512" i="12"/>
  <c r="AF512" i="12"/>
  <c r="Y513" i="12"/>
  <c r="AA513" i="12"/>
  <c r="AF513" i="12"/>
  <c r="Y514" i="12"/>
  <c r="AA514" i="12"/>
  <c r="AF514" i="12"/>
  <c r="Z515" i="12"/>
  <c r="AJ515" i="12" s="1"/>
  <c r="AI515" i="12"/>
  <c r="Y515" i="12"/>
  <c r="AA515" i="12"/>
  <c r="AF515" i="12"/>
  <c r="Z516" i="12"/>
  <c r="AJ516" i="12" s="1"/>
  <c r="AI516" i="12"/>
  <c r="Y516" i="12"/>
  <c r="AA516" i="12"/>
  <c r="AF516" i="12"/>
  <c r="Z517" i="12"/>
  <c r="AJ517" i="12" s="1"/>
  <c r="AI517" i="12"/>
  <c r="Y517" i="12"/>
  <c r="AA517" i="12"/>
  <c r="AF517" i="12"/>
  <c r="Z518" i="12"/>
  <c r="AJ518" i="12" s="1"/>
  <c r="AI518" i="12"/>
  <c r="Y518" i="12"/>
  <c r="AA518" i="12"/>
  <c r="AF518" i="12"/>
  <c r="Z519" i="12"/>
  <c r="AJ519" i="12" s="1"/>
  <c r="Y519" i="12"/>
  <c r="AA519" i="12"/>
  <c r="AF519" i="12"/>
  <c r="Z520" i="12"/>
  <c r="AJ520" i="12" s="1"/>
  <c r="Y520" i="12"/>
  <c r="AA520" i="12"/>
  <c r="AF520" i="12"/>
  <c r="Y521" i="12"/>
  <c r="AA521" i="12"/>
  <c r="AF521" i="12"/>
  <c r="Y522" i="12"/>
  <c r="AA522" i="12"/>
  <c r="AF522" i="12"/>
  <c r="Z523" i="12"/>
  <c r="AJ523" i="12" s="1"/>
  <c r="AI523" i="12"/>
  <c r="Y523" i="12"/>
  <c r="AA523" i="12"/>
  <c r="AF523" i="12"/>
  <c r="Z524" i="12"/>
  <c r="AJ524" i="12" s="1"/>
  <c r="Y524" i="12"/>
  <c r="AA524" i="12"/>
  <c r="AF524" i="12"/>
  <c r="Z525" i="12"/>
  <c r="AJ525" i="12" s="1"/>
  <c r="Y525" i="12"/>
  <c r="AA525" i="12"/>
  <c r="AF525" i="12"/>
  <c r="Y526" i="12"/>
  <c r="AA526" i="12"/>
  <c r="AF526" i="12"/>
  <c r="Z527" i="12"/>
  <c r="AJ527" i="12" s="1"/>
  <c r="AI527" i="12"/>
  <c r="Y527" i="12"/>
  <c r="AA527" i="12"/>
  <c r="AF527" i="12"/>
  <c r="Z528" i="12"/>
  <c r="AJ528" i="12" s="1"/>
  <c r="AI528" i="12"/>
  <c r="Y528" i="12"/>
  <c r="AA528" i="12"/>
  <c r="AF528" i="12"/>
  <c r="Y529" i="12"/>
  <c r="AA529" i="12"/>
  <c r="AF529" i="12"/>
  <c r="Z530" i="12"/>
  <c r="AJ530" i="12" s="1"/>
  <c r="AI530" i="12"/>
  <c r="Y530" i="12"/>
  <c r="AA530" i="12"/>
  <c r="AF530" i="12"/>
  <c r="Z531" i="12"/>
  <c r="AJ531" i="12" s="1"/>
  <c r="AI531" i="12"/>
  <c r="Y531" i="12"/>
  <c r="AA531" i="12"/>
  <c r="AF531" i="12"/>
  <c r="Z532" i="12"/>
  <c r="AJ532" i="12" s="1"/>
  <c r="Y532" i="12"/>
  <c r="AA532" i="12"/>
  <c r="AF532" i="12"/>
  <c r="Z533" i="12"/>
  <c r="AJ533" i="12" s="1"/>
  <c r="Y533" i="12"/>
  <c r="AA533" i="12"/>
  <c r="AF533" i="12"/>
  <c r="Y534" i="12"/>
  <c r="AA534" i="12"/>
  <c r="AF534" i="12"/>
  <c r="Z535" i="12"/>
  <c r="AJ535" i="12" s="1"/>
  <c r="AI535" i="12"/>
  <c r="Y535" i="12"/>
  <c r="AA535" i="12"/>
  <c r="AF535" i="12"/>
  <c r="Z536" i="12"/>
  <c r="AJ536" i="12" s="1"/>
  <c r="AI536" i="12"/>
  <c r="Y536" i="12"/>
  <c r="AA536" i="12"/>
  <c r="AF536" i="12"/>
  <c r="Y537" i="12"/>
  <c r="AA537" i="12"/>
  <c r="AF537" i="12"/>
  <c r="Z538" i="12"/>
  <c r="AJ538" i="12" s="1"/>
  <c r="AI538" i="12"/>
  <c r="Y538" i="12"/>
  <c r="AA538" i="12"/>
  <c r="AF538" i="12"/>
  <c r="Z539" i="12"/>
  <c r="AJ539" i="12" s="1"/>
  <c r="AI539" i="12"/>
  <c r="Y539" i="12"/>
  <c r="AA539" i="12"/>
  <c r="AF539" i="12"/>
  <c r="Z540" i="12"/>
  <c r="AJ540" i="12" s="1"/>
  <c r="Y540" i="12"/>
  <c r="AA540" i="12"/>
  <c r="AF540" i="12"/>
  <c r="Z541" i="12"/>
  <c r="AJ541" i="12" s="1"/>
  <c r="Y541" i="12"/>
  <c r="AA541" i="12"/>
  <c r="AF541" i="12"/>
  <c r="Y542" i="12"/>
  <c r="AA542" i="12"/>
  <c r="AF542" i="12"/>
  <c r="Z543" i="12"/>
  <c r="AJ543" i="12" s="1"/>
  <c r="AI543" i="12"/>
  <c r="Y543" i="12"/>
  <c r="AA543" i="12"/>
  <c r="AF543" i="12"/>
  <c r="Z544" i="12"/>
  <c r="AJ544" i="12" s="1"/>
  <c r="AI544" i="12"/>
  <c r="Y544" i="12"/>
  <c r="AA544" i="12"/>
  <c r="AF544" i="12"/>
  <c r="Y545" i="12"/>
  <c r="AA545" i="12"/>
  <c r="AF545" i="12"/>
  <c r="Z546" i="12"/>
  <c r="AJ546" i="12" s="1"/>
  <c r="AI546" i="12"/>
  <c r="Y546" i="12"/>
  <c r="AA546" i="12"/>
  <c r="AF546" i="12"/>
  <c r="Z547" i="12"/>
  <c r="AJ547" i="12" s="1"/>
  <c r="AI547" i="12"/>
  <c r="Y547" i="12"/>
  <c r="AA547" i="12"/>
  <c r="AF547" i="12"/>
  <c r="Z548" i="12"/>
  <c r="AJ548" i="12" s="1"/>
  <c r="Y548" i="12"/>
  <c r="AA548" i="12"/>
  <c r="AF548" i="12"/>
  <c r="Z549" i="12"/>
  <c r="AJ549" i="12" s="1"/>
  <c r="Y549" i="12"/>
  <c r="AA549" i="12"/>
  <c r="AF549" i="12"/>
  <c r="Y550" i="12"/>
  <c r="AA550" i="12"/>
  <c r="AF550" i="12"/>
  <c r="Z551" i="12"/>
  <c r="AJ551" i="12" s="1"/>
  <c r="AI551" i="12"/>
  <c r="Y551" i="12"/>
  <c r="AA551" i="12"/>
  <c r="AF551" i="12"/>
  <c r="Z552" i="12"/>
  <c r="AJ552" i="12" s="1"/>
  <c r="AI552" i="12"/>
  <c r="Y552" i="12"/>
  <c r="AA552" i="12"/>
  <c r="AF552" i="12"/>
  <c r="Y553" i="12"/>
  <c r="AA553" i="12"/>
  <c r="AF553" i="12"/>
  <c r="Z554" i="12"/>
  <c r="AJ554" i="12" s="1"/>
  <c r="AI554" i="12"/>
  <c r="Y554" i="12"/>
  <c r="AA554" i="12"/>
  <c r="AF554" i="12"/>
  <c r="Z555" i="12"/>
  <c r="AJ555" i="12" s="1"/>
  <c r="AI555" i="12"/>
  <c r="Y555" i="12"/>
  <c r="AA555" i="12"/>
  <c r="AF555" i="12"/>
  <c r="Z556" i="12"/>
  <c r="AJ556" i="12" s="1"/>
  <c r="Y556" i="12"/>
  <c r="AA556" i="12"/>
  <c r="AF556" i="12"/>
  <c r="Z557" i="12"/>
  <c r="AJ557" i="12" s="1"/>
  <c r="Y557" i="12"/>
  <c r="AA557" i="12"/>
  <c r="AF557" i="12"/>
  <c r="Y558" i="12"/>
  <c r="AA558" i="12"/>
  <c r="AF558" i="12"/>
  <c r="Z559" i="12"/>
  <c r="AJ559" i="12" s="1"/>
  <c r="AI559" i="12"/>
  <c r="Y559" i="12"/>
  <c r="AA559" i="12"/>
  <c r="AF559" i="12"/>
  <c r="Z560" i="12"/>
  <c r="AJ560" i="12" s="1"/>
  <c r="AI560" i="12"/>
  <c r="Y560" i="12"/>
  <c r="AA560" i="12"/>
  <c r="AF560" i="12"/>
  <c r="Y561" i="12"/>
  <c r="AA561" i="12"/>
  <c r="AF561" i="12"/>
  <c r="Z562" i="12"/>
  <c r="AJ562" i="12" s="1"/>
  <c r="AI562" i="12"/>
  <c r="Y562" i="12"/>
  <c r="AA562" i="12"/>
  <c r="AF562" i="12"/>
  <c r="Z563" i="12"/>
  <c r="AJ563" i="12" s="1"/>
  <c r="AI563" i="12"/>
  <c r="Y563" i="12"/>
  <c r="AA563" i="12"/>
  <c r="AF563" i="12"/>
  <c r="Z564" i="12"/>
  <c r="AJ564" i="12" s="1"/>
  <c r="Y564" i="12"/>
  <c r="AA564" i="12"/>
  <c r="AF564" i="12"/>
  <c r="Z565" i="12"/>
  <c r="AJ565" i="12" s="1"/>
  <c r="Y565" i="12"/>
  <c r="AA565" i="12"/>
  <c r="AF565" i="12"/>
  <c r="Y566" i="12"/>
  <c r="AA566" i="12"/>
  <c r="AF566" i="12"/>
  <c r="Z567" i="12"/>
  <c r="AJ567" i="12" s="1"/>
  <c r="AI567" i="12"/>
  <c r="Y567" i="12"/>
  <c r="AA567" i="12"/>
  <c r="AF567" i="12"/>
  <c r="Z568" i="12"/>
  <c r="AJ568" i="12" s="1"/>
  <c r="AI568" i="12"/>
  <c r="Y568" i="12"/>
  <c r="AA568" i="12"/>
  <c r="AF568" i="12"/>
  <c r="Y569" i="12"/>
  <c r="AA569" i="12"/>
  <c r="AF569" i="12"/>
  <c r="Z570" i="12"/>
  <c r="AJ570" i="12" s="1"/>
  <c r="AI570" i="12"/>
  <c r="Y570" i="12"/>
  <c r="AA570" i="12"/>
  <c r="AF570" i="12"/>
  <c r="Z571" i="12"/>
  <c r="AJ571" i="12" s="1"/>
  <c r="AI571" i="12"/>
  <c r="Y571" i="12"/>
  <c r="AA571" i="12"/>
  <c r="AF571" i="12"/>
  <c r="Z572" i="12"/>
  <c r="AJ572" i="12" s="1"/>
  <c r="Y572" i="12"/>
  <c r="AA572" i="12"/>
  <c r="AF572" i="12"/>
  <c r="Z573" i="12"/>
  <c r="AJ573" i="12" s="1"/>
  <c r="Y573" i="12"/>
  <c r="AA573" i="12"/>
  <c r="AF573" i="12"/>
  <c r="Y574" i="12"/>
  <c r="AA574" i="12"/>
  <c r="AF574" i="12"/>
  <c r="Z575" i="12"/>
  <c r="AJ575" i="12" s="1"/>
  <c r="AI575" i="12"/>
  <c r="Y575" i="12"/>
  <c r="AA575" i="12"/>
  <c r="AF575" i="12"/>
  <c r="Z576" i="12"/>
  <c r="AJ576" i="12" s="1"/>
  <c r="AI576" i="12"/>
  <c r="Y576" i="12"/>
  <c r="AA576" i="12"/>
  <c r="AF576" i="12"/>
  <c r="Y577" i="12"/>
  <c r="AA577" i="12"/>
  <c r="AF577" i="12"/>
  <c r="Z578" i="12"/>
  <c r="AJ578" i="12" s="1"/>
  <c r="AI578" i="12"/>
  <c r="Y578" i="12"/>
  <c r="AA578" i="12"/>
  <c r="AF578" i="12"/>
  <c r="Z579" i="12"/>
  <c r="AJ579" i="12" s="1"/>
  <c r="AI579" i="12"/>
  <c r="Y579" i="12"/>
  <c r="AA579" i="12"/>
  <c r="AF579" i="12"/>
  <c r="Z580" i="12"/>
  <c r="AJ580" i="12" s="1"/>
  <c r="Y580" i="12"/>
  <c r="AA580" i="12"/>
  <c r="AF580" i="12"/>
  <c r="Z581" i="12"/>
  <c r="AJ581" i="12" s="1"/>
  <c r="Y581" i="12"/>
  <c r="AA581" i="12"/>
  <c r="AF581" i="12"/>
  <c r="Y582" i="12"/>
  <c r="AA582" i="12"/>
  <c r="AF582" i="12"/>
  <c r="Z583" i="12"/>
  <c r="AJ583" i="12" s="1"/>
  <c r="AI583" i="12"/>
  <c r="Y583" i="12"/>
  <c r="AA583" i="12"/>
  <c r="AF583" i="12"/>
  <c r="Z584" i="12"/>
  <c r="AJ584" i="12" s="1"/>
  <c r="AI584" i="12"/>
  <c r="Y584" i="12"/>
  <c r="AA584" i="12"/>
  <c r="AF584" i="12"/>
  <c r="Y585" i="12"/>
  <c r="AA585" i="12"/>
  <c r="AF585" i="12"/>
  <c r="Z586" i="12"/>
  <c r="AJ586" i="12" s="1"/>
  <c r="AI586" i="12"/>
  <c r="Y586" i="12"/>
  <c r="AA586" i="12"/>
  <c r="AF586" i="12"/>
  <c r="A587" i="12"/>
  <c r="O587" i="12"/>
  <c r="Z587" i="12" s="1"/>
  <c r="AJ587" i="12" s="1"/>
  <c r="S587" i="12"/>
  <c r="Y587" i="12"/>
  <c r="AA587" i="12"/>
  <c r="AF587" i="12"/>
  <c r="A588" i="12"/>
  <c r="O588" i="12"/>
  <c r="S588" i="12"/>
  <c r="Y588" i="12"/>
  <c r="AA588" i="12"/>
  <c r="AF588" i="12"/>
  <c r="A589" i="12"/>
  <c r="O589" i="12"/>
  <c r="Z589" i="12" s="1"/>
  <c r="AJ589" i="12" s="1"/>
  <c r="S589" i="12"/>
  <c r="Y589" i="12"/>
  <c r="AA589" i="12"/>
  <c r="AF589" i="12"/>
  <c r="A590" i="12"/>
  <c r="O590" i="12"/>
  <c r="S590" i="12"/>
  <c r="Y590" i="12"/>
  <c r="AA590" i="12"/>
  <c r="AF590" i="12"/>
  <c r="A591" i="12"/>
  <c r="O591" i="12"/>
  <c r="S591" i="12"/>
  <c r="Y591" i="12"/>
  <c r="AA591" i="12"/>
  <c r="AF591" i="12"/>
  <c r="A592" i="12"/>
  <c r="O592" i="12"/>
  <c r="Z592" i="12" s="1"/>
  <c r="AJ592" i="12" s="1"/>
  <c r="S592" i="12"/>
  <c r="Y592" i="12"/>
  <c r="AA592" i="12"/>
  <c r="AF592" i="12"/>
  <c r="A593" i="12"/>
  <c r="O593" i="12"/>
  <c r="Z593" i="12" s="1"/>
  <c r="AJ593" i="12" s="1"/>
  <c r="S593" i="12"/>
  <c r="U593" i="12"/>
  <c r="AI593" i="12" s="1"/>
  <c r="Y593" i="12"/>
  <c r="AA593" i="12"/>
  <c r="AF593" i="12"/>
  <c r="A594" i="12"/>
  <c r="O594" i="12"/>
  <c r="Z594" i="12" s="1"/>
  <c r="AJ594" i="12" s="1"/>
  <c r="S594" i="12"/>
  <c r="Y594" i="12"/>
  <c r="AA594" i="12"/>
  <c r="AF594" i="12"/>
  <c r="A595" i="12"/>
  <c r="O595" i="12"/>
  <c r="Z595" i="12" s="1"/>
  <c r="AJ595" i="12" s="1"/>
  <c r="S595" i="12"/>
  <c r="Y595" i="12"/>
  <c r="AA595" i="12"/>
  <c r="AF595" i="12"/>
  <c r="A596" i="12"/>
  <c r="O596" i="12"/>
  <c r="S596" i="12"/>
  <c r="Y596" i="12"/>
  <c r="AA596" i="12"/>
  <c r="AF596" i="12"/>
  <c r="A597" i="12"/>
  <c r="O597" i="12"/>
  <c r="S597" i="12"/>
  <c r="Y597" i="12"/>
  <c r="AA597" i="12"/>
  <c r="AF597" i="12"/>
  <c r="A598" i="12"/>
  <c r="O598" i="12"/>
  <c r="S598" i="12"/>
  <c r="Y598" i="12"/>
  <c r="AA598" i="12"/>
  <c r="AF598" i="12"/>
  <c r="A599" i="12"/>
  <c r="O599" i="12"/>
  <c r="S599" i="12"/>
  <c r="Y599" i="12"/>
  <c r="AA599" i="12"/>
  <c r="AF599" i="12"/>
  <c r="A600" i="12"/>
  <c r="O600" i="12"/>
  <c r="S600" i="12"/>
  <c r="Y600" i="12"/>
  <c r="AA600" i="12"/>
  <c r="AF600" i="12"/>
  <c r="A601" i="12"/>
  <c r="O601" i="12"/>
  <c r="S601" i="12"/>
  <c r="Y601" i="12"/>
  <c r="AA601" i="12"/>
  <c r="AF601" i="12"/>
  <c r="A602" i="12"/>
  <c r="O602" i="12"/>
  <c r="S602" i="12"/>
  <c r="Y602" i="12"/>
  <c r="AA602" i="12"/>
  <c r="AF602" i="12"/>
  <c r="A603" i="12"/>
  <c r="O603" i="12"/>
  <c r="S603" i="12"/>
  <c r="Y603" i="12"/>
  <c r="AA603" i="12"/>
  <c r="AF603" i="12"/>
  <c r="A604" i="12"/>
  <c r="O604" i="12"/>
  <c r="S604" i="12"/>
  <c r="Y604" i="12"/>
  <c r="AA604" i="12"/>
  <c r="AF604" i="12"/>
  <c r="A605" i="12"/>
  <c r="O605" i="12"/>
  <c r="S605" i="12"/>
  <c r="Y605" i="12"/>
  <c r="AA605" i="12"/>
  <c r="AF605" i="12"/>
  <c r="A606" i="12"/>
  <c r="O606" i="12"/>
  <c r="S606" i="12"/>
  <c r="Y606" i="12"/>
  <c r="AA606" i="12"/>
  <c r="AF606" i="12"/>
  <c r="A607" i="12"/>
  <c r="O607" i="12"/>
  <c r="S607" i="12"/>
  <c r="Y607" i="12"/>
  <c r="AA607" i="12"/>
  <c r="AF607" i="12"/>
  <c r="A608" i="12"/>
  <c r="O608" i="12"/>
  <c r="S608" i="12"/>
  <c r="Y608" i="12"/>
  <c r="AA608" i="12"/>
  <c r="AF608" i="12"/>
  <c r="A609" i="12"/>
  <c r="O609" i="12"/>
  <c r="S609" i="12"/>
  <c r="Y609" i="12"/>
  <c r="AA609" i="12"/>
  <c r="AF609" i="12"/>
  <c r="A610" i="12"/>
  <c r="O610" i="12"/>
  <c r="S610" i="12"/>
  <c r="Y610" i="12"/>
  <c r="AA610" i="12"/>
  <c r="AF610" i="12"/>
  <c r="A611" i="12"/>
  <c r="O611" i="12"/>
  <c r="S611" i="12"/>
  <c r="Y611" i="12"/>
  <c r="AA611" i="12"/>
  <c r="AF611" i="12"/>
  <c r="A612" i="12"/>
  <c r="O612" i="12"/>
  <c r="S612" i="12"/>
  <c r="Y612" i="12"/>
  <c r="AA612" i="12"/>
  <c r="AF612" i="12"/>
  <c r="A613" i="12"/>
  <c r="O613" i="12"/>
  <c r="S613" i="12"/>
  <c r="Y613" i="12"/>
  <c r="AA613" i="12"/>
  <c r="AF613" i="12"/>
  <c r="A614" i="12"/>
  <c r="O614" i="12"/>
  <c r="S614" i="12"/>
  <c r="Y614" i="12"/>
  <c r="AA614" i="12"/>
  <c r="AF614" i="12"/>
  <c r="A615" i="12"/>
  <c r="O615" i="12"/>
  <c r="S615" i="12"/>
  <c r="Y615" i="12"/>
  <c r="AA615" i="12"/>
  <c r="AF615" i="12"/>
  <c r="A616" i="12"/>
  <c r="O616" i="12"/>
  <c r="S616" i="12"/>
  <c r="Y616" i="12"/>
  <c r="AA616" i="12"/>
  <c r="AF616" i="12"/>
  <c r="A617" i="12"/>
  <c r="O617" i="12"/>
  <c r="S617" i="12"/>
  <c r="Y617" i="12"/>
  <c r="AA617" i="12"/>
  <c r="AF617" i="12"/>
  <c r="A618" i="12"/>
  <c r="O618" i="12"/>
  <c r="S618" i="12"/>
  <c r="Y618" i="12"/>
  <c r="AA618" i="12"/>
  <c r="AF618" i="12"/>
  <c r="A619" i="12"/>
  <c r="O619" i="12"/>
  <c r="S619" i="12"/>
  <c r="Y619" i="12"/>
  <c r="AA619" i="12"/>
  <c r="AF619" i="12"/>
  <c r="A620" i="12"/>
  <c r="O620" i="12"/>
  <c r="S620" i="12"/>
  <c r="Y620" i="12"/>
  <c r="AA620" i="12"/>
  <c r="AF620" i="12"/>
  <c r="A621" i="12"/>
  <c r="O621" i="12"/>
  <c r="S621" i="12"/>
  <c r="Y621" i="12"/>
  <c r="AA621" i="12"/>
  <c r="AF621" i="12"/>
  <c r="A622" i="12"/>
  <c r="O622" i="12"/>
  <c r="S622" i="12"/>
  <c r="Y622" i="12"/>
  <c r="AA622" i="12"/>
  <c r="AF622" i="12"/>
  <c r="A623" i="12"/>
  <c r="O623" i="12"/>
  <c r="S623" i="12"/>
  <c r="Y623" i="12"/>
  <c r="AA623" i="12"/>
  <c r="AF623" i="12"/>
  <c r="A624" i="12"/>
  <c r="O624" i="12"/>
  <c r="S624" i="12"/>
  <c r="Y624" i="12"/>
  <c r="AA624" i="12"/>
  <c r="AF624" i="12"/>
  <c r="A625" i="12"/>
  <c r="O625" i="12"/>
  <c r="S625" i="12"/>
  <c r="Y625" i="12"/>
  <c r="AA625" i="12"/>
  <c r="AF625" i="12"/>
  <c r="A626" i="12"/>
  <c r="O626" i="12"/>
  <c r="S626" i="12"/>
  <c r="Y626" i="12"/>
  <c r="AA626" i="12"/>
  <c r="AF626" i="12"/>
  <c r="A627" i="12"/>
  <c r="O627" i="12"/>
  <c r="S627" i="12"/>
  <c r="Y627" i="12"/>
  <c r="AA627" i="12"/>
  <c r="AF627" i="12"/>
  <c r="A628" i="12"/>
  <c r="O628" i="12"/>
  <c r="S628" i="12"/>
  <c r="Y628" i="12"/>
  <c r="AA628" i="12"/>
  <c r="AF628" i="12"/>
  <c r="A629" i="12"/>
  <c r="O629" i="12"/>
  <c r="S629" i="12"/>
  <c r="Y629" i="12"/>
  <c r="AA629" i="12"/>
  <c r="AF629" i="12"/>
  <c r="A630" i="12"/>
  <c r="O630" i="12"/>
  <c r="S630" i="12"/>
  <c r="Y630" i="12"/>
  <c r="AA630" i="12"/>
  <c r="AF630" i="12"/>
  <c r="A631" i="12"/>
  <c r="O631" i="12"/>
  <c r="S631" i="12"/>
  <c r="Y631" i="12"/>
  <c r="AA631" i="12"/>
  <c r="AF631" i="12"/>
  <c r="A632" i="12"/>
  <c r="O632" i="12"/>
  <c r="S632" i="12"/>
  <c r="Y632" i="12"/>
  <c r="AA632" i="12"/>
  <c r="AF632" i="12"/>
  <c r="A633" i="12"/>
  <c r="O633" i="12"/>
  <c r="S633" i="12"/>
  <c r="Y633" i="12"/>
  <c r="AA633" i="12"/>
  <c r="AF633" i="12"/>
  <c r="A634" i="12"/>
  <c r="O634" i="12"/>
  <c r="S634" i="12"/>
  <c r="Y634" i="12"/>
  <c r="AA634" i="12"/>
  <c r="AF634" i="12"/>
  <c r="A635" i="12"/>
  <c r="O635" i="12"/>
  <c r="S635" i="12"/>
  <c r="Y635" i="12"/>
  <c r="AA635" i="12"/>
  <c r="AF635" i="12"/>
  <c r="A636" i="12"/>
  <c r="O636" i="12"/>
  <c r="S636" i="12"/>
  <c r="Y636" i="12"/>
  <c r="AA636" i="12"/>
  <c r="AF636" i="12"/>
  <c r="A637" i="12"/>
  <c r="O637" i="12"/>
  <c r="S637" i="12"/>
  <c r="Y637" i="12"/>
  <c r="AA637" i="12"/>
  <c r="AF637" i="12"/>
  <c r="A638" i="12"/>
  <c r="O638" i="12"/>
  <c r="S638" i="12"/>
  <c r="Y638" i="12"/>
  <c r="AA638" i="12"/>
  <c r="AF638" i="12"/>
  <c r="A639" i="12"/>
  <c r="O639" i="12"/>
  <c r="S639" i="12"/>
  <c r="Y639" i="12"/>
  <c r="AA639" i="12"/>
  <c r="AF639" i="12"/>
  <c r="A640" i="12"/>
  <c r="O640" i="12"/>
  <c r="S640" i="12"/>
  <c r="Y640" i="12"/>
  <c r="AA640" i="12"/>
  <c r="AF640" i="12"/>
  <c r="A641" i="12"/>
  <c r="O641" i="12"/>
  <c r="S641" i="12"/>
  <c r="Y641" i="12"/>
  <c r="AA641" i="12"/>
  <c r="AF641" i="12"/>
  <c r="A642" i="12"/>
  <c r="O642" i="12"/>
  <c r="S642" i="12"/>
  <c r="Y642" i="12"/>
  <c r="AA642" i="12"/>
  <c r="AF642" i="12"/>
  <c r="A643" i="12"/>
  <c r="O643" i="12"/>
  <c r="S643" i="12"/>
  <c r="Y643" i="12"/>
  <c r="AA643" i="12"/>
  <c r="AF643" i="12"/>
  <c r="A644" i="12"/>
  <c r="O644" i="12"/>
  <c r="S644" i="12"/>
  <c r="Y644" i="12"/>
  <c r="AA644" i="12"/>
  <c r="AF644" i="12"/>
  <c r="A645" i="12"/>
  <c r="O645" i="12"/>
  <c r="S645" i="12"/>
  <c r="Y645" i="12"/>
  <c r="AA645" i="12"/>
  <c r="AF645" i="12"/>
  <c r="A646" i="12"/>
  <c r="O646" i="12"/>
  <c r="S646" i="12"/>
  <c r="Y646" i="12"/>
  <c r="AA646" i="12"/>
  <c r="AF646" i="12"/>
  <c r="A647" i="12"/>
  <c r="O647" i="12"/>
  <c r="S647" i="12"/>
  <c r="Y647" i="12"/>
  <c r="AA647" i="12"/>
  <c r="AF647" i="12"/>
  <c r="A648" i="12"/>
  <c r="O648" i="12"/>
  <c r="S648" i="12"/>
  <c r="Y648" i="12"/>
  <c r="AA648" i="12"/>
  <c r="AF648" i="12"/>
  <c r="A649" i="12"/>
  <c r="O649" i="12"/>
  <c r="S649" i="12"/>
  <c r="Y649" i="12"/>
  <c r="AA649" i="12"/>
  <c r="AF649" i="12"/>
  <c r="A650" i="12"/>
  <c r="O650" i="12"/>
  <c r="S650" i="12"/>
  <c r="Y650" i="12"/>
  <c r="AA650" i="12"/>
  <c r="AF650" i="12"/>
  <c r="A651" i="12"/>
  <c r="O651" i="12"/>
  <c r="S651" i="12"/>
  <c r="Y651" i="12"/>
  <c r="AA651" i="12"/>
  <c r="AF651" i="12"/>
  <c r="A652" i="12"/>
  <c r="O652" i="12"/>
  <c r="S652" i="12"/>
  <c r="Y652" i="12"/>
  <c r="AA652" i="12"/>
  <c r="AF652" i="12"/>
  <c r="A653" i="12"/>
  <c r="O653" i="12"/>
  <c r="S653" i="12"/>
  <c r="Y653" i="12"/>
  <c r="AA653" i="12"/>
  <c r="AF653" i="12"/>
  <c r="A654" i="12"/>
  <c r="O654" i="12"/>
  <c r="S654" i="12"/>
  <c r="Y654" i="12"/>
  <c r="AA654" i="12"/>
  <c r="AF654" i="12"/>
  <c r="A655" i="12"/>
  <c r="O655" i="12"/>
  <c r="S655" i="12"/>
  <c r="Y655" i="12"/>
  <c r="AA655" i="12"/>
  <c r="AF655" i="12"/>
  <c r="A656" i="12"/>
  <c r="O656" i="12"/>
  <c r="S656" i="12"/>
  <c r="Y656" i="12"/>
  <c r="AA656" i="12"/>
  <c r="AF656" i="12"/>
  <c r="A657" i="12"/>
  <c r="O657" i="12"/>
  <c r="S657" i="12"/>
  <c r="Y657" i="12"/>
  <c r="AA657" i="12"/>
  <c r="AF657" i="12"/>
  <c r="A658" i="12"/>
  <c r="O658" i="12"/>
  <c r="S658" i="12"/>
  <c r="Y658" i="12"/>
  <c r="AA658" i="12"/>
  <c r="AF658" i="12"/>
  <c r="A659" i="12"/>
  <c r="O659" i="12"/>
  <c r="Z659" i="12" s="1"/>
  <c r="AJ659" i="12" s="1"/>
  <c r="S659" i="12"/>
  <c r="U659" i="12"/>
  <c r="AI659" i="12" s="1"/>
  <c r="Y659" i="12"/>
  <c r="AA659" i="12"/>
  <c r="AF659" i="12"/>
  <c r="A660" i="12"/>
  <c r="O660" i="12"/>
  <c r="Z660" i="12" s="1"/>
  <c r="AJ660" i="12" s="1"/>
  <c r="S660" i="12"/>
  <c r="Y660" i="12"/>
  <c r="AA660" i="12"/>
  <c r="AF660" i="12"/>
  <c r="A661" i="12"/>
  <c r="O661" i="12"/>
  <c r="Z661" i="12" s="1"/>
  <c r="AJ661" i="12" s="1"/>
  <c r="S661" i="12"/>
  <c r="Y661" i="12"/>
  <c r="AA661" i="12"/>
  <c r="AF661" i="12"/>
  <c r="A662" i="12"/>
  <c r="O662" i="12"/>
  <c r="S662" i="12"/>
  <c r="Y662" i="12"/>
  <c r="AA662" i="12"/>
  <c r="AF662" i="12"/>
  <c r="A663" i="12"/>
  <c r="O663" i="12"/>
  <c r="Z663" i="12" s="1"/>
  <c r="AJ663" i="12" s="1"/>
  <c r="S663" i="12"/>
  <c r="Y663" i="12"/>
  <c r="AA663" i="12"/>
  <c r="AF663" i="12"/>
  <c r="A664" i="12"/>
  <c r="O664" i="12"/>
  <c r="Z664" i="12" s="1"/>
  <c r="AJ664" i="12" s="1"/>
  <c r="S664" i="12"/>
  <c r="Y664" i="12"/>
  <c r="AA664" i="12"/>
  <c r="AF664" i="12"/>
  <c r="A665" i="12"/>
  <c r="O665" i="12"/>
  <c r="S665" i="12"/>
  <c r="Y665" i="12"/>
  <c r="AA665" i="12"/>
  <c r="AF665" i="12"/>
  <c r="A666" i="12"/>
  <c r="O666" i="12"/>
  <c r="U666" i="12" s="1"/>
  <c r="AI666" i="12" s="1"/>
  <c r="S666" i="12"/>
  <c r="Y666" i="12"/>
  <c r="AA666" i="12"/>
  <c r="AF666" i="12"/>
  <c r="A667" i="12"/>
  <c r="O667" i="12"/>
  <c r="U667" i="12" s="1"/>
  <c r="AI667" i="12" s="1"/>
  <c r="S667" i="12"/>
  <c r="Y667" i="12"/>
  <c r="AA667" i="12"/>
  <c r="AF667" i="12"/>
  <c r="A668" i="12"/>
  <c r="O668" i="12"/>
  <c r="U668" i="12" s="1"/>
  <c r="AI668" i="12" s="1"/>
  <c r="S668" i="12"/>
  <c r="Y668" i="12"/>
  <c r="AA668" i="12"/>
  <c r="AF668" i="12"/>
  <c r="A669" i="12"/>
  <c r="O669" i="12"/>
  <c r="S669" i="12"/>
  <c r="Y669" i="12"/>
  <c r="AA669" i="12"/>
  <c r="AF669" i="12"/>
  <c r="A670" i="12"/>
  <c r="O670" i="12"/>
  <c r="U670" i="12" s="1"/>
  <c r="AI670" i="12" s="1"/>
  <c r="S670" i="12"/>
  <c r="Y670" i="12"/>
  <c r="Z670" i="12"/>
  <c r="AJ670" i="12" s="1"/>
  <c r="AA670" i="12"/>
  <c r="AF670" i="12"/>
  <c r="A671" i="12"/>
  <c r="O671" i="12"/>
  <c r="S671" i="12"/>
  <c r="Y671" i="12"/>
  <c r="AA671" i="12"/>
  <c r="AF671" i="12"/>
  <c r="A672" i="12"/>
  <c r="O672" i="12"/>
  <c r="S672" i="12"/>
  <c r="Y672" i="12"/>
  <c r="AA672" i="12"/>
  <c r="AF672" i="12"/>
  <c r="A673" i="12"/>
  <c r="O673" i="12"/>
  <c r="S673" i="12"/>
  <c r="Y673" i="12"/>
  <c r="AA673" i="12"/>
  <c r="AF673" i="12"/>
  <c r="A674" i="12"/>
  <c r="O674" i="12"/>
  <c r="U674" i="12" s="1"/>
  <c r="AI674" i="12" s="1"/>
  <c r="S674" i="12"/>
  <c r="Y674" i="12"/>
  <c r="AA674" i="12"/>
  <c r="AF674" i="12"/>
  <c r="A675" i="12"/>
  <c r="O675" i="12"/>
  <c r="U675" i="12" s="1"/>
  <c r="AI675" i="12" s="1"/>
  <c r="S675" i="12"/>
  <c r="Y675" i="12"/>
  <c r="AA675" i="12"/>
  <c r="AF675" i="12"/>
  <c r="A676" i="12"/>
  <c r="O676" i="12"/>
  <c r="S676" i="12"/>
  <c r="Y676" i="12"/>
  <c r="AA676" i="12"/>
  <c r="AF676" i="12"/>
  <c r="A677" i="12"/>
  <c r="O677" i="12"/>
  <c r="S677" i="12"/>
  <c r="Y677" i="12"/>
  <c r="AA677" i="12"/>
  <c r="AF677" i="12"/>
  <c r="A678" i="12"/>
  <c r="O678" i="12"/>
  <c r="U678" i="12" s="1"/>
  <c r="AI678" i="12" s="1"/>
  <c r="S678" i="12"/>
  <c r="Y678" i="12"/>
  <c r="AA678" i="12"/>
  <c r="AF678" i="12"/>
  <c r="A679" i="12"/>
  <c r="O679" i="12"/>
  <c r="U679" i="12" s="1"/>
  <c r="AI679" i="12" s="1"/>
  <c r="S679" i="12"/>
  <c r="Y679" i="12"/>
  <c r="AA679" i="12"/>
  <c r="AF679" i="12"/>
  <c r="A680" i="12"/>
  <c r="O680" i="12"/>
  <c r="U680" i="12" s="1"/>
  <c r="AI680" i="12" s="1"/>
  <c r="S680" i="12"/>
  <c r="Y680" i="12"/>
  <c r="Z680" i="12"/>
  <c r="AJ680" i="12" s="1"/>
  <c r="AA680" i="12"/>
  <c r="AF680" i="12"/>
  <c r="A681" i="12"/>
  <c r="O681" i="12"/>
  <c r="S681" i="12"/>
  <c r="Y681" i="12"/>
  <c r="AA681" i="12"/>
  <c r="AF681" i="12"/>
  <c r="A682" i="12"/>
  <c r="O682" i="12"/>
  <c r="U682" i="12" s="1"/>
  <c r="AI682" i="12" s="1"/>
  <c r="S682" i="12"/>
  <c r="Y682" i="12"/>
  <c r="AA682" i="12"/>
  <c r="AF682" i="12"/>
  <c r="A683" i="12"/>
  <c r="O683" i="12"/>
  <c r="U683" i="12" s="1"/>
  <c r="AI683" i="12" s="1"/>
  <c r="S683" i="12"/>
  <c r="Y683" i="12"/>
  <c r="AA683" i="12"/>
  <c r="AF683" i="12"/>
  <c r="A684" i="12"/>
  <c r="O684" i="12"/>
  <c r="U684" i="12" s="1"/>
  <c r="AI684" i="12" s="1"/>
  <c r="S684" i="12"/>
  <c r="Y684" i="12"/>
  <c r="AA684" i="12"/>
  <c r="AF684" i="12"/>
  <c r="A685" i="12"/>
  <c r="O685" i="12"/>
  <c r="S685" i="12"/>
  <c r="Y685" i="12"/>
  <c r="AA685" i="12"/>
  <c r="AF685" i="12"/>
  <c r="A686" i="12"/>
  <c r="O686" i="12"/>
  <c r="U686" i="12" s="1"/>
  <c r="AI686" i="12" s="1"/>
  <c r="S686" i="12"/>
  <c r="Y686" i="12"/>
  <c r="AA686" i="12"/>
  <c r="AF686" i="12"/>
  <c r="A687" i="12"/>
  <c r="O687" i="12"/>
  <c r="S687" i="12"/>
  <c r="Y687" i="12"/>
  <c r="AA687" i="12"/>
  <c r="AF687" i="12"/>
  <c r="A688" i="12"/>
  <c r="O688" i="12"/>
  <c r="S688" i="12"/>
  <c r="Y688" i="12"/>
  <c r="AA688" i="12"/>
  <c r="AF688" i="12"/>
  <c r="A689" i="12"/>
  <c r="O689" i="12"/>
  <c r="S689" i="12"/>
  <c r="Y689" i="12"/>
  <c r="AA689" i="12"/>
  <c r="AF689" i="12"/>
  <c r="A690" i="12"/>
  <c r="O690" i="12"/>
  <c r="U690" i="12" s="1"/>
  <c r="AI690" i="12" s="1"/>
  <c r="S690" i="12"/>
  <c r="Y690" i="12"/>
  <c r="AA690" i="12"/>
  <c r="AF690" i="12"/>
  <c r="A691" i="12"/>
  <c r="O691" i="12"/>
  <c r="S691" i="12"/>
  <c r="Y691" i="12"/>
  <c r="AA691" i="12"/>
  <c r="AF691" i="12"/>
  <c r="A692" i="12"/>
  <c r="O692" i="12"/>
  <c r="S692" i="12"/>
  <c r="Y692" i="12"/>
  <c r="AA692" i="12"/>
  <c r="AF692" i="12"/>
  <c r="A693" i="12"/>
  <c r="O693" i="12"/>
  <c r="S693" i="12"/>
  <c r="Y693" i="12"/>
  <c r="AA693" i="12"/>
  <c r="AF693" i="12"/>
  <c r="A694" i="12"/>
  <c r="O694" i="12"/>
  <c r="U694" i="12" s="1"/>
  <c r="AI694" i="12" s="1"/>
  <c r="S694" i="12"/>
  <c r="Y694" i="12"/>
  <c r="Z694" i="12"/>
  <c r="AJ694" i="12" s="1"/>
  <c r="AA694" i="12"/>
  <c r="AF694" i="12"/>
  <c r="A695" i="12"/>
  <c r="O695" i="12"/>
  <c r="U695" i="12" s="1"/>
  <c r="AI695" i="12" s="1"/>
  <c r="S695" i="12"/>
  <c r="Y695" i="12"/>
  <c r="AA695" i="12"/>
  <c r="AF695" i="12"/>
  <c r="A696" i="12"/>
  <c r="O696" i="12"/>
  <c r="U696" i="12" s="1"/>
  <c r="AI696" i="12" s="1"/>
  <c r="S696" i="12"/>
  <c r="Y696" i="12"/>
  <c r="Z696" i="12"/>
  <c r="AJ696" i="12" s="1"/>
  <c r="AA696" i="12"/>
  <c r="AF696" i="12"/>
  <c r="A697" i="12"/>
  <c r="O697" i="12"/>
  <c r="S697" i="12"/>
  <c r="Y697" i="12"/>
  <c r="AA697" i="12"/>
  <c r="AF697" i="12"/>
  <c r="A698" i="12"/>
  <c r="O698" i="12"/>
  <c r="U698" i="12" s="1"/>
  <c r="AI698" i="12" s="1"/>
  <c r="S698" i="12"/>
  <c r="Y698" i="12"/>
  <c r="AA698" i="12"/>
  <c r="AF698" i="12"/>
  <c r="A699" i="12"/>
  <c r="O699" i="12"/>
  <c r="S699" i="12"/>
  <c r="Y699" i="12"/>
  <c r="AA699" i="12"/>
  <c r="AF699" i="12"/>
  <c r="A700" i="12"/>
  <c r="O700" i="12"/>
  <c r="U700" i="12" s="1"/>
  <c r="AI700" i="12" s="1"/>
  <c r="S700" i="12"/>
  <c r="Y700" i="12"/>
  <c r="AA700" i="12"/>
  <c r="AF700" i="12"/>
  <c r="A701" i="12"/>
  <c r="O701" i="12"/>
  <c r="S701" i="12"/>
  <c r="Y701" i="12"/>
  <c r="AA701" i="12"/>
  <c r="AF701" i="12"/>
  <c r="A702" i="12"/>
  <c r="O702" i="12"/>
  <c r="U702" i="12" s="1"/>
  <c r="AI702" i="12" s="1"/>
  <c r="S702" i="12"/>
  <c r="Y702" i="12"/>
  <c r="Z702" i="12"/>
  <c r="AJ702" i="12" s="1"/>
  <c r="AA702" i="12"/>
  <c r="AF702" i="12"/>
  <c r="A703" i="12"/>
  <c r="O703" i="12"/>
  <c r="S703" i="12"/>
  <c r="Y703" i="12"/>
  <c r="AA703" i="12"/>
  <c r="AF703" i="12"/>
  <c r="A704" i="12"/>
  <c r="O704" i="12"/>
  <c r="S704" i="12"/>
  <c r="Y704" i="12"/>
  <c r="AA704" i="12"/>
  <c r="AF704" i="12"/>
  <c r="A705" i="12"/>
  <c r="O705" i="12"/>
  <c r="S705" i="12"/>
  <c r="Y705" i="12"/>
  <c r="AA705" i="12"/>
  <c r="AF705" i="12"/>
  <c r="A706" i="12"/>
  <c r="O706" i="12"/>
  <c r="S706" i="12"/>
  <c r="Y706" i="12"/>
  <c r="AA706" i="12"/>
  <c r="AF706" i="12"/>
  <c r="A707" i="12"/>
  <c r="O707" i="12"/>
  <c r="S707" i="12"/>
  <c r="Y707" i="12"/>
  <c r="AA707" i="12"/>
  <c r="AF707" i="12"/>
  <c r="A708" i="12"/>
  <c r="O708" i="12"/>
  <c r="U708" i="12" s="1"/>
  <c r="AI708" i="12" s="1"/>
  <c r="S708" i="12"/>
  <c r="Y708" i="12"/>
  <c r="AA708" i="12"/>
  <c r="AF708" i="12"/>
  <c r="A709" i="12"/>
  <c r="O709" i="12"/>
  <c r="S709" i="12"/>
  <c r="Y709" i="12"/>
  <c r="AA709" i="12"/>
  <c r="AF709" i="12"/>
  <c r="A710" i="12"/>
  <c r="O710" i="12"/>
  <c r="U710" i="12" s="1"/>
  <c r="AI710" i="12" s="1"/>
  <c r="S710" i="12"/>
  <c r="Y710" i="12"/>
  <c r="Z710" i="12"/>
  <c r="AJ710" i="12" s="1"/>
  <c r="AA710" i="12"/>
  <c r="AF710" i="12"/>
  <c r="A711" i="12"/>
  <c r="O711" i="12"/>
  <c r="U711" i="12" s="1"/>
  <c r="AI711" i="12" s="1"/>
  <c r="S711" i="12"/>
  <c r="Y711" i="12"/>
  <c r="AA711" i="12"/>
  <c r="AF711" i="12"/>
  <c r="A712" i="12"/>
  <c r="O712" i="12"/>
  <c r="U712" i="12" s="1"/>
  <c r="AI712" i="12" s="1"/>
  <c r="S712" i="12"/>
  <c r="Y712" i="12"/>
  <c r="AA712" i="12"/>
  <c r="AF712" i="12"/>
  <c r="A713" i="12"/>
  <c r="O713" i="12"/>
  <c r="S713" i="12"/>
  <c r="Y713" i="12"/>
  <c r="AA713" i="12"/>
  <c r="AF713" i="12"/>
  <c r="A714" i="12"/>
  <c r="O714" i="12"/>
  <c r="S714" i="12"/>
  <c r="Y714" i="12"/>
  <c r="AA714" i="12"/>
  <c r="AF714" i="12"/>
  <c r="A715" i="12"/>
  <c r="O715" i="12"/>
  <c r="S715" i="12"/>
  <c r="Y715" i="12"/>
  <c r="AA715" i="12"/>
  <c r="AF715" i="12"/>
  <c r="A716" i="12"/>
  <c r="O716" i="12"/>
  <c r="U716" i="12" s="1"/>
  <c r="AI716" i="12" s="1"/>
  <c r="S716" i="12"/>
  <c r="Y716" i="12"/>
  <c r="AA716" i="12"/>
  <c r="AF716" i="12"/>
  <c r="A717" i="12"/>
  <c r="O717" i="12"/>
  <c r="U717" i="12" s="1"/>
  <c r="AI717" i="12" s="1"/>
  <c r="S717" i="12"/>
  <c r="Y717" i="12"/>
  <c r="AA717" i="12"/>
  <c r="AF717" i="12"/>
  <c r="A718" i="12"/>
  <c r="O718" i="12"/>
  <c r="U718" i="12" s="1"/>
  <c r="AI718" i="12" s="1"/>
  <c r="S718" i="12"/>
  <c r="Y718" i="12"/>
  <c r="Z718" i="12"/>
  <c r="AJ718" i="12" s="1"/>
  <c r="AA718" i="12"/>
  <c r="AF718" i="12"/>
  <c r="A719" i="12"/>
  <c r="O719" i="12"/>
  <c r="U719" i="12" s="1"/>
  <c r="AI719" i="12" s="1"/>
  <c r="S719" i="12"/>
  <c r="Y719" i="12"/>
  <c r="AA719" i="12"/>
  <c r="AF719" i="12"/>
  <c r="A720" i="12"/>
  <c r="O720" i="12"/>
  <c r="U720" i="12" s="1"/>
  <c r="AI720" i="12" s="1"/>
  <c r="S720" i="12"/>
  <c r="Y720" i="12"/>
  <c r="Z720" i="12"/>
  <c r="AJ720" i="12" s="1"/>
  <c r="AA720" i="12"/>
  <c r="AF720" i="12"/>
  <c r="A721" i="12"/>
  <c r="O721" i="12"/>
  <c r="S721" i="12"/>
  <c r="Y721" i="12"/>
  <c r="AA721" i="12"/>
  <c r="AF721" i="12"/>
  <c r="A722" i="12"/>
  <c r="O722" i="12"/>
  <c r="S722" i="12"/>
  <c r="Y722" i="12"/>
  <c r="AA722" i="12"/>
  <c r="AF722" i="12"/>
  <c r="A723" i="12"/>
  <c r="O723" i="12"/>
  <c r="S723" i="12"/>
  <c r="Y723" i="12"/>
  <c r="AA723" i="12"/>
  <c r="AF723" i="12"/>
  <c r="A724" i="12"/>
  <c r="O724" i="12"/>
  <c r="U724" i="12" s="1"/>
  <c r="AI724" i="12" s="1"/>
  <c r="S724" i="12"/>
  <c r="Y724" i="12"/>
  <c r="AA724" i="12"/>
  <c r="AF724" i="12"/>
  <c r="A725" i="12"/>
  <c r="O725" i="12"/>
  <c r="S725" i="12"/>
  <c r="Y725" i="12"/>
  <c r="AA725" i="12"/>
  <c r="AF725" i="12"/>
  <c r="A726" i="12"/>
  <c r="O726" i="12"/>
  <c r="U726" i="12" s="1"/>
  <c r="AI726" i="12" s="1"/>
  <c r="S726" i="12"/>
  <c r="Y726" i="12"/>
  <c r="Z726" i="12"/>
  <c r="AJ726" i="12" s="1"/>
  <c r="AA726" i="12"/>
  <c r="AF726" i="12"/>
  <c r="A727" i="12"/>
  <c r="O727" i="12"/>
  <c r="U727" i="12" s="1"/>
  <c r="AI727" i="12" s="1"/>
  <c r="S727" i="12"/>
  <c r="Y727" i="12"/>
  <c r="AA727" i="12"/>
  <c r="AF727" i="12"/>
  <c r="A728" i="12"/>
  <c r="O728" i="12"/>
  <c r="U728" i="12" s="1"/>
  <c r="AI728" i="12" s="1"/>
  <c r="S728" i="12"/>
  <c r="Y728" i="12"/>
  <c r="AA728" i="12"/>
  <c r="AF728" i="12"/>
  <c r="A729" i="12"/>
  <c r="O729" i="12"/>
  <c r="S729" i="12"/>
  <c r="Y729" i="12"/>
  <c r="AA729" i="12"/>
  <c r="AF729" i="12"/>
  <c r="A730" i="12"/>
  <c r="O730" i="12"/>
  <c r="S730" i="12"/>
  <c r="Y730" i="12"/>
  <c r="AA730" i="12"/>
  <c r="AF730" i="12"/>
  <c r="A731" i="12"/>
  <c r="O731" i="12"/>
  <c r="S731" i="12"/>
  <c r="Y731" i="12"/>
  <c r="AA731" i="12"/>
  <c r="AF731" i="12"/>
  <c r="A732" i="12"/>
  <c r="O732" i="12"/>
  <c r="U732" i="12" s="1"/>
  <c r="AI732" i="12" s="1"/>
  <c r="S732" i="12"/>
  <c r="Y732" i="12"/>
  <c r="Z732" i="12"/>
  <c r="AJ732" i="12" s="1"/>
  <c r="AA732" i="12"/>
  <c r="AF732" i="12"/>
  <c r="A733" i="12"/>
  <c r="O733" i="12"/>
  <c r="U733" i="12" s="1"/>
  <c r="AI733" i="12" s="1"/>
  <c r="S733" i="12"/>
  <c r="Y733" i="12"/>
  <c r="AA733" i="12"/>
  <c r="AF733" i="12"/>
  <c r="A734" i="12"/>
  <c r="O734" i="12"/>
  <c r="U734" i="12" s="1"/>
  <c r="AI734" i="12" s="1"/>
  <c r="S734" i="12"/>
  <c r="Y734" i="12"/>
  <c r="AA734" i="12"/>
  <c r="AF734" i="12"/>
  <c r="A735" i="12"/>
  <c r="O735" i="12"/>
  <c r="U735" i="12" s="1"/>
  <c r="AI735" i="12" s="1"/>
  <c r="S735" i="12"/>
  <c r="Y735" i="12"/>
  <c r="AA735" i="12"/>
  <c r="AF735" i="12"/>
  <c r="A736" i="12"/>
  <c r="O736" i="12"/>
  <c r="U736" i="12" s="1"/>
  <c r="AI736" i="12" s="1"/>
  <c r="S736" i="12"/>
  <c r="Y736" i="12"/>
  <c r="Z736" i="12"/>
  <c r="AJ736" i="12" s="1"/>
  <c r="AA736" i="12"/>
  <c r="AF736" i="12"/>
  <c r="A737" i="12"/>
  <c r="O737" i="12"/>
  <c r="S737" i="12"/>
  <c r="Y737" i="12"/>
  <c r="AA737" i="12"/>
  <c r="AF737" i="12"/>
  <c r="A738" i="12"/>
  <c r="O738" i="12"/>
  <c r="S738" i="12"/>
  <c r="Y738" i="12"/>
  <c r="AA738" i="12"/>
  <c r="AF738" i="12"/>
  <c r="A739" i="12"/>
  <c r="O739" i="12"/>
  <c r="S739" i="12"/>
  <c r="Y739" i="12"/>
  <c r="AA739" i="12"/>
  <c r="AF739" i="12"/>
  <c r="A740" i="12"/>
  <c r="O740" i="12"/>
  <c r="U740" i="12" s="1"/>
  <c r="AI740" i="12" s="1"/>
  <c r="S740" i="12"/>
  <c r="Y740" i="12"/>
  <c r="AA740" i="12"/>
  <c r="AF740" i="12"/>
  <c r="A741" i="12"/>
  <c r="O741" i="12"/>
  <c r="U741" i="12" s="1"/>
  <c r="AI741" i="12" s="1"/>
  <c r="S741" i="12"/>
  <c r="Y741" i="12"/>
  <c r="Z741" i="12"/>
  <c r="AJ741" i="12" s="1"/>
  <c r="AA741" i="12"/>
  <c r="AF741" i="12"/>
  <c r="A742" i="12"/>
  <c r="O742" i="12"/>
  <c r="U742" i="12" s="1"/>
  <c r="AI742" i="12" s="1"/>
  <c r="S742" i="12"/>
  <c r="Y742" i="12"/>
  <c r="AA742" i="12"/>
  <c r="AF742" i="12"/>
  <c r="A743" i="12"/>
  <c r="O743" i="12"/>
  <c r="S743" i="12"/>
  <c r="Y743" i="12"/>
  <c r="AA743" i="12"/>
  <c r="AF743" i="12"/>
  <c r="A744" i="12"/>
  <c r="O744" i="12"/>
  <c r="U744" i="12" s="1"/>
  <c r="AI744" i="12" s="1"/>
  <c r="S744" i="12"/>
  <c r="Y744" i="12"/>
  <c r="Z744" i="12"/>
  <c r="AJ744" i="12" s="1"/>
  <c r="AA744" i="12"/>
  <c r="AF744" i="12"/>
  <c r="A745" i="12"/>
  <c r="O745" i="12"/>
  <c r="S745" i="12"/>
  <c r="Y745" i="12"/>
  <c r="AA745" i="12"/>
  <c r="AF745" i="12"/>
  <c r="A746" i="12"/>
  <c r="O746" i="12"/>
  <c r="S746" i="12"/>
  <c r="Y746" i="12"/>
  <c r="AA746" i="12"/>
  <c r="AF746" i="12"/>
  <c r="A747" i="12"/>
  <c r="O747" i="12"/>
  <c r="S747" i="12"/>
  <c r="Y747" i="12"/>
  <c r="AA747" i="12"/>
  <c r="AF747" i="12"/>
  <c r="A748" i="12"/>
  <c r="O748" i="12"/>
  <c r="S748" i="12"/>
  <c r="Y748" i="12"/>
  <c r="AA748" i="12"/>
  <c r="AF748" i="12"/>
  <c r="A749" i="12"/>
  <c r="O749" i="12"/>
  <c r="U749" i="12" s="1"/>
  <c r="AI749" i="12" s="1"/>
  <c r="S749" i="12"/>
  <c r="Y749" i="12"/>
  <c r="AA749" i="12"/>
  <c r="AF749" i="12"/>
  <c r="A750" i="12"/>
  <c r="O750" i="12"/>
  <c r="U750" i="12" s="1"/>
  <c r="AI750" i="12" s="1"/>
  <c r="S750" i="12"/>
  <c r="Y750" i="12"/>
  <c r="AA750" i="12"/>
  <c r="AF750" i="12"/>
  <c r="A751" i="12"/>
  <c r="O751" i="12"/>
  <c r="U751" i="12" s="1"/>
  <c r="AI751" i="12" s="1"/>
  <c r="S751" i="12"/>
  <c r="Y751" i="12"/>
  <c r="AA751" i="12"/>
  <c r="AF751" i="12"/>
  <c r="A752" i="12"/>
  <c r="O752" i="12"/>
  <c r="U752" i="12" s="1"/>
  <c r="AI752" i="12" s="1"/>
  <c r="S752" i="12"/>
  <c r="Y752" i="12"/>
  <c r="Z752" i="12"/>
  <c r="AJ752" i="12" s="1"/>
  <c r="AA752" i="12"/>
  <c r="AF752" i="12"/>
  <c r="A753" i="12"/>
  <c r="O753" i="12"/>
  <c r="S753" i="12"/>
  <c r="Y753" i="12"/>
  <c r="AA753" i="12"/>
  <c r="AF753" i="12"/>
  <c r="A754" i="12"/>
  <c r="O754" i="12"/>
  <c r="S754" i="12"/>
  <c r="Y754" i="12"/>
  <c r="AA754" i="12"/>
  <c r="AF754" i="12"/>
  <c r="A755" i="12"/>
  <c r="O755" i="12"/>
  <c r="S755" i="12"/>
  <c r="Y755" i="12"/>
  <c r="AA755" i="12"/>
  <c r="AF755" i="12"/>
  <c r="A756" i="12"/>
  <c r="O756" i="12"/>
  <c r="U756" i="12" s="1"/>
  <c r="AI756" i="12" s="1"/>
  <c r="S756" i="12"/>
  <c r="Y756" i="12"/>
  <c r="AA756" i="12"/>
  <c r="AF756" i="12"/>
  <c r="A757" i="12"/>
  <c r="O757" i="12"/>
  <c r="U757" i="12" s="1"/>
  <c r="AI757" i="12" s="1"/>
  <c r="S757" i="12"/>
  <c r="Y757" i="12"/>
  <c r="AA757" i="12"/>
  <c r="AF757" i="12"/>
  <c r="A758" i="12"/>
  <c r="O758" i="12"/>
  <c r="U758" i="12" s="1"/>
  <c r="AI758" i="12" s="1"/>
  <c r="S758" i="12"/>
  <c r="Y758" i="12"/>
  <c r="AA758" i="12"/>
  <c r="AF758" i="12"/>
  <c r="A759" i="12"/>
  <c r="O759" i="12"/>
  <c r="S759" i="12"/>
  <c r="Y759" i="12"/>
  <c r="AA759" i="12"/>
  <c r="AF759" i="12"/>
  <c r="A760" i="12"/>
  <c r="O760" i="12"/>
  <c r="U760" i="12" s="1"/>
  <c r="AI760" i="12" s="1"/>
  <c r="S760" i="12"/>
  <c r="Y760" i="12"/>
  <c r="AA760" i="12"/>
  <c r="AF760" i="12"/>
  <c r="A761" i="12"/>
  <c r="O761" i="12"/>
  <c r="S761" i="12"/>
  <c r="Y761" i="12"/>
  <c r="AA761" i="12"/>
  <c r="AF761" i="12"/>
  <c r="A762" i="12"/>
  <c r="O762" i="12"/>
  <c r="S762" i="12"/>
  <c r="Y762" i="12"/>
  <c r="AA762" i="12"/>
  <c r="AF762" i="12"/>
  <c r="A763" i="12"/>
  <c r="O763" i="12"/>
  <c r="S763" i="12"/>
  <c r="Y763" i="12"/>
  <c r="AA763" i="12"/>
  <c r="AF763" i="12"/>
  <c r="A764" i="12"/>
  <c r="O764" i="12"/>
  <c r="S764" i="12"/>
  <c r="Y764" i="12"/>
  <c r="AA764" i="12"/>
  <c r="AF764" i="12"/>
  <c r="A765" i="12"/>
  <c r="O765" i="12"/>
  <c r="U765" i="12" s="1"/>
  <c r="AI765" i="12" s="1"/>
  <c r="S765" i="12"/>
  <c r="Y765" i="12"/>
  <c r="AA765" i="12"/>
  <c r="AF765" i="12"/>
  <c r="A766" i="12"/>
  <c r="O766" i="12"/>
  <c r="U766" i="12" s="1"/>
  <c r="AI766" i="12" s="1"/>
  <c r="S766" i="12"/>
  <c r="Y766" i="12"/>
  <c r="Z766" i="12"/>
  <c r="AA766" i="12"/>
  <c r="AF766" i="12"/>
  <c r="A767" i="12"/>
  <c r="O767" i="12"/>
  <c r="U767" i="12" s="1"/>
  <c r="AI767" i="12" s="1"/>
  <c r="S767" i="12"/>
  <c r="Y767" i="12"/>
  <c r="AA767" i="12"/>
  <c r="AF767" i="12"/>
  <c r="A768" i="12"/>
  <c r="O768" i="12"/>
  <c r="U768" i="12" s="1"/>
  <c r="AI768" i="12" s="1"/>
  <c r="S768" i="12"/>
  <c r="Y768" i="12"/>
  <c r="Z768" i="12"/>
  <c r="AA768" i="12"/>
  <c r="AF768" i="12"/>
  <c r="A769" i="12"/>
  <c r="O769" i="12"/>
  <c r="S769" i="12"/>
  <c r="Y769" i="12"/>
  <c r="AA769" i="12"/>
  <c r="AF769" i="12"/>
  <c r="A770" i="12"/>
  <c r="O770" i="12"/>
  <c r="S770" i="12"/>
  <c r="Y770" i="12"/>
  <c r="AA770" i="12"/>
  <c r="AF770" i="12"/>
  <c r="A771" i="12"/>
  <c r="O771" i="12"/>
  <c r="S771" i="12"/>
  <c r="Y771" i="12"/>
  <c r="AA771" i="12"/>
  <c r="AF771" i="12"/>
  <c r="A772" i="12"/>
  <c r="O772" i="12"/>
  <c r="U772" i="12" s="1"/>
  <c r="AI772" i="12" s="1"/>
  <c r="S772" i="12"/>
  <c r="Y772" i="12"/>
  <c r="AA772" i="12"/>
  <c r="AF772" i="12"/>
  <c r="A773" i="12"/>
  <c r="O773" i="12"/>
  <c r="U773" i="12" s="1"/>
  <c r="AI773" i="12" s="1"/>
  <c r="S773" i="12"/>
  <c r="Y773" i="12"/>
  <c r="Z773" i="12"/>
  <c r="AA773" i="12"/>
  <c r="AF773" i="12"/>
  <c r="A774" i="12"/>
  <c r="O774" i="12"/>
  <c r="U774" i="12" s="1"/>
  <c r="AI774" i="12" s="1"/>
  <c r="S774" i="12"/>
  <c r="Y774" i="12"/>
  <c r="AA774" i="12"/>
  <c r="AF774" i="12"/>
  <c r="A775" i="12"/>
  <c r="O775" i="12"/>
  <c r="U775" i="12" s="1"/>
  <c r="AI775" i="12" s="1"/>
  <c r="S775" i="12"/>
  <c r="Y775" i="12"/>
  <c r="Z775" i="12"/>
  <c r="AA775" i="12"/>
  <c r="AF775" i="12"/>
  <c r="A776" i="12"/>
  <c r="O776" i="12"/>
  <c r="U776" i="12" s="1"/>
  <c r="AI776" i="12" s="1"/>
  <c r="S776" i="12"/>
  <c r="Y776" i="12"/>
  <c r="AA776" i="12"/>
  <c r="AF776" i="12"/>
  <c r="A777" i="12"/>
  <c r="O777" i="12"/>
  <c r="S777" i="12"/>
  <c r="Y777" i="12"/>
  <c r="AA777" i="12"/>
  <c r="AF777" i="12"/>
  <c r="A778" i="12"/>
  <c r="O778" i="12"/>
  <c r="S778" i="12"/>
  <c r="Y778" i="12"/>
  <c r="AA778" i="12"/>
  <c r="AF778" i="12"/>
  <c r="A779" i="12"/>
  <c r="O779" i="12"/>
  <c r="S779" i="12"/>
  <c r="Y779" i="12"/>
  <c r="AA779" i="12"/>
  <c r="AF779" i="12"/>
  <c r="A780" i="12"/>
  <c r="O780" i="12"/>
  <c r="U780" i="12" s="1"/>
  <c r="AI780" i="12" s="1"/>
  <c r="S780" i="12"/>
  <c r="Y780" i="12"/>
  <c r="AA780" i="12"/>
  <c r="AF780" i="12"/>
  <c r="A781" i="12"/>
  <c r="O781" i="12"/>
  <c r="S781" i="12"/>
  <c r="Y781" i="12"/>
  <c r="AA781" i="12"/>
  <c r="AF781" i="12"/>
  <c r="A782" i="12"/>
  <c r="O782" i="12"/>
  <c r="U782" i="12" s="1"/>
  <c r="AI782" i="12" s="1"/>
  <c r="S782" i="12"/>
  <c r="Y782" i="12"/>
  <c r="AA782" i="12"/>
  <c r="AF782" i="12"/>
  <c r="A783" i="12"/>
  <c r="O783" i="12"/>
  <c r="U783" i="12" s="1"/>
  <c r="AI783" i="12" s="1"/>
  <c r="S783" i="12"/>
  <c r="Y783" i="12"/>
  <c r="Z783" i="12"/>
  <c r="AA783" i="12"/>
  <c r="AF783" i="12"/>
  <c r="A784" i="12"/>
  <c r="O784" i="12"/>
  <c r="U784" i="12" s="1"/>
  <c r="AI784" i="12" s="1"/>
  <c r="S784" i="12"/>
  <c r="Y784" i="12"/>
  <c r="AA784" i="12"/>
  <c r="AF784" i="12"/>
  <c r="A785" i="12"/>
  <c r="O785" i="12"/>
  <c r="S785" i="12"/>
  <c r="Y785" i="12"/>
  <c r="AA785" i="12"/>
  <c r="AF785" i="12"/>
  <c r="A786" i="12"/>
  <c r="O786" i="12"/>
  <c r="S786" i="12"/>
  <c r="Y786" i="12"/>
  <c r="AA786" i="12"/>
  <c r="AF786" i="12"/>
  <c r="A787" i="12"/>
  <c r="O787" i="12"/>
  <c r="S787" i="12"/>
  <c r="Y787" i="12"/>
  <c r="AA787" i="12"/>
  <c r="AF787" i="12"/>
  <c r="A788" i="12"/>
  <c r="O788" i="12"/>
  <c r="U788" i="12" s="1"/>
  <c r="AI788" i="12" s="1"/>
  <c r="S788" i="12"/>
  <c r="Y788" i="12"/>
  <c r="Z788" i="12"/>
  <c r="AA788" i="12"/>
  <c r="AF788" i="12"/>
  <c r="A789" i="12"/>
  <c r="O789" i="12"/>
  <c r="S789" i="12"/>
  <c r="Y789" i="12"/>
  <c r="AA789" i="12"/>
  <c r="AF789" i="12"/>
  <c r="A790" i="12"/>
  <c r="O790" i="12"/>
  <c r="U790" i="12" s="1"/>
  <c r="AI790" i="12" s="1"/>
  <c r="S790" i="12"/>
  <c r="Y790" i="12"/>
  <c r="AA790" i="12"/>
  <c r="AF790" i="12"/>
  <c r="A791" i="12"/>
  <c r="O791" i="12"/>
  <c r="U791" i="12" s="1"/>
  <c r="AI791" i="12" s="1"/>
  <c r="S791" i="12"/>
  <c r="Y791" i="12"/>
  <c r="Z791" i="12"/>
  <c r="AA791" i="12"/>
  <c r="AF791" i="12"/>
  <c r="A792" i="12"/>
  <c r="O792" i="12"/>
  <c r="U792" i="12" s="1"/>
  <c r="AI792" i="12" s="1"/>
  <c r="S792" i="12"/>
  <c r="Y792" i="12"/>
  <c r="AA792" i="12"/>
  <c r="AF792" i="12"/>
  <c r="A793" i="12"/>
  <c r="O793" i="12"/>
  <c r="S793" i="12"/>
  <c r="Y793" i="12"/>
  <c r="AA793" i="12"/>
  <c r="AF793" i="12"/>
  <c r="A794" i="12"/>
  <c r="O794" i="12"/>
  <c r="S794" i="12"/>
  <c r="Y794" i="12"/>
  <c r="AA794" i="12"/>
  <c r="AF794" i="12"/>
  <c r="A795" i="12"/>
  <c r="O795" i="12"/>
  <c r="S795" i="12"/>
  <c r="Y795" i="12"/>
  <c r="AA795" i="12"/>
  <c r="AF795" i="12"/>
  <c r="A796" i="12"/>
  <c r="O796" i="12"/>
  <c r="U796" i="12" s="1"/>
  <c r="AI796" i="12" s="1"/>
  <c r="S796" i="12"/>
  <c r="Y796" i="12"/>
  <c r="AA796" i="12"/>
  <c r="AF796" i="12"/>
  <c r="A797" i="12"/>
  <c r="O797" i="12"/>
  <c r="U797" i="12" s="1"/>
  <c r="AI797" i="12" s="1"/>
  <c r="S797" i="12"/>
  <c r="Y797" i="12"/>
  <c r="AA797" i="12"/>
  <c r="AF797" i="12"/>
  <c r="A798" i="12"/>
  <c r="O798" i="12"/>
  <c r="S798" i="12"/>
  <c r="Y798" i="12"/>
  <c r="AA798" i="12"/>
  <c r="AF798" i="12"/>
  <c r="A799" i="12"/>
  <c r="O799" i="12"/>
  <c r="U799" i="12" s="1"/>
  <c r="AI799" i="12" s="1"/>
  <c r="S799" i="12"/>
  <c r="Y799" i="12"/>
  <c r="Z799" i="12"/>
  <c r="AA799" i="12"/>
  <c r="AF799" i="12"/>
  <c r="A800" i="12"/>
  <c r="O800" i="12"/>
  <c r="U800" i="12" s="1"/>
  <c r="AI800" i="12" s="1"/>
  <c r="S800" i="12"/>
  <c r="Y800" i="12"/>
  <c r="AA800" i="12"/>
  <c r="AF800" i="12"/>
  <c r="A801" i="12"/>
  <c r="O801" i="12"/>
  <c r="S801" i="12"/>
  <c r="Y801" i="12"/>
  <c r="AA801" i="12"/>
  <c r="AF801" i="12"/>
  <c r="A802" i="12"/>
  <c r="O802" i="12"/>
  <c r="S802" i="12"/>
  <c r="Y802" i="12"/>
  <c r="AA802" i="12"/>
  <c r="AF802" i="12"/>
  <c r="A803" i="12"/>
  <c r="O803" i="12"/>
  <c r="S803" i="12"/>
  <c r="Y803" i="12"/>
  <c r="AA803" i="12"/>
  <c r="AF803" i="12"/>
  <c r="A804" i="12"/>
  <c r="O804" i="12"/>
  <c r="U804" i="12" s="1"/>
  <c r="AI804" i="12" s="1"/>
  <c r="S804" i="12"/>
  <c r="Y804" i="12"/>
  <c r="Z804" i="12"/>
  <c r="AA804" i="12"/>
  <c r="AF804" i="12"/>
  <c r="A805" i="12"/>
  <c r="O805" i="12"/>
  <c r="U805" i="12" s="1"/>
  <c r="AI805" i="12" s="1"/>
  <c r="S805" i="12"/>
  <c r="Y805" i="12"/>
  <c r="AA805" i="12"/>
  <c r="AF805" i="12"/>
  <c r="A806" i="12"/>
  <c r="O806" i="12"/>
  <c r="U806" i="12" s="1"/>
  <c r="AI806" i="12" s="1"/>
  <c r="S806" i="12"/>
  <c r="Y806" i="12"/>
  <c r="Z806" i="12"/>
  <c r="AA806" i="12"/>
  <c r="AF806" i="12"/>
  <c r="A807" i="12"/>
  <c r="O807" i="12"/>
  <c r="U807" i="12" s="1"/>
  <c r="AI807" i="12" s="1"/>
  <c r="S807" i="12"/>
  <c r="Y807" i="12"/>
  <c r="AA807" i="12"/>
  <c r="AF807" i="12"/>
  <c r="A808" i="12"/>
  <c r="O808" i="12"/>
  <c r="U808" i="12" s="1"/>
  <c r="AI808" i="12" s="1"/>
  <c r="S808" i="12"/>
  <c r="Y808" i="12"/>
  <c r="Z808" i="12"/>
  <c r="AA808" i="12"/>
  <c r="AF808" i="12"/>
  <c r="A809" i="12"/>
  <c r="O809" i="12"/>
  <c r="S809" i="12"/>
  <c r="Y809" i="12"/>
  <c r="AA809" i="12"/>
  <c r="AF809" i="12"/>
  <c r="A810" i="12"/>
  <c r="O810" i="12"/>
  <c r="S810" i="12"/>
  <c r="Y810" i="12"/>
  <c r="AA810" i="12"/>
  <c r="AF810" i="12"/>
  <c r="A811" i="12"/>
  <c r="O811" i="12"/>
  <c r="S811" i="12"/>
  <c r="Y811" i="12"/>
  <c r="AA811" i="12"/>
  <c r="AF811" i="12"/>
  <c r="A812" i="12"/>
  <c r="O812" i="12"/>
  <c r="S812" i="12"/>
  <c r="Y812" i="12"/>
  <c r="AA812" i="12"/>
  <c r="AF812" i="12"/>
  <c r="A813" i="12"/>
  <c r="O813" i="12"/>
  <c r="U813" i="12" s="1"/>
  <c r="AI813" i="12" s="1"/>
  <c r="S813" i="12"/>
  <c r="Y813" i="12"/>
  <c r="AA813" i="12"/>
  <c r="AF813" i="12"/>
  <c r="A814" i="12"/>
  <c r="O814" i="12"/>
  <c r="U814" i="12" s="1"/>
  <c r="AI814" i="12" s="1"/>
  <c r="S814" i="12"/>
  <c r="Y814" i="12"/>
  <c r="AA814" i="12"/>
  <c r="AF814" i="12"/>
  <c r="A815" i="12"/>
  <c r="O815" i="12"/>
  <c r="S815" i="12"/>
  <c r="Y815" i="12"/>
  <c r="AA815" i="12"/>
  <c r="AF815" i="12"/>
  <c r="A816" i="12"/>
  <c r="O816" i="12"/>
  <c r="U816" i="12" s="1"/>
  <c r="AI816" i="12" s="1"/>
  <c r="S816" i="12"/>
  <c r="Y816" i="12"/>
  <c r="AA816" i="12"/>
  <c r="AF816" i="12"/>
  <c r="A817" i="12"/>
  <c r="O817" i="12"/>
  <c r="S817" i="12"/>
  <c r="Y817" i="12"/>
  <c r="AA817" i="12"/>
  <c r="AF817" i="12"/>
  <c r="A818" i="12"/>
  <c r="O818" i="12"/>
  <c r="S818" i="12"/>
  <c r="Y818" i="12"/>
  <c r="AA818" i="12"/>
  <c r="AF818" i="12"/>
  <c r="A819" i="12"/>
  <c r="O819" i="12"/>
  <c r="S819" i="12"/>
  <c r="Y819" i="12"/>
  <c r="AA819" i="12"/>
  <c r="AF819" i="12"/>
  <c r="A820" i="12"/>
  <c r="O820" i="12"/>
  <c r="S820" i="12"/>
  <c r="Y820" i="12"/>
  <c r="AA820" i="12"/>
  <c r="AF820" i="12"/>
  <c r="A821" i="12"/>
  <c r="O821" i="12"/>
  <c r="U821" i="12" s="1"/>
  <c r="AI821" i="12" s="1"/>
  <c r="S821" i="12"/>
  <c r="Y821" i="12"/>
  <c r="AA821" i="12"/>
  <c r="AF821" i="12"/>
  <c r="A822" i="12"/>
  <c r="O822" i="12"/>
  <c r="U822" i="12" s="1"/>
  <c r="AI822" i="12" s="1"/>
  <c r="S822" i="12"/>
  <c r="Y822" i="12"/>
  <c r="Z822" i="12"/>
  <c r="AA822" i="12"/>
  <c r="AF822" i="12"/>
  <c r="A823" i="12"/>
  <c r="O823" i="12"/>
  <c r="U823" i="12" s="1"/>
  <c r="AI823" i="12" s="1"/>
  <c r="S823" i="12"/>
  <c r="Y823" i="12"/>
  <c r="AA823" i="12"/>
  <c r="AF823" i="12"/>
  <c r="A824" i="12"/>
  <c r="O824" i="12"/>
  <c r="U824" i="12" s="1"/>
  <c r="AI824" i="12" s="1"/>
  <c r="S824" i="12"/>
  <c r="Y824" i="12"/>
  <c r="AA824" i="12"/>
  <c r="AF824" i="12"/>
  <c r="A825" i="12"/>
  <c r="O825" i="12"/>
  <c r="S825" i="12"/>
  <c r="Y825" i="12"/>
  <c r="AA825" i="12"/>
  <c r="AF825" i="12"/>
  <c r="A826" i="12"/>
  <c r="O826" i="12"/>
  <c r="S826" i="12"/>
  <c r="Y826" i="12"/>
  <c r="AA826" i="12"/>
  <c r="AF826" i="12"/>
  <c r="A827" i="12"/>
  <c r="O827" i="12"/>
  <c r="Z827" i="12" s="1"/>
  <c r="S827" i="12"/>
  <c r="Y827" i="12"/>
  <c r="AA827" i="12"/>
  <c r="AF827" i="12"/>
  <c r="A828" i="12"/>
  <c r="O828" i="12"/>
  <c r="S828" i="12"/>
  <c r="Y828" i="12"/>
  <c r="AA828" i="12"/>
  <c r="AF828" i="12"/>
  <c r="A829" i="12"/>
  <c r="O829" i="12"/>
  <c r="Z829" i="12" s="1"/>
  <c r="S829" i="12"/>
  <c r="U829" i="12"/>
  <c r="AI829" i="12" s="1"/>
  <c r="Y829" i="12"/>
  <c r="AA829" i="12"/>
  <c r="AF829" i="12"/>
  <c r="A830" i="12"/>
  <c r="O830" i="12"/>
  <c r="Z830" i="12" s="1"/>
  <c r="S830" i="12"/>
  <c r="Y830" i="12"/>
  <c r="AA830" i="12"/>
  <c r="AF830" i="12"/>
  <c r="A831" i="12"/>
  <c r="O831" i="12"/>
  <c r="S831" i="12"/>
  <c r="Y831" i="12"/>
  <c r="AA831" i="12"/>
  <c r="AF831" i="12"/>
  <c r="A832" i="12"/>
  <c r="O832" i="12"/>
  <c r="Z832" i="12" s="1"/>
  <c r="S832" i="12"/>
  <c r="U832" i="12"/>
  <c r="AI832" i="12" s="1"/>
  <c r="Y832" i="12"/>
  <c r="AA832" i="12"/>
  <c r="AF832" i="12"/>
  <c r="A833" i="12"/>
  <c r="O833" i="12"/>
  <c r="Z833" i="12" s="1"/>
  <c r="S833" i="12"/>
  <c r="Y833" i="12"/>
  <c r="AA833" i="12"/>
  <c r="AF833" i="12"/>
  <c r="A834" i="12"/>
  <c r="O834" i="12"/>
  <c r="S834" i="12"/>
  <c r="Y834" i="12"/>
  <c r="AA834" i="12"/>
  <c r="AF834" i="12"/>
  <c r="A835" i="12"/>
  <c r="O835" i="12"/>
  <c r="Z835" i="12" s="1"/>
  <c r="S835" i="12"/>
  <c r="Y835" i="12"/>
  <c r="AA835" i="12"/>
  <c r="AF835" i="12"/>
  <c r="A836" i="12"/>
  <c r="O836" i="12"/>
  <c r="Z836" i="12" s="1"/>
  <c r="S836" i="12"/>
  <c r="Y836" i="12"/>
  <c r="AA836" i="12"/>
  <c r="AF836" i="12"/>
  <c r="A837" i="12"/>
  <c r="O837" i="12"/>
  <c r="Z837" i="12" s="1"/>
  <c r="S837" i="12"/>
  <c r="U837" i="12"/>
  <c r="AI837" i="12" s="1"/>
  <c r="Y837" i="12"/>
  <c r="AA837" i="12"/>
  <c r="AF837" i="12"/>
  <c r="A838" i="12"/>
  <c r="O838" i="12"/>
  <c r="Z838" i="12" s="1"/>
  <c r="S838" i="12"/>
  <c r="Y838" i="12"/>
  <c r="AA838" i="12"/>
  <c r="AF838" i="12"/>
  <c r="A839" i="12"/>
  <c r="O839" i="12"/>
  <c r="S839" i="12"/>
  <c r="Y839" i="12"/>
  <c r="AA839" i="12"/>
  <c r="AF839" i="12"/>
  <c r="A840" i="12"/>
  <c r="O840" i="12"/>
  <c r="Z840" i="12" s="1"/>
  <c r="S840" i="12"/>
  <c r="Y840" i="12"/>
  <c r="AA840" i="12"/>
  <c r="AF840" i="12"/>
  <c r="A841" i="12"/>
  <c r="O841" i="12"/>
  <c r="S841" i="12"/>
  <c r="Y841" i="12"/>
  <c r="AA841" i="12"/>
  <c r="AF841" i="12"/>
  <c r="A842" i="12"/>
  <c r="O842" i="12"/>
  <c r="S842" i="12"/>
  <c r="Y842" i="12"/>
  <c r="AA842" i="12"/>
  <c r="AF842" i="12"/>
  <c r="A843" i="12"/>
  <c r="O843" i="12"/>
  <c r="Z843" i="12" s="1"/>
  <c r="S843" i="12"/>
  <c r="Y843" i="12"/>
  <c r="AA843" i="12"/>
  <c r="AF843" i="12"/>
  <c r="A844" i="12"/>
  <c r="O844" i="12"/>
  <c r="S844" i="12"/>
  <c r="Y844" i="12"/>
  <c r="AA844" i="12"/>
  <c r="AF844" i="12"/>
  <c r="A845" i="12"/>
  <c r="O845" i="12"/>
  <c r="Z845" i="12" s="1"/>
  <c r="S845" i="12"/>
  <c r="U845" i="12"/>
  <c r="AI845" i="12" s="1"/>
  <c r="Y845" i="12"/>
  <c r="AA845" i="12"/>
  <c r="AF845" i="12"/>
  <c r="A846" i="12"/>
  <c r="O846" i="12"/>
  <c r="Z846" i="12" s="1"/>
  <c r="S846" i="12"/>
  <c r="Y846" i="12"/>
  <c r="AA846" i="12"/>
  <c r="AF846" i="12"/>
  <c r="A847" i="12"/>
  <c r="O847" i="12"/>
  <c r="S847" i="12"/>
  <c r="Y847" i="12"/>
  <c r="AA847" i="12"/>
  <c r="AF847" i="12"/>
  <c r="A848" i="12"/>
  <c r="O848" i="12"/>
  <c r="Z848" i="12" s="1"/>
  <c r="S848" i="12"/>
  <c r="U848" i="12"/>
  <c r="AI848" i="12" s="1"/>
  <c r="Y848" i="12"/>
  <c r="AA848" i="12"/>
  <c r="AF848" i="12"/>
  <c r="A849" i="12"/>
  <c r="O849" i="12"/>
  <c r="Z849" i="12" s="1"/>
  <c r="S849" i="12"/>
  <c r="Y849" i="12"/>
  <c r="AA849" i="12"/>
  <c r="AF849" i="12"/>
  <c r="A850" i="12"/>
  <c r="O850" i="12"/>
  <c r="S850" i="12"/>
  <c r="Y850" i="12"/>
  <c r="AA850" i="12"/>
  <c r="AF850" i="12"/>
  <c r="A851" i="12"/>
  <c r="O851" i="12"/>
  <c r="Z851" i="12" s="1"/>
  <c r="S851" i="12"/>
  <c r="Y851" i="12"/>
  <c r="AA851" i="12"/>
  <c r="AF851" i="12"/>
  <c r="A852" i="12"/>
  <c r="O852" i="12"/>
  <c r="Z852" i="12" s="1"/>
  <c r="S852" i="12"/>
  <c r="U852" i="12"/>
  <c r="AI852" i="12" s="1"/>
  <c r="Y852" i="12"/>
  <c r="AA852" i="12"/>
  <c r="AF852" i="12"/>
  <c r="A853" i="12"/>
  <c r="O853" i="12"/>
  <c r="Z853" i="12" s="1"/>
  <c r="S853" i="12"/>
  <c r="Y853" i="12"/>
  <c r="AA853" i="12"/>
  <c r="AF853" i="12"/>
  <c r="A854" i="12"/>
  <c r="O854" i="12"/>
  <c r="Z854" i="12" s="1"/>
  <c r="S854" i="12"/>
  <c r="Y854" i="12"/>
  <c r="AA854" i="12"/>
  <c r="AF854" i="12"/>
  <c r="A855" i="12"/>
  <c r="O855" i="12"/>
  <c r="S855" i="12"/>
  <c r="Y855" i="12"/>
  <c r="AA855" i="12"/>
  <c r="AF855" i="12"/>
  <c r="A856" i="12"/>
  <c r="O856" i="12"/>
  <c r="Z856" i="12" s="1"/>
  <c r="S856" i="12"/>
  <c r="Y856" i="12"/>
  <c r="AA856" i="12"/>
  <c r="AF856" i="12"/>
  <c r="A857" i="12"/>
  <c r="O857" i="12"/>
  <c r="S857" i="12"/>
  <c r="Y857" i="12"/>
  <c r="AA857" i="12"/>
  <c r="AF857" i="12"/>
  <c r="A858" i="12"/>
  <c r="O858" i="12"/>
  <c r="S858" i="12"/>
  <c r="Y858" i="12"/>
  <c r="AA858" i="12"/>
  <c r="AF858" i="12"/>
  <c r="A859" i="12"/>
  <c r="O859" i="12"/>
  <c r="Z859" i="12" s="1"/>
  <c r="S859" i="12"/>
  <c r="Y859" i="12"/>
  <c r="AA859" i="12"/>
  <c r="AF859" i="12"/>
  <c r="A860" i="12"/>
  <c r="O860" i="12"/>
  <c r="S860" i="12"/>
  <c r="Y860" i="12"/>
  <c r="AA860" i="12"/>
  <c r="AF860" i="12"/>
  <c r="A861" i="12"/>
  <c r="O861" i="12"/>
  <c r="Z861" i="12" s="1"/>
  <c r="S861" i="12"/>
  <c r="Y861" i="12"/>
  <c r="AA861" i="12"/>
  <c r="AF861" i="12"/>
  <c r="A862" i="12"/>
  <c r="O862" i="12"/>
  <c r="Z862" i="12" s="1"/>
  <c r="S862" i="12"/>
  <c r="Y862" i="12"/>
  <c r="AA862" i="12"/>
  <c r="AF862" i="12"/>
  <c r="A863" i="12"/>
  <c r="O863" i="12"/>
  <c r="S863" i="12"/>
  <c r="Y863" i="12"/>
  <c r="AA863" i="12"/>
  <c r="AF863" i="12"/>
  <c r="A864" i="12"/>
  <c r="O864" i="12"/>
  <c r="Z864" i="12" s="1"/>
  <c r="S864" i="12"/>
  <c r="Y864" i="12"/>
  <c r="AA864" i="12"/>
  <c r="AF864" i="12"/>
  <c r="A865" i="12"/>
  <c r="O865" i="12"/>
  <c r="Z865" i="12" s="1"/>
  <c r="S865" i="12"/>
  <c r="Y865" i="12"/>
  <c r="AA865" i="12"/>
  <c r="AF865" i="12"/>
  <c r="A866" i="12"/>
  <c r="O866" i="12"/>
  <c r="S866" i="12"/>
  <c r="Y866" i="12"/>
  <c r="AA866" i="12"/>
  <c r="AF866" i="12"/>
  <c r="A867" i="12"/>
  <c r="O867" i="12"/>
  <c r="Z867" i="12" s="1"/>
  <c r="S867" i="12"/>
  <c r="Y867" i="12"/>
  <c r="AA867" i="12"/>
  <c r="AF867" i="12"/>
  <c r="A868" i="12"/>
  <c r="O868" i="12"/>
  <c r="Z868" i="12" s="1"/>
  <c r="S868" i="12"/>
  <c r="Y868" i="12"/>
  <c r="AA868" i="12"/>
  <c r="AF868" i="12"/>
  <c r="A869" i="12"/>
  <c r="O869" i="12"/>
  <c r="Z869" i="12" s="1"/>
  <c r="S869" i="12"/>
  <c r="U869" i="12"/>
  <c r="AI869" i="12" s="1"/>
  <c r="Y869" i="12"/>
  <c r="AA869" i="12"/>
  <c r="AF869" i="12"/>
  <c r="A870" i="12"/>
  <c r="O870" i="12"/>
  <c r="Z870" i="12" s="1"/>
  <c r="S870" i="12"/>
  <c r="Y870" i="12"/>
  <c r="AA870" i="12"/>
  <c r="AF870" i="12"/>
  <c r="A871" i="12"/>
  <c r="O871" i="12"/>
  <c r="S871" i="12"/>
  <c r="Y871" i="12"/>
  <c r="AA871" i="12"/>
  <c r="AF871" i="12"/>
  <c r="A872" i="12"/>
  <c r="O872" i="12"/>
  <c r="Z872" i="12" s="1"/>
  <c r="S872" i="12"/>
  <c r="Y872" i="12"/>
  <c r="AA872" i="12"/>
  <c r="AF872" i="12"/>
  <c r="A873" i="12"/>
  <c r="O873" i="12"/>
  <c r="S873" i="12"/>
  <c r="Y873" i="12"/>
  <c r="AA873" i="12"/>
  <c r="AF873" i="12"/>
  <c r="A874" i="12"/>
  <c r="O874" i="12"/>
  <c r="S874" i="12"/>
  <c r="Y874" i="12"/>
  <c r="AA874" i="12"/>
  <c r="AF874" i="12"/>
  <c r="A875" i="12"/>
  <c r="O875" i="12"/>
  <c r="Z875" i="12" s="1"/>
  <c r="S875" i="12"/>
  <c r="Y875" i="12"/>
  <c r="AA875" i="12"/>
  <c r="AF875" i="12"/>
  <c r="A876" i="12"/>
  <c r="O876" i="12"/>
  <c r="S876" i="12"/>
  <c r="Y876" i="12"/>
  <c r="AA876" i="12"/>
  <c r="AF876" i="12"/>
  <c r="A877" i="12"/>
  <c r="O877" i="12"/>
  <c r="Z877" i="12" s="1"/>
  <c r="S877" i="12"/>
  <c r="U877" i="12"/>
  <c r="AI877" i="12" s="1"/>
  <c r="Y877" i="12"/>
  <c r="AA877" i="12"/>
  <c r="AF877" i="12"/>
  <c r="A878" i="12"/>
  <c r="O878" i="12"/>
  <c r="Z878" i="12" s="1"/>
  <c r="S878" i="12"/>
  <c r="Y878" i="12"/>
  <c r="AA878" i="12"/>
  <c r="AF878" i="12"/>
  <c r="A879" i="12"/>
  <c r="O879" i="12"/>
  <c r="S879" i="12"/>
  <c r="Y879" i="12"/>
  <c r="AA879" i="12"/>
  <c r="AF879" i="12"/>
  <c r="A880" i="12"/>
  <c r="O880" i="12"/>
  <c r="Z880" i="12" s="1"/>
  <c r="S880" i="12"/>
  <c r="U880" i="12"/>
  <c r="AI880" i="12" s="1"/>
  <c r="Y880" i="12"/>
  <c r="AA880" i="12"/>
  <c r="AF880" i="12"/>
  <c r="A881" i="12"/>
  <c r="O881" i="12"/>
  <c r="Z881" i="12" s="1"/>
  <c r="S881" i="12"/>
  <c r="Y881" i="12"/>
  <c r="AA881" i="12"/>
  <c r="AF881" i="12"/>
  <c r="A882" i="12"/>
  <c r="O882" i="12"/>
  <c r="S882" i="12"/>
  <c r="Y882" i="12"/>
  <c r="AA882" i="12"/>
  <c r="AF882" i="12"/>
  <c r="A883" i="12"/>
  <c r="O883" i="12"/>
  <c r="Z883" i="12" s="1"/>
  <c r="S883" i="12"/>
  <c r="Y883" i="12"/>
  <c r="AA883" i="12"/>
  <c r="AF883" i="12"/>
  <c r="A884" i="12"/>
  <c r="O884" i="12"/>
  <c r="Z884" i="12" s="1"/>
  <c r="S884" i="12"/>
  <c r="U884" i="12"/>
  <c r="AI884" i="12" s="1"/>
  <c r="Y884" i="12"/>
  <c r="AA884" i="12"/>
  <c r="AF884" i="12"/>
  <c r="A885" i="12"/>
  <c r="O885" i="12"/>
  <c r="Z885" i="12" s="1"/>
  <c r="S885" i="12"/>
  <c r="Y885" i="12"/>
  <c r="AA885" i="12"/>
  <c r="AF885" i="12"/>
  <c r="A886" i="12"/>
  <c r="O886" i="12"/>
  <c r="Z886" i="12" s="1"/>
  <c r="S886" i="12"/>
  <c r="Y886" i="12"/>
  <c r="AA886" i="12"/>
  <c r="AF886" i="12"/>
  <c r="A887" i="12"/>
  <c r="O887" i="12"/>
  <c r="S887" i="12"/>
  <c r="Y887" i="12"/>
  <c r="AA887" i="12"/>
  <c r="AF887" i="12"/>
  <c r="A888" i="12"/>
  <c r="O888" i="12"/>
  <c r="Z888" i="12" s="1"/>
  <c r="S888" i="12"/>
  <c r="Y888" i="12"/>
  <c r="AA888" i="12"/>
  <c r="AF888" i="12"/>
  <c r="A889" i="12"/>
  <c r="O889" i="12"/>
  <c r="S889" i="12"/>
  <c r="Y889" i="12"/>
  <c r="AA889" i="12"/>
  <c r="AF889" i="12"/>
  <c r="A890" i="12"/>
  <c r="O890" i="12"/>
  <c r="S890" i="12"/>
  <c r="Y890" i="12"/>
  <c r="AA890" i="12"/>
  <c r="AF890" i="12"/>
  <c r="A891" i="12"/>
  <c r="O891" i="12"/>
  <c r="U891" i="12" s="1"/>
  <c r="AI891" i="12" s="1"/>
  <c r="S891" i="12"/>
  <c r="Y891" i="12"/>
  <c r="AA891" i="12"/>
  <c r="AF891" i="12"/>
  <c r="A892" i="12"/>
  <c r="O892" i="12"/>
  <c r="U892" i="12" s="1"/>
  <c r="AI892" i="12" s="1"/>
  <c r="S892" i="12"/>
  <c r="Y892" i="12"/>
  <c r="Z892" i="12"/>
  <c r="AA892" i="12"/>
  <c r="AF892" i="12"/>
  <c r="A893" i="12"/>
  <c r="O893" i="12"/>
  <c r="U893" i="12" s="1"/>
  <c r="AI893" i="12" s="1"/>
  <c r="S893" i="12"/>
  <c r="Y893" i="12"/>
  <c r="AA893" i="12"/>
  <c r="AF893" i="12"/>
  <c r="A894" i="12"/>
  <c r="O894" i="12"/>
  <c r="U894" i="12" s="1"/>
  <c r="AI894" i="12" s="1"/>
  <c r="S894" i="12"/>
  <c r="Y894" i="12"/>
  <c r="AA894" i="12"/>
  <c r="AF894" i="12"/>
  <c r="A895" i="12"/>
  <c r="O895" i="12"/>
  <c r="U895" i="12" s="1"/>
  <c r="AI895" i="12" s="1"/>
  <c r="S895" i="12"/>
  <c r="Y895" i="12"/>
  <c r="AA895" i="12"/>
  <c r="AF895" i="12"/>
  <c r="A896" i="12"/>
  <c r="O896" i="12"/>
  <c r="U896" i="12" s="1"/>
  <c r="AI896" i="12" s="1"/>
  <c r="S896" i="12"/>
  <c r="Y896" i="12"/>
  <c r="Z896" i="12"/>
  <c r="AA896" i="12"/>
  <c r="AF896" i="12"/>
  <c r="A897" i="12"/>
  <c r="O897" i="12"/>
  <c r="S897" i="12"/>
  <c r="Y897" i="12"/>
  <c r="AA897" i="12"/>
  <c r="AF897" i="12"/>
  <c r="A898" i="12"/>
  <c r="O898" i="12"/>
  <c r="U898" i="12" s="1"/>
  <c r="AI898" i="12" s="1"/>
  <c r="S898" i="12"/>
  <c r="Y898" i="12"/>
  <c r="AA898" i="12"/>
  <c r="AF898" i="12"/>
  <c r="A899" i="12"/>
  <c r="O899" i="12"/>
  <c r="U899" i="12" s="1"/>
  <c r="AI899" i="12" s="1"/>
  <c r="S899" i="12"/>
  <c r="Y899" i="12"/>
  <c r="Z899" i="12"/>
  <c r="AA899" i="12"/>
  <c r="AF899" i="12"/>
  <c r="A900" i="12"/>
  <c r="O900" i="12"/>
  <c r="U900" i="12" s="1"/>
  <c r="AI900" i="12" s="1"/>
  <c r="S900" i="12"/>
  <c r="Y900" i="12"/>
  <c r="AA900" i="12"/>
  <c r="AF900" i="12"/>
  <c r="A901" i="12"/>
  <c r="O901" i="12"/>
  <c r="U901" i="12" s="1"/>
  <c r="AI901" i="12" s="1"/>
  <c r="S901" i="12"/>
  <c r="Y901" i="12"/>
  <c r="AA901" i="12"/>
  <c r="AF901" i="12"/>
  <c r="A902" i="12"/>
  <c r="O902" i="12"/>
  <c r="U902" i="12" s="1"/>
  <c r="AI902" i="12" s="1"/>
  <c r="S902" i="12"/>
  <c r="Y902" i="12"/>
  <c r="AA902" i="12"/>
  <c r="AF902" i="12"/>
  <c r="A903" i="12"/>
  <c r="O903" i="12"/>
  <c r="U903" i="12" s="1"/>
  <c r="AI903" i="12" s="1"/>
  <c r="S903" i="12"/>
  <c r="Y903" i="12"/>
  <c r="Z903" i="12"/>
  <c r="AA903" i="12"/>
  <c r="AF903" i="12"/>
  <c r="A904" i="12"/>
  <c r="O904" i="12"/>
  <c r="U904" i="12" s="1"/>
  <c r="AI904" i="12" s="1"/>
  <c r="S904" i="12"/>
  <c r="Y904" i="12"/>
  <c r="AA904" i="12"/>
  <c r="AF904" i="12"/>
  <c r="A905" i="12"/>
  <c r="O905" i="12"/>
  <c r="S905" i="12"/>
  <c r="Y905" i="12"/>
  <c r="AA905" i="12"/>
  <c r="AF905" i="12"/>
  <c r="A906" i="12"/>
  <c r="O906" i="12"/>
  <c r="U906" i="12" s="1"/>
  <c r="AI906" i="12" s="1"/>
  <c r="S906" i="12"/>
  <c r="Y906" i="12"/>
  <c r="Z906" i="12"/>
  <c r="AA906" i="12"/>
  <c r="AF906" i="12"/>
  <c r="A907" i="12"/>
  <c r="O907" i="12"/>
  <c r="U907" i="12" s="1"/>
  <c r="AI907" i="12" s="1"/>
  <c r="S907" i="12"/>
  <c r="Y907" i="12"/>
  <c r="AA907" i="12"/>
  <c r="AF907" i="12"/>
  <c r="A908" i="12"/>
  <c r="O908" i="12"/>
  <c r="U908" i="12" s="1"/>
  <c r="AI908" i="12" s="1"/>
  <c r="S908" i="12"/>
  <c r="Y908" i="12"/>
  <c r="AA908" i="12"/>
  <c r="AF908" i="12"/>
  <c r="A909" i="12"/>
  <c r="O909" i="12"/>
  <c r="U909" i="12" s="1"/>
  <c r="AI909" i="12" s="1"/>
  <c r="S909" i="12"/>
  <c r="Y909" i="12"/>
  <c r="AA909" i="12"/>
  <c r="AF909" i="12"/>
  <c r="A910" i="12"/>
  <c r="O910" i="12"/>
  <c r="U910" i="12" s="1"/>
  <c r="AI910" i="12" s="1"/>
  <c r="S910" i="12"/>
  <c r="Y910" i="12"/>
  <c r="Z910" i="12"/>
  <c r="AA910" i="12"/>
  <c r="AF910" i="12"/>
  <c r="A911" i="12"/>
  <c r="O911" i="12"/>
  <c r="U911" i="12" s="1"/>
  <c r="AI911" i="12" s="1"/>
  <c r="S911" i="12"/>
  <c r="Y911" i="12"/>
  <c r="AA911" i="12"/>
  <c r="AF911" i="12"/>
  <c r="A912" i="12"/>
  <c r="O912" i="12"/>
  <c r="U912" i="12" s="1"/>
  <c r="AI912" i="12" s="1"/>
  <c r="S912" i="12"/>
  <c r="Y912" i="12"/>
  <c r="Z912" i="12"/>
  <c r="AA912" i="12"/>
  <c r="AF912" i="12"/>
  <c r="A913" i="12"/>
  <c r="O913" i="12"/>
  <c r="S913" i="12"/>
  <c r="Y913" i="12"/>
  <c r="AA913" i="12"/>
  <c r="AF913" i="12"/>
  <c r="A914" i="12"/>
  <c r="O914" i="12"/>
  <c r="U914" i="12" s="1"/>
  <c r="AI914" i="12" s="1"/>
  <c r="S914" i="12"/>
  <c r="Y914" i="12"/>
  <c r="AA914" i="12"/>
  <c r="AF914" i="12"/>
  <c r="A915" i="12"/>
  <c r="O915" i="12"/>
  <c r="U915" i="12" s="1"/>
  <c r="AI915" i="12" s="1"/>
  <c r="S915" i="12"/>
  <c r="Y915" i="12"/>
  <c r="AA915" i="12"/>
  <c r="AF915" i="12"/>
  <c r="A916" i="12"/>
  <c r="O916" i="12"/>
  <c r="U916" i="12" s="1"/>
  <c r="AI916" i="12" s="1"/>
  <c r="S916" i="12"/>
  <c r="Y916" i="12"/>
  <c r="AA916" i="12"/>
  <c r="AF916" i="12"/>
  <c r="A917" i="12"/>
  <c r="O917" i="12"/>
  <c r="U917" i="12" s="1"/>
  <c r="AI917" i="12" s="1"/>
  <c r="S917" i="12"/>
  <c r="Y917" i="12"/>
  <c r="Z917" i="12"/>
  <c r="AA917" i="12"/>
  <c r="AF917" i="12"/>
  <c r="A918" i="12"/>
  <c r="O918" i="12"/>
  <c r="U918" i="12" s="1"/>
  <c r="AI918" i="12" s="1"/>
  <c r="S918" i="12"/>
  <c r="Y918" i="12"/>
  <c r="AA918" i="12"/>
  <c r="AF918" i="12"/>
  <c r="A919" i="12"/>
  <c r="O919" i="12"/>
  <c r="U919" i="12" s="1"/>
  <c r="AI919" i="12" s="1"/>
  <c r="S919" i="12"/>
  <c r="Y919" i="12"/>
  <c r="Z919" i="12"/>
  <c r="AA919" i="12"/>
  <c r="AF919" i="12"/>
  <c r="A920" i="12"/>
  <c r="O920" i="12"/>
  <c r="U920" i="12" s="1"/>
  <c r="AI920" i="12" s="1"/>
  <c r="S920" i="12"/>
  <c r="Y920" i="12"/>
  <c r="AA920" i="12"/>
  <c r="AF920" i="12"/>
  <c r="A921" i="12"/>
  <c r="O921" i="12"/>
  <c r="S921" i="12"/>
  <c r="Y921" i="12"/>
  <c r="AA921" i="12"/>
  <c r="AF921" i="12"/>
  <c r="A922" i="12"/>
  <c r="O922" i="12"/>
  <c r="U922" i="12" s="1"/>
  <c r="AI922" i="12" s="1"/>
  <c r="S922" i="12"/>
  <c r="Y922" i="12"/>
  <c r="AA922" i="12"/>
  <c r="AF922" i="12"/>
  <c r="A923" i="12"/>
  <c r="O923" i="12"/>
  <c r="U923" i="12" s="1"/>
  <c r="AI923" i="12" s="1"/>
  <c r="S923" i="12"/>
  <c r="Y923" i="12"/>
  <c r="Z923" i="12"/>
  <c r="AA923" i="12"/>
  <c r="AF923" i="12"/>
  <c r="A924" i="12"/>
  <c r="O924" i="12"/>
  <c r="U924" i="12" s="1"/>
  <c r="AI924" i="12" s="1"/>
  <c r="S924" i="12"/>
  <c r="Y924" i="12"/>
  <c r="AA924" i="12"/>
  <c r="AF924" i="12"/>
  <c r="A925" i="12"/>
  <c r="O925" i="12"/>
  <c r="U925" i="12" s="1"/>
  <c r="AI925" i="12" s="1"/>
  <c r="S925" i="12"/>
  <c r="Y925" i="12"/>
  <c r="Z925" i="12"/>
  <c r="AA925" i="12"/>
  <c r="AF925" i="12"/>
  <c r="A926" i="12"/>
  <c r="O926" i="12"/>
  <c r="U926" i="12" s="1"/>
  <c r="AI926" i="12" s="1"/>
  <c r="S926" i="12"/>
  <c r="Y926" i="12"/>
  <c r="AA926" i="12"/>
  <c r="AF926" i="12"/>
  <c r="A927" i="12"/>
  <c r="O927" i="12"/>
  <c r="U927" i="12" s="1"/>
  <c r="AI927" i="12" s="1"/>
  <c r="S927" i="12"/>
  <c r="Y927" i="12"/>
  <c r="Z927" i="12"/>
  <c r="AA927" i="12"/>
  <c r="AF927" i="12"/>
  <c r="A928" i="12"/>
  <c r="O928" i="12"/>
  <c r="U928" i="12" s="1"/>
  <c r="AI928" i="12" s="1"/>
  <c r="S928" i="12"/>
  <c r="Y928" i="12"/>
  <c r="AA928" i="12"/>
  <c r="AF928" i="12"/>
  <c r="A929" i="12"/>
  <c r="O929" i="12"/>
  <c r="S929" i="12"/>
  <c r="Y929" i="12"/>
  <c r="AA929" i="12"/>
  <c r="AF929" i="12"/>
  <c r="A930" i="12"/>
  <c r="O930" i="12"/>
  <c r="U930" i="12" s="1"/>
  <c r="AI930" i="12" s="1"/>
  <c r="S930" i="12"/>
  <c r="Y930" i="12"/>
  <c r="AA930" i="12"/>
  <c r="AF930" i="12"/>
  <c r="A931" i="12"/>
  <c r="O931" i="12"/>
  <c r="U931" i="12" s="1"/>
  <c r="AI931" i="12" s="1"/>
  <c r="S931" i="12"/>
  <c r="Y931" i="12"/>
  <c r="Z931" i="12"/>
  <c r="AA931" i="12"/>
  <c r="AF931" i="12"/>
  <c r="A932" i="12"/>
  <c r="O932" i="12"/>
  <c r="U932" i="12" s="1"/>
  <c r="AI932" i="12" s="1"/>
  <c r="S932" i="12"/>
  <c r="Y932" i="12"/>
  <c r="AA932" i="12"/>
  <c r="AF932" i="12"/>
  <c r="A933" i="12"/>
  <c r="O933" i="12"/>
  <c r="U933" i="12" s="1"/>
  <c r="AI933" i="12" s="1"/>
  <c r="S933" i="12"/>
  <c r="Y933" i="12"/>
  <c r="Z933" i="12"/>
  <c r="AA933" i="12"/>
  <c r="AF933" i="12"/>
  <c r="A934" i="12"/>
  <c r="O934" i="12"/>
  <c r="U934" i="12" s="1"/>
  <c r="AI934" i="12" s="1"/>
  <c r="S934" i="12"/>
  <c r="Y934" i="12"/>
  <c r="AA934" i="12"/>
  <c r="AF934" i="12"/>
  <c r="A935" i="12"/>
  <c r="O935" i="12"/>
  <c r="U935" i="12" s="1"/>
  <c r="AI935" i="12" s="1"/>
  <c r="S935" i="12"/>
  <c r="Y935" i="12"/>
  <c r="Z935" i="12"/>
  <c r="AA935" i="12"/>
  <c r="AF935" i="12"/>
  <c r="A936" i="12"/>
  <c r="O936" i="12"/>
  <c r="U936" i="12" s="1"/>
  <c r="AI936" i="12" s="1"/>
  <c r="S936" i="12"/>
  <c r="Y936" i="12"/>
  <c r="AA936" i="12"/>
  <c r="AF936" i="12"/>
  <c r="A937" i="12"/>
  <c r="O937" i="12"/>
  <c r="S937" i="12"/>
  <c r="Y937" i="12"/>
  <c r="AA937" i="12"/>
  <c r="AF937" i="12"/>
  <c r="A938" i="12"/>
  <c r="O938" i="12"/>
  <c r="U938" i="12" s="1"/>
  <c r="AI938" i="12" s="1"/>
  <c r="S938" i="12"/>
  <c r="Y938" i="12"/>
  <c r="AA938" i="12"/>
  <c r="AF938" i="12"/>
  <c r="A939" i="12"/>
  <c r="O939" i="12"/>
  <c r="U939" i="12" s="1"/>
  <c r="AI939" i="12" s="1"/>
  <c r="S939" i="12"/>
  <c r="Y939" i="12"/>
  <c r="Z939" i="12"/>
  <c r="AA939" i="12"/>
  <c r="AF939" i="12"/>
  <c r="A940" i="12"/>
  <c r="O940" i="12"/>
  <c r="U940" i="12" s="1"/>
  <c r="AI940" i="12" s="1"/>
  <c r="S940" i="12"/>
  <c r="Y940" i="12"/>
  <c r="AA940" i="12"/>
  <c r="AF940" i="12"/>
  <c r="A941" i="12"/>
  <c r="O941" i="12"/>
  <c r="U941" i="12" s="1"/>
  <c r="AI941" i="12" s="1"/>
  <c r="S941" i="12"/>
  <c r="Y941" i="12"/>
  <c r="Z941" i="12"/>
  <c r="AA941" i="12"/>
  <c r="AF941" i="12"/>
  <c r="A942" i="12"/>
  <c r="O942" i="12"/>
  <c r="U942" i="12" s="1"/>
  <c r="AI942" i="12" s="1"/>
  <c r="S942" i="12"/>
  <c r="Y942" i="12"/>
  <c r="AA942" i="12"/>
  <c r="AF942" i="12"/>
  <c r="A943" i="12"/>
  <c r="O943" i="12"/>
  <c r="U943" i="12" s="1"/>
  <c r="AI943" i="12" s="1"/>
  <c r="S943" i="12"/>
  <c r="Y943" i="12"/>
  <c r="AA943" i="12"/>
  <c r="AF943" i="12"/>
  <c r="A944" i="12"/>
  <c r="O944" i="12"/>
  <c r="U944" i="12" s="1"/>
  <c r="AI944" i="12" s="1"/>
  <c r="S944" i="12"/>
  <c r="Y944" i="12"/>
  <c r="AA944" i="12"/>
  <c r="AF944" i="12"/>
  <c r="A945" i="12"/>
  <c r="O945" i="12"/>
  <c r="S945" i="12"/>
  <c r="Y945" i="12"/>
  <c r="AA945" i="12"/>
  <c r="AF945" i="12"/>
  <c r="A946" i="12"/>
  <c r="O946" i="12"/>
  <c r="U946" i="12" s="1"/>
  <c r="AI946" i="12" s="1"/>
  <c r="S946" i="12"/>
  <c r="Y946" i="12"/>
  <c r="Z946" i="12"/>
  <c r="AA946" i="12"/>
  <c r="AF946" i="12"/>
  <c r="A947" i="12"/>
  <c r="O947" i="12"/>
  <c r="U947" i="12" s="1"/>
  <c r="AI947" i="12" s="1"/>
  <c r="S947" i="12"/>
  <c r="Y947" i="12"/>
  <c r="AA947" i="12"/>
  <c r="AF947" i="12"/>
  <c r="A948" i="12"/>
  <c r="O948" i="12"/>
  <c r="U948" i="12" s="1"/>
  <c r="AI948" i="12" s="1"/>
  <c r="S948" i="12"/>
  <c r="Y948" i="12"/>
  <c r="Z948" i="12"/>
  <c r="AA948" i="12"/>
  <c r="AF948" i="12"/>
  <c r="A949" i="12"/>
  <c r="O949" i="12"/>
  <c r="U949" i="12" s="1"/>
  <c r="AI949" i="12" s="1"/>
  <c r="S949" i="12"/>
  <c r="Y949" i="12"/>
  <c r="AA949" i="12"/>
  <c r="AF949" i="12"/>
  <c r="A950" i="12"/>
  <c r="O950" i="12"/>
  <c r="U950" i="12" s="1"/>
  <c r="AI950" i="12" s="1"/>
  <c r="S950" i="12"/>
  <c r="Y950" i="12"/>
  <c r="Z950" i="12"/>
  <c r="AA950" i="12"/>
  <c r="AF950" i="12"/>
  <c r="A951" i="12"/>
  <c r="O951" i="12"/>
  <c r="U951" i="12" s="1"/>
  <c r="AI951" i="12" s="1"/>
  <c r="S951" i="12"/>
  <c r="Y951" i="12"/>
  <c r="AA951" i="12"/>
  <c r="AF951" i="12"/>
  <c r="A952" i="12"/>
  <c r="O952" i="12"/>
  <c r="U952" i="12" s="1"/>
  <c r="AI952" i="12" s="1"/>
  <c r="S952" i="12"/>
  <c r="Y952" i="12"/>
  <c r="AA952" i="12"/>
  <c r="AF952" i="12"/>
  <c r="A953" i="12"/>
  <c r="O953" i="12"/>
  <c r="S953" i="12"/>
  <c r="Y953" i="12"/>
  <c r="AA953" i="12"/>
  <c r="AF953" i="12"/>
  <c r="A954" i="12"/>
  <c r="O954" i="12"/>
  <c r="U954" i="12" s="1"/>
  <c r="AI954" i="12" s="1"/>
  <c r="S954" i="12"/>
  <c r="Y954" i="12"/>
  <c r="AA954" i="12"/>
  <c r="AF954" i="12"/>
  <c r="A955" i="12"/>
  <c r="O955" i="12"/>
  <c r="U955" i="12" s="1"/>
  <c r="AI955" i="12" s="1"/>
  <c r="S955" i="12"/>
  <c r="Y955" i="12"/>
  <c r="Z955" i="12"/>
  <c r="AA955" i="12"/>
  <c r="AF955" i="12"/>
  <c r="A956" i="12"/>
  <c r="O956" i="12"/>
  <c r="U956" i="12" s="1"/>
  <c r="AI956" i="12" s="1"/>
  <c r="S956" i="12"/>
  <c r="Y956" i="12"/>
  <c r="AA956" i="12"/>
  <c r="AF956" i="12"/>
  <c r="A957" i="12"/>
  <c r="O957" i="12"/>
  <c r="U957" i="12" s="1"/>
  <c r="AI957" i="12" s="1"/>
  <c r="S957" i="12"/>
  <c r="Y957" i="12"/>
  <c r="AA957" i="12"/>
  <c r="AF957" i="12"/>
  <c r="A958" i="12"/>
  <c r="O958" i="12"/>
  <c r="U958" i="12" s="1"/>
  <c r="AI958" i="12" s="1"/>
  <c r="S958" i="12"/>
  <c r="Y958" i="12"/>
  <c r="Z958" i="12"/>
  <c r="AA958" i="12"/>
  <c r="AF958" i="12"/>
  <c r="A959" i="12"/>
  <c r="O959" i="12"/>
  <c r="U959" i="12" s="1"/>
  <c r="AI959" i="12" s="1"/>
  <c r="S959" i="12"/>
  <c r="Y959" i="12"/>
  <c r="AA959" i="12"/>
  <c r="AF959" i="12"/>
  <c r="A960" i="12"/>
  <c r="O960" i="12"/>
  <c r="U960" i="12" s="1"/>
  <c r="AI960" i="12" s="1"/>
  <c r="S960" i="12"/>
  <c r="Y960" i="12"/>
  <c r="AA960" i="12"/>
  <c r="AF960" i="12"/>
  <c r="A961" i="12"/>
  <c r="O961" i="12"/>
  <c r="S961" i="12"/>
  <c r="Y961" i="12"/>
  <c r="AA961" i="12"/>
  <c r="AF961" i="12"/>
  <c r="A962" i="12"/>
  <c r="O962" i="12"/>
  <c r="U962" i="12" s="1"/>
  <c r="AI962" i="12" s="1"/>
  <c r="S962" i="12"/>
  <c r="Y962" i="12"/>
  <c r="Z962" i="12"/>
  <c r="AA962" i="12"/>
  <c r="AF962" i="12"/>
  <c r="A963" i="12"/>
  <c r="O963" i="12"/>
  <c r="U963" i="12" s="1"/>
  <c r="AI963" i="12" s="1"/>
  <c r="S963" i="12"/>
  <c r="Y963" i="12"/>
  <c r="AA963" i="12"/>
  <c r="AF963" i="12"/>
  <c r="A964" i="12"/>
  <c r="O964" i="12"/>
  <c r="U964" i="12" s="1"/>
  <c r="AI964" i="12" s="1"/>
  <c r="S964" i="12"/>
  <c r="Y964" i="12"/>
  <c r="AA964" i="12"/>
  <c r="AF964" i="12"/>
  <c r="A965" i="12"/>
  <c r="O965" i="12"/>
  <c r="U965" i="12" s="1"/>
  <c r="AI965" i="12" s="1"/>
  <c r="S965" i="12"/>
  <c r="Y965" i="12"/>
  <c r="AA965" i="12"/>
  <c r="AF965" i="12"/>
  <c r="A966" i="12"/>
  <c r="O966" i="12"/>
  <c r="U966" i="12" s="1"/>
  <c r="AI966" i="12" s="1"/>
  <c r="S966" i="12"/>
  <c r="Y966" i="12"/>
  <c r="Z966" i="12"/>
  <c r="AA966" i="12"/>
  <c r="AF966" i="12"/>
  <c r="A967" i="12"/>
  <c r="O967" i="12"/>
  <c r="U967" i="12" s="1"/>
  <c r="AI967" i="12" s="1"/>
  <c r="S967" i="12"/>
  <c r="Y967" i="12"/>
  <c r="AA967" i="12"/>
  <c r="AF967" i="12"/>
  <c r="A968" i="12"/>
  <c r="O968" i="12"/>
  <c r="U968" i="12" s="1"/>
  <c r="AI968" i="12" s="1"/>
  <c r="S968" i="12"/>
  <c r="Y968" i="12"/>
  <c r="Z968" i="12"/>
  <c r="AA968" i="12"/>
  <c r="AF968" i="12"/>
  <c r="A969" i="12"/>
  <c r="O969" i="12"/>
  <c r="S969" i="12"/>
  <c r="Y969" i="12"/>
  <c r="AA969" i="12"/>
  <c r="AF969" i="12"/>
  <c r="A970" i="12"/>
  <c r="O970" i="12"/>
  <c r="U970" i="12" s="1"/>
  <c r="AI970" i="12" s="1"/>
  <c r="S970" i="12"/>
  <c r="Y970" i="12"/>
  <c r="AA970" i="12"/>
  <c r="AF970" i="12"/>
  <c r="A971" i="12"/>
  <c r="O971" i="12"/>
  <c r="U971" i="12" s="1"/>
  <c r="AI971" i="12" s="1"/>
  <c r="S971" i="12"/>
  <c r="Y971" i="12"/>
  <c r="Z971" i="12"/>
  <c r="AA971" i="12"/>
  <c r="AF971" i="12"/>
  <c r="A972" i="12"/>
  <c r="O972" i="12"/>
  <c r="U972" i="12" s="1"/>
  <c r="AI972" i="12" s="1"/>
  <c r="S972" i="12"/>
  <c r="Y972" i="12"/>
  <c r="AA972" i="12"/>
  <c r="AF972" i="12"/>
  <c r="A973" i="12"/>
  <c r="O973" i="12"/>
  <c r="U973" i="12" s="1"/>
  <c r="AI973" i="12" s="1"/>
  <c r="S973" i="12"/>
  <c r="Y973" i="12"/>
  <c r="AA973" i="12"/>
  <c r="AF973" i="12"/>
  <c r="A974" i="12"/>
  <c r="O974" i="12"/>
  <c r="U974" i="12" s="1"/>
  <c r="AI974" i="12" s="1"/>
  <c r="S974" i="12"/>
  <c r="Y974" i="12"/>
  <c r="AA974" i="12"/>
  <c r="AF974" i="12"/>
  <c r="A975" i="12"/>
  <c r="O975" i="12"/>
  <c r="U975" i="12" s="1"/>
  <c r="AI975" i="12" s="1"/>
  <c r="S975" i="12"/>
  <c r="Y975" i="12"/>
  <c r="Z975" i="12"/>
  <c r="AA975" i="12"/>
  <c r="AF975" i="12"/>
  <c r="A976" i="12"/>
  <c r="O976" i="12"/>
  <c r="U976" i="12" s="1"/>
  <c r="AI976" i="12" s="1"/>
  <c r="S976" i="12"/>
  <c r="Y976" i="12"/>
  <c r="AA976" i="12"/>
  <c r="AF976" i="12"/>
  <c r="A977" i="12"/>
  <c r="O977" i="12"/>
  <c r="S977" i="12"/>
  <c r="Y977" i="12"/>
  <c r="AA977" i="12"/>
  <c r="AF977" i="12"/>
  <c r="A978" i="12"/>
  <c r="O978" i="12"/>
  <c r="U978" i="12" s="1"/>
  <c r="AI978" i="12" s="1"/>
  <c r="S978" i="12"/>
  <c r="Y978" i="12"/>
  <c r="AA978" i="12"/>
  <c r="AF978" i="12"/>
  <c r="A979" i="12"/>
  <c r="O979" i="12"/>
  <c r="U979" i="12" s="1"/>
  <c r="AI979" i="12" s="1"/>
  <c r="S979" i="12"/>
  <c r="Y979" i="12"/>
  <c r="Z979" i="12"/>
  <c r="AA979" i="12"/>
  <c r="AF979" i="12"/>
  <c r="A980" i="12"/>
  <c r="O980" i="12"/>
  <c r="U980" i="12" s="1"/>
  <c r="AI980" i="12" s="1"/>
  <c r="S980" i="12"/>
  <c r="Y980" i="12"/>
  <c r="AA980" i="12"/>
  <c r="AF980" i="12"/>
  <c r="A981" i="12"/>
  <c r="O981" i="12"/>
  <c r="U981" i="12" s="1"/>
  <c r="AI981" i="12" s="1"/>
  <c r="S981" i="12"/>
  <c r="Y981" i="12"/>
  <c r="AA981" i="12"/>
  <c r="AF981" i="12"/>
  <c r="A982" i="12"/>
  <c r="O982" i="12"/>
  <c r="U982" i="12" s="1"/>
  <c r="AI982" i="12" s="1"/>
  <c r="S982" i="12"/>
  <c r="Y982" i="12"/>
  <c r="Z982" i="12"/>
  <c r="AA982" i="12"/>
  <c r="AF982" i="12"/>
  <c r="A983" i="12"/>
  <c r="O983" i="12"/>
  <c r="U983" i="12" s="1"/>
  <c r="AI983" i="12" s="1"/>
  <c r="S983" i="12"/>
  <c r="Y983" i="12"/>
  <c r="AA983" i="12"/>
  <c r="AF983" i="12"/>
  <c r="A984" i="12"/>
  <c r="O984" i="12"/>
  <c r="U984" i="12" s="1"/>
  <c r="AI984" i="12" s="1"/>
  <c r="S984" i="12"/>
  <c r="Y984" i="12"/>
  <c r="Z984" i="12"/>
  <c r="AA984" i="12"/>
  <c r="AF984" i="12"/>
  <c r="A985" i="12"/>
  <c r="O985" i="12"/>
  <c r="S985" i="12"/>
  <c r="Y985" i="12"/>
  <c r="AA985" i="12"/>
  <c r="AF985" i="12"/>
  <c r="A986" i="12"/>
  <c r="O986" i="12"/>
  <c r="U986" i="12" s="1"/>
  <c r="AI986" i="12" s="1"/>
  <c r="S986" i="12"/>
  <c r="Y986" i="12"/>
  <c r="AA986" i="12"/>
  <c r="AF986" i="12"/>
  <c r="A987" i="12"/>
  <c r="O987" i="12"/>
  <c r="U987" i="12" s="1"/>
  <c r="AI987" i="12" s="1"/>
  <c r="S987" i="12"/>
  <c r="Y987" i="12"/>
  <c r="AA987" i="12"/>
  <c r="AF987" i="12"/>
  <c r="A988" i="12"/>
  <c r="O988" i="12"/>
  <c r="U988" i="12" s="1"/>
  <c r="AI988" i="12" s="1"/>
  <c r="S988" i="12"/>
  <c r="Y988" i="12"/>
  <c r="Z988" i="12"/>
  <c r="AA988" i="12"/>
  <c r="AF988" i="12"/>
  <c r="A989" i="12"/>
  <c r="O989" i="12"/>
  <c r="U989" i="12" s="1"/>
  <c r="AI989" i="12" s="1"/>
  <c r="S989" i="12"/>
  <c r="Y989" i="12"/>
  <c r="AA989" i="12"/>
  <c r="AF989" i="12"/>
  <c r="A990" i="12"/>
  <c r="O990" i="12"/>
  <c r="U990" i="12" s="1"/>
  <c r="AI990" i="12" s="1"/>
  <c r="S990" i="12"/>
  <c r="Y990" i="12"/>
  <c r="Z990" i="12"/>
  <c r="AA990" i="12"/>
  <c r="AF990" i="12"/>
  <c r="A991" i="12"/>
  <c r="O991" i="12"/>
  <c r="U991" i="12" s="1"/>
  <c r="AI991" i="12" s="1"/>
  <c r="S991" i="12"/>
  <c r="Y991" i="12"/>
  <c r="AA991" i="12"/>
  <c r="AF991" i="12"/>
  <c r="A992" i="12"/>
  <c r="O992" i="12"/>
  <c r="U992" i="12" s="1"/>
  <c r="AI992" i="12" s="1"/>
  <c r="S992" i="12"/>
  <c r="Y992" i="12"/>
  <c r="Z992" i="12"/>
  <c r="AA992" i="12"/>
  <c r="AF992" i="12"/>
  <c r="A993" i="12"/>
  <c r="O993" i="12"/>
  <c r="S993" i="12"/>
  <c r="Y993" i="12"/>
  <c r="AA993" i="12"/>
  <c r="AF993" i="12"/>
  <c r="A994" i="12"/>
  <c r="O994" i="12"/>
  <c r="U994" i="12" s="1"/>
  <c r="AI994" i="12" s="1"/>
  <c r="S994" i="12"/>
  <c r="Y994" i="12"/>
  <c r="AA994" i="12"/>
  <c r="AF994" i="12"/>
  <c r="A995" i="12"/>
  <c r="O995" i="12"/>
  <c r="U995" i="12" s="1"/>
  <c r="AI995" i="12" s="1"/>
  <c r="S995" i="12"/>
  <c r="Y995" i="12"/>
  <c r="AA995" i="12"/>
  <c r="AF995" i="12"/>
  <c r="A996" i="12"/>
  <c r="O996" i="12"/>
  <c r="U996" i="12" s="1"/>
  <c r="AI996" i="12" s="1"/>
  <c r="S996" i="12"/>
  <c r="Y996" i="12"/>
  <c r="Z996" i="12"/>
  <c r="AA996" i="12"/>
  <c r="AF996" i="12"/>
  <c r="A997" i="12"/>
  <c r="O997" i="12"/>
  <c r="U997" i="12" s="1"/>
  <c r="AI997" i="12" s="1"/>
  <c r="S997" i="12"/>
  <c r="Y997" i="12"/>
  <c r="AA997" i="12"/>
  <c r="AF997" i="12"/>
  <c r="A998" i="12"/>
  <c r="O998" i="12"/>
  <c r="U998" i="12" s="1"/>
  <c r="AI998" i="12" s="1"/>
  <c r="S998" i="12"/>
  <c r="Y998" i="12"/>
  <c r="Z998" i="12"/>
  <c r="AA998" i="12"/>
  <c r="AF998" i="12"/>
  <c r="A999" i="12"/>
  <c r="O999" i="12"/>
  <c r="U999" i="12" s="1"/>
  <c r="AI999" i="12" s="1"/>
  <c r="S999" i="12"/>
  <c r="Y999" i="12"/>
  <c r="AA999" i="12"/>
  <c r="AF999" i="12"/>
  <c r="A1000" i="12"/>
  <c r="O1000" i="12"/>
  <c r="U1000" i="12" s="1"/>
  <c r="AI1000" i="12" s="1"/>
  <c r="S1000" i="12"/>
  <c r="Y1000" i="12"/>
  <c r="AA1000" i="12"/>
  <c r="AF1000" i="12"/>
  <c r="A1001" i="12"/>
  <c r="O1001" i="12"/>
  <c r="S1001" i="12"/>
  <c r="Y1001" i="12"/>
  <c r="AA1001" i="12"/>
  <c r="AF1001" i="12"/>
  <c r="A1002" i="12"/>
  <c r="O1002" i="12"/>
  <c r="U1002" i="12" s="1"/>
  <c r="AI1002" i="12" s="1"/>
  <c r="S1002" i="12"/>
  <c r="Y1002" i="12"/>
  <c r="Z1002" i="12"/>
  <c r="AA1002" i="12"/>
  <c r="AF1002" i="12"/>
  <c r="A1003" i="12"/>
  <c r="O1003" i="12"/>
  <c r="U1003" i="12" s="1"/>
  <c r="AI1003" i="12" s="1"/>
  <c r="S1003" i="12"/>
  <c r="Y1003" i="12"/>
  <c r="AA1003" i="12"/>
  <c r="AF1003" i="12"/>
  <c r="A1004" i="12"/>
  <c r="O1004" i="12"/>
  <c r="U1004" i="12" s="1"/>
  <c r="AI1004" i="12" s="1"/>
  <c r="S1004" i="12"/>
  <c r="Y1004" i="12"/>
  <c r="Z1004" i="12"/>
  <c r="AA1004" i="12"/>
  <c r="AF1004" i="12"/>
  <c r="A1005" i="12"/>
  <c r="O1005" i="12"/>
  <c r="U1005" i="12" s="1"/>
  <c r="AI1005" i="12" s="1"/>
  <c r="S1005" i="12"/>
  <c r="Y1005" i="12"/>
  <c r="AA1005" i="12"/>
  <c r="AF1005" i="12"/>
  <c r="A1006" i="12"/>
  <c r="O1006" i="12"/>
  <c r="U1006" i="12" s="1"/>
  <c r="AI1006" i="12" s="1"/>
  <c r="S1006" i="12"/>
  <c r="Y1006" i="12"/>
  <c r="Z1006" i="12"/>
  <c r="AA1006" i="12"/>
  <c r="AF1006" i="12"/>
  <c r="A1007" i="12"/>
  <c r="O1007" i="12"/>
  <c r="U1007" i="12" s="1"/>
  <c r="AI1007" i="12" s="1"/>
  <c r="S1007" i="12"/>
  <c r="Y1007" i="12"/>
  <c r="AA1007" i="12"/>
  <c r="AF1007" i="12"/>
  <c r="A1008" i="12"/>
  <c r="O1008" i="12"/>
  <c r="U1008" i="12" s="1"/>
  <c r="AI1008" i="12" s="1"/>
  <c r="S1008" i="12"/>
  <c r="Y1008" i="12"/>
  <c r="AA1008" i="12"/>
  <c r="AF1008" i="12"/>
  <c r="A1009" i="12"/>
  <c r="O1009" i="12"/>
  <c r="S1009" i="12"/>
  <c r="Y1009" i="12"/>
  <c r="AA1009" i="12"/>
  <c r="AF1009" i="12"/>
  <c r="A1010" i="12"/>
  <c r="O1010" i="12"/>
  <c r="U1010" i="12" s="1"/>
  <c r="AI1010" i="12" s="1"/>
  <c r="S1010" i="12"/>
  <c r="Y1010" i="12"/>
  <c r="AA1010" i="12"/>
  <c r="AF1010" i="12"/>
  <c r="A1011" i="12"/>
  <c r="O1011" i="12"/>
  <c r="U1011" i="12" s="1"/>
  <c r="AI1011" i="12" s="1"/>
  <c r="S1011" i="12"/>
  <c r="Y1011" i="12"/>
  <c r="Z1011" i="12"/>
  <c r="AA1011" i="12"/>
  <c r="AF1011" i="12"/>
  <c r="A1012" i="12"/>
  <c r="O1012" i="12"/>
  <c r="U1012" i="12" s="1"/>
  <c r="AI1012" i="12" s="1"/>
  <c r="S1012" i="12"/>
  <c r="Y1012" i="12"/>
  <c r="AA1012" i="12"/>
  <c r="AF1012" i="12"/>
  <c r="A1013" i="12"/>
  <c r="O1013" i="12"/>
  <c r="U1013" i="12" s="1"/>
  <c r="AI1013" i="12" s="1"/>
  <c r="S1013" i="12"/>
  <c r="Y1013" i="12"/>
  <c r="Z1013" i="12"/>
  <c r="AA1013" i="12"/>
  <c r="AF1013" i="12"/>
  <c r="A1014" i="12"/>
  <c r="O1014" i="12"/>
  <c r="U1014" i="12" s="1"/>
  <c r="AI1014" i="12" s="1"/>
  <c r="S1014" i="12"/>
  <c r="Y1014" i="12"/>
  <c r="AA1014" i="12"/>
  <c r="AF1014" i="12"/>
  <c r="A1015" i="12"/>
  <c r="O1015" i="12"/>
  <c r="U1015" i="12" s="1"/>
  <c r="AI1015" i="12" s="1"/>
  <c r="S1015" i="12"/>
  <c r="Y1015" i="12"/>
  <c r="AA1015" i="12"/>
  <c r="AF1015" i="12"/>
  <c r="A1016" i="12"/>
  <c r="O1016" i="12"/>
  <c r="U1016" i="12" s="1"/>
  <c r="AI1016" i="12" s="1"/>
  <c r="S1016" i="12"/>
  <c r="Y1016" i="12"/>
  <c r="AA1016" i="12"/>
  <c r="AF1016" i="12"/>
  <c r="A1017" i="12"/>
  <c r="O1017" i="12"/>
  <c r="S1017" i="12"/>
  <c r="Y1017" i="12"/>
  <c r="AA1017" i="12"/>
  <c r="AF1017" i="12"/>
  <c r="A1018" i="12"/>
  <c r="O1018" i="12"/>
  <c r="U1018" i="12" s="1"/>
  <c r="AI1018" i="12" s="1"/>
  <c r="S1018" i="12"/>
  <c r="Y1018" i="12"/>
  <c r="Z1018" i="12"/>
  <c r="AA1018" i="12"/>
  <c r="AF1018" i="12"/>
  <c r="A1019" i="12"/>
  <c r="O1019" i="12"/>
  <c r="U1019" i="12" s="1"/>
  <c r="AI1019" i="12" s="1"/>
  <c r="S1019" i="12"/>
  <c r="Y1019" i="12"/>
  <c r="AA1019" i="12"/>
  <c r="AF1019" i="12"/>
  <c r="A1020" i="12"/>
  <c r="O1020" i="12"/>
  <c r="U1020" i="12" s="1"/>
  <c r="AI1020" i="12" s="1"/>
  <c r="S1020" i="12"/>
  <c r="Y1020" i="12"/>
  <c r="Z1020" i="12"/>
  <c r="AA1020" i="12"/>
  <c r="AF1020" i="12"/>
  <c r="A1021" i="12"/>
  <c r="O1021" i="12"/>
  <c r="U1021" i="12" s="1"/>
  <c r="AI1021" i="12" s="1"/>
  <c r="S1021" i="12"/>
  <c r="Y1021" i="12"/>
  <c r="AA1021" i="12"/>
  <c r="AF1021" i="12"/>
  <c r="A1022" i="12"/>
  <c r="O1022" i="12"/>
  <c r="U1022" i="12" s="1"/>
  <c r="AI1022" i="12" s="1"/>
  <c r="S1022" i="12"/>
  <c r="Y1022" i="12"/>
  <c r="AA1022" i="12"/>
  <c r="AF1022" i="12"/>
  <c r="A1023" i="12"/>
  <c r="O1023" i="12"/>
  <c r="U1023" i="12" s="1"/>
  <c r="AI1023" i="12" s="1"/>
  <c r="Q1023" i="12"/>
  <c r="S1023" i="12"/>
  <c r="Y1023" i="12"/>
  <c r="AA1023" i="12"/>
  <c r="AF1023" i="12"/>
  <c r="A1024" i="12"/>
  <c r="O1024" i="12"/>
  <c r="Z1024" i="12" s="1"/>
  <c r="Q1024" i="12"/>
  <c r="S1024" i="12"/>
  <c r="Y1024" i="12"/>
  <c r="AA1024" i="12"/>
  <c r="AF1024" i="12"/>
  <c r="A1025" i="12"/>
  <c r="O1025" i="12"/>
  <c r="Z1025" i="12" s="1"/>
  <c r="Q1025" i="12"/>
  <c r="S1025" i="12"/>
  <c r="Y1025" i="12"/>
  <c r="AA1025" i="12"/>
  <c r="AF1025" i="12"/>
  <c r="A1026" i="12"/>
  <c r="O1026" i="12"/>
  <c r="Q1026" i="12"/>
  <c r="S1026" i="12"/>
  <c r="Y1026" i="12"/>
  <c r="AA1026" i="12"/>
  <c r="AF1026" i="12"/>
  <c r="A1027" i="12"/>
  <c r="O1027" i="12"/>
  <c r="Q1027" i="12"/>
  <c r="S1027" i="12"/>
  <c r="Y1027" i="12"/>
  <c r="AA1027" i="12"/>
  <c r="AF1027" i="12"/>
  <c r="A1028" i="12"/>
  <c r="O1028" i="12"/>
  <c r="Z1028" i="12" s="1"/>
  <c r="Q1028" i="12"/>
  <c r="S1028" i="12"/>
  <c r="Y1028" i="12"/>
  <c r="AA1028" i="12"/>
  <c r="AF1028" i="12"/>
  <c r="A1029" i="12"/>
  <c r="O1029" i="12"/>
  <c r="Q1029" i="12"/>
  <c r="S1029" i="12"/>
  <c r="Y1029" i="12"/>
  <c r="AA1029" i="12"/>
  <c r="AF1029" i="12"/>
  <c r="A1030" i="12"/>
  <c r="O1030" i="12"/>
  <c r="U1030" i="12" s="1"/>
  <c r="AI1030" i="12" s="1"/>
  <c r="Q1030" i="12"/>
  <c r="S1030" i="12"/>
  <c r="Y1030" i="12"/>
  <c r="AA1030" i="12"/>
  <c r="AF1030" i="12"/>
  <c r="A1031" i="12"/>
  <c r="O1031" i="12"/>
  <c r="Q1031" i="12"/>
  <c r="S1031" i="12"/>
  <c r="Y1031" i="12"/>
  <c r="AA1031" i="12"/>
  <c r="AF1031" i="12"/>
  <c r="A1032" i="12"/>
  <c r="O1032" i="12"/>
  <c r="U1032" i="12" s="1"/>
  <c r="AI1032" i="12" s="1"/>
  <c r="Q1032" i="12"/>
  <c r="S1032" i="12"/>
  <c r="Y1032" i="12"/>
  <c r="AA1032" i="12"/>
  <c r="AF1032" i="12"/>
  <c r="A1033" i="12"/>
  <c r="O1033" i="12"/>
  <c r="Q1033" i="12"/>
  <c r="S1033" i="12"/>
  <c r="Y1033" i="12"/>
  <c r="AA1033" i="12"/>
  <c r="AF1033" i="12"/>
  <c r="A1034" i="12"/>
  <c r="O1034" i="12"/>
  <c r="U1034" i="12" s="1"/>
  <c r="Q1034" i="12"/>
  <c r="S1034" i="12"/>
  <c r="Y1034" i="12"/>
  <c r="AA1034" i="12"/>
  <c r="AF1034" i="12"/>
  <c r="A1035" i="12"/>
  <c r="O1035" i="12"/>
  <c r="Q1035" i="12"/>
  <c r="S1035" i="12"/>
  <c r="Y1035" i="12"/>
  <c r="AA1035" i="12"/>
  <c r="AF1035" i="12"/>
  <c r="A1036" i="12"/>
  <c r="O1036" i="12"/>
  <c r="Q1036" i="12"/>
  <c r="S1036" i="12"/>
  <c r="Y1036" i="12"/>
  <c r="AA1036" i="12"/>
  <c r="AF1036" i="12"/>
  <c r="A1037" i="12"/>
  <c r="O1037" i="12"/>
  <c r="U1037" i="12" s="1"/>
  <c r="Q1037" i="12"/>
  <c r="S1037" i="12"/>
  <c r="Y1037" i="12"/>
  <c r="AA1037" i="12"/>
  <c r="AF1037" i="12"/>
  <c r="A1038" i="12"/>
  <c r="O1038" i="12"/>
  <c r="U1038" i="12" s="1"/>
  <c r="Q1038" i="12"/>
  <c r="S1038" i="12"/>
  <c r="Y1038" i="12"/>
  <c r="AA1038" i="12"/>
  <c r="AF1038" i="12"/>
  <c r="A1039" i="12"/>
  <c r="O1039" i="12"/>
  <c r="Z1039" i="12" s="1"/>
  <c r="Q1039" i="12"/>
  <c r="S1039" i="12"/>
  <c r="U1039" i="12"/>
  <c r="Y1039" i="12"/>
  <c r="AA1039" i="12"/>
  <c r="AF1039" i="12"/>
  <c r="A1040" i="12"/>
  <c r="O1040" i="12"/>
  <c r="Z1040" i="12" s="1"/>
  <c r="Q1040" i="12"/>
  <c r="S1040" i="12"/>
  <c r="U1040" i="12"/>
  <c r="Y1040" i="12"/>
  <c r="AA1040" i="12"/>
  <c r="AF1040" i="12"/>
  <c r="A1041" i="12"/>
  <c r="O1041" i="12"/>
  <c r="Z1041" i="12" s="1"/>
  <c r="Q1041" i="12"/>
  <c r="S1041" i="12"/>
  <c r="Y1041" i="12"/>
  <c r="AA1041" i="12"/>
  <c r="AF1041" i="12"/>
  <c r="A1042" i="12"/>
  <c r="O1042" i="12"/>
  <c r="Q1042" i="12"/>
  <c r="S1042" i="12"/>
  <c r="Y1042" i="12"/>
  <c r="AA1042" i="12"/>
  <c r="AF1042" i="12"/>
  <c r="A1043" i="12"/>
  <c r="O1043" i="12"/>
  <c r="Q1043" i="12"/>
  <c r="S1043" i="12"/>
  <c r="Y1043" i="12"/>
  <c r="AA1043" i="12"/>
  <c r="AF1043" i="12"/>
  <c r="A1044" i="12"/>
  <c r="O1044" i="12"/>
  <c r="Z1044" i="12" s="1"/>
  <c r="Q1044" i="12"/>
  <c r="S1044" i="12"/>
  <c r="Y1044" i="12"/>
  <c r="AA1044" i="12"/>
  <c r="AF1044" i="12"/>
  <c r="A1045" i="12"/>
  <c r="O1045" i="12"/>
  <c r="Q1045" i="12"/>
  <c r="S1045" i="12"/>
  <c r="Y1045" i="12"/>
  <c r="AA1045" i="12"/>
  <c r="AF1045" i="12"/>
  <c r="A1046" i="12"/>
  <c r="O1046" i="12"/>
  <c r="Z1046" i="12" s="1"/>
  <c r="Q1046" i="12"/>
  <c r="S1046" i="12"/>
  <c r="U1046" i="12"/>
  <c r="Y1046" i="12"/>
  <c r="AA1046" i="12"/>
  <c r="AF1046" i="12"/>
  <c r="A1047" i="12"/>
  <c r="O1047" i="12"/>
  <c r="Q1047" i="12"/>
  <c r="S1047" i="12"/>
  <c r="Y1047" i="12"/>
  <c r="AA1047" i="12"/>
  <c r="AF1047" i="12"/>
  <c r="A1048" i="12"/>
  <c r="O1048" i="12"/>
  <c r="U1048" i="12" s="1"/>
  <c r="Q1048" i="12"/>
  <c r="S1048" i="12"/>
  <c r="Y1048" i="12"/>
  <c r="Z1048" i="12"/>
  <c r="AA1048" i="12"/>
  <c r="AF1048" i="12"/>
  <c r="A1049" i="12"/>
  <c r="O1049" i="12"/>
  <c r="Z1049" i="12" s="1"/>
  <c r="Q1049" i="12"/>
  <c r="S1049" i="12"/>
  <c r="Y1049" i="12"/>
  <c r="AA1049" i="12"/>
  <c r="AF1049" i="12"/>
  <c r="A1050" i="12"/>
  <c r="O1050" i="12"/>
  <c r="Q1050" i="12"/>
  <c r="S1050" i="12"/>
  <c r="Y1050" i="12"/>
  <c r="AA1050" i="12"/>
  <c r="AF1050" i="12"/>
  <c r="A1051" i="12"/>
  <c r="O1051" i="12"/>
  <c r="Q1051" i="12"/>
  <c r="S1051" i="12"/>
  <c r="Y1051" i="12"/>
  <c r="AA1051" i="12"/>
  <c r="AF1051" i="12"/>
  <c r="A1052" i="12"/>
  <c r="O1052" i="12"/>
  <c r="Z1052" i="12" s="1"/>
  <c r="Q1052" i="12"/>
  <c r="S1052" i="12"/>
  <c r="Y1052" i="12"/>
  <c r="AA1052" i="12"/>
  <c r="AF1052" i="12"/>
  <c r="A1053" i="12"/>
  <c r="O1053" i="12"/>
  <c r="Q1053" i="12"/>
  <c r="S1053" i="12"/>
  <c r="Y1053" i="12"/>
  <c r="AA1053" i="12"/>
  <c r="AF1053" i="12"/>
  <c r="A1054" i="12"/>
  <c r="O1054" i="12"/>
  <c r="Q1054" i="12"/>
  <c r="S1054" i="12"/>
  <c r="U1054" i="12"/>
  <c r="Y1054" i="12"/>
  <c r="Z1054" i="12"/>
  <c r="AA1054" i="12"/>
  <c r="AF1054" i="12"/>
  <c r="A1055" i="12"/>
  <c r="O1055" i="12"/>
  <c r="U1055" i="12" s="1"/>
  <c r="Q1055" i="12"/>
  <c r="S1055" i="12"/>
  <c r="Y1055" i="12"/>
  <c r="AA1055" i="12"/>
  <c r="AF1055" i="12"/>
  <c r="A1056" i="12"/>
  <c r="O1056" i="12"/>
  <c r="U1056" i="12" s="1"/>
  <c r="Q1056" i="12"/>
  <c r="S1056" i="12"/>
  <c r="Y1056" i="12"/>
  <c r="AA1056" i="12"/>
  <c r="AF1056" i="12"/>
  <c r="A1057" i="12"/>
  <c r="O1057" i="12"/>
  <c r="Z1057" i="12" s="1"/>
  <c r="Q1057" i="12"/>
  <c r="S1057" i="12"/>
  <c r="Y1057" i="12"/>
  <c r="AA1057" i="12"/>
  <c r="AF1057" i="12"/>
  <c r="A1058" i="12"/>
  <c r="O1058" i="12"/>
  <c r="U1058" i="12" s="1"/>
  <c r="Q1058" i="12"/>
  <c r="S1058" i="12"/>
  <c r="Y1058" i="12"/>
  <c r="AA1058" i="12"/>
  <c r="AF1058" i="12"/>
  <c r="A1059" i="12"/>
  <c r="O1059" i="12"/>
  <c r="Q1059" i="12"/>
  <c r="S1059" i="12"/>
  <c r="Y1059" i="12"/>
  <c r="AA1059" i="12"/>
  <c r="AF1059" i="12"/>
  <c r="A1060" i="12"/>
  <c r="O1060" i="12"/>
  <c r="U1060" i="12" s="1"/>
  <c r="Q1060" i="12"/>
  <c r="S1060" i="12"/>
  <c r="Y1060" i="12"/>
  <c r="Z1060" i="12"/>
  <c r="AA1060" i="12"/>
  <c r="AF1060" i="12"/>
  <c r="A1061" i="12"/>
  <c r="O1061" i="12"/>
  <c r="U1061" i="12" s="1"/>
  <c r="Q1061" i="12"/>
  <c r="S1061" i="12"/>
  <c r="Y1061" i="12"/>
  <c r="Z1061" i="12"/>
  <c r="AA1061" i="12"/>
  <c r="AF1061" i="12"/>
  <c r="A1062" i="12"/>
  <c r="O1062" i="12"/>
  <c r="Z1062" i="12" s="1"/>
  <c r="Q1062" i="12"/>
  <c r="S1062" i="12"/>
  <c r="U1062" i="12"/>
  <c r="Y1062" i="12"/>
  <c r="AA1062" i="12"/>
  <c r="AF1062" i="12"/>
  <c r="A1063" i="12"/>
  <c r="O1063" i="12"/>
  <c r="U1063" i="12" s="1"/>
  <c r="Q1063" i="12"/>
  <c r="S1063" i="12"/>
  <c r="Y1063" i="12"/>
  <c r="AA1063" i="12"/>
  <c r="AF1063" i="12"/>
  <c r="A1064" i="12"/>
  <c r="O1064" i="12"/>
  <c r="Z1064" i="12" s="1"/>
  <c r="Q1064" i="12"/>
  <c r="S1064" i="12"/>
  <c r="Y1064" i="12"/>
  <c r="AA1064" i="12"/>
  <c r="AF1064" i="12"/>
  <c r="A1065" i="12"/>
  <c r="O1065" i="12"/>
  <c r="Z1065" i="12" s="1"/>
  <c r="Q1065" i="12"/>
  <c r="S1065" i="12"/>
  <c r="Y1065" i="12"/>
  <c r="AA1065" i="12"/>
  <c r="AF1065" i="12"/>
  <c r="A1066" i="12"/>
  <c r="O1066" i="12"/>
  <c r="U1066" i="12" s="1"/>
  <c r="Q1066" i="12"/>
  <c r="S1066" i="12"/>
  <c r="Y1066" i="12"/>
  <c r="AA1066" i="12"/>
  <c r="AF1066" i="12"/>
  <c r="A1067" i="12"/>
  <c r="O1067" i="12"/>
  <c r="Q1067" i="12"/>
  <c r="S1067" i="12"/>
  <c r="Y1067" i="12"/>
  <c r="AA1067" i="12"/>
  <c r="AF1067" i="12"/>
  <c r="A1068" i="12"/>
  <c r="O1068" i="12"/>
  <c r="Q1068" i="12"/>
  <c r="S1068" i="12"/>
  <c r="Y1068" i="12"/>
  <c r="AA1068" i="12"/>
  <c r="AF1068" i="12"/>
  <c r="A1069" i="12"/>
  <c r="O1069" i="12"/>
  <c r="Q1069" i="12"/>
  <c r="S1069" i="12"/>
  <c r="Y1069" i="12"/>
  <c r="AA1069" i="12"/>
  <c r="AF1069" i="12"/>
  <c r="A1070" i="12"/>
  <c r="O1070" i="12"/>
  <c r="Z1070" i="12" s="1"/>
  <c r="Q1070" i="12"/>
  <c r="S1070" i="12"/>
  <c r="Y1070" i="12"/>
  <c r="AA1070" i="12"/>
  <c r="AF1070" i="12"/>
  <c r="A1071" i="12"/>
  <c r="O1071" i="12"/>
  <c r="Q1071" i="12"/>
  <c r="S1071" i="12"/>
  <c r="Y1071" i="12"/>
  <c r="AA1071" i="12"/>
  <c r="AF1071" i="12"/>
  <c r="A1072" i="12"/>
  <c r="O1072" i="12"/>
  <c r="U1072" i="12" s="1"/>
  <c r="Q1072" i="12"/>
  <c r="S1072" i="12"/>
  <c r="Y1072" i="12"/>
  <c r="Z1072" i="12"/>
  <c r="AA1072" i="12"/>
  <c r="AF1072" i="12"/>
  <c r="A1073" i="12"/>
  <c r="O1073" i="12"/>
  <c r="Q1073" i="12"/>
  <c r="S1073" i="12"/>
  <c r="Y1073" i="12"/>
  <c r="AA1073" i="12"/>
  <c r="AF1073" i="12"/>
  <c r="A1074" i="12"/>
  <c r="O1074" i="12"/>
  <c r="U1074" i="12" s="1"/>
  <c r="Q1074" i="12"/>
  <c r="S1074" i="12"/>
  <c r="Y1074" i="12"/>
  <c r="AA1074" i="12"/>
  <c r="AF1074" i="12"/>
  <c r="A1075" i="12"/>
  <c r="O1075" i="12"/>
  <c r="Q1075" i="12"/>
  <c r="S1075" i="12"/>
  <c r="Y1075" i="12"/>
  <c r="AA1075" i="12"/>
  <c r="AF1075" i="12"/>
  <c r="A1076" i="12"/>
  <c r="O1076" i="12"/>
  <c r="U1076" i="12" s="1"/>
  <c r="Q1076" i="12"/>
  <c r="S1076" i="12"/>
  <c r="Y1076" i="12"/>
  <c r="AA1076" i="12"/>
  <c r="AF1076" i="12"/>
  <c r="A1077" i="12"/>
  <c r="O1077" i="12"/>
  <c r="U1077" i="12" s="1"/>
  <c r="Q1077" i="12"/>
  <c r="S1077" i="12"/>
  <c r="Y1077" i="12"/>
  <c r="AA1077" i="12"/>
  <c r="AF1077" i="12"/>
  <c r="A1078" i="12"/>
  <c r="O1078" i="12"/>
  <c r="U1078" i="12" s="1"/>
  <c r="Q1078" i="12"/>
  <c r="S1078" i="12"/>
  <c r="Y1078" i="12"/>
  <c r="AA1078" i="12"/>
  <c r="AF1078" i="12"/>
  <c r="A1079" i="12"/>
  <c r="O1079" i="12"/>
  <c r="Z1079" i="12" s="1"/>
  <c r="Q1079" i="12"/>
  <c r="S1079" i="12"/>
  <c r="U1079" i="12"/>
  <c r="Y1079" i="12"/>
  <c r="AA1079" i="12"/>
  <c r="AF1079" i="12"/>
  <c r="A1080" i="12"/>
  <c r="O1080" i="12"/>
  <c r="Z1080" i="12" s="1"/>
  <c r="Q1080" i="12"/>
  <c r="S1080" i="12"/>
  <c r="U1080" i="12"/>
  <c r="Y1080" i="12"/>
  <c r="AA1080" i="12"/>
  <c r="AF1080" i="12"/>
  <c r="A1081" i="12"/>
  <c r="O1081" i="12"/>
  <c r="Q1081" i="12"/>
  <c r="S1081" i="12"/>
  <c r="Y1081" i="12"/>
  <c r="AA1081" i="12"/>
  <c r="AF1081" i="12"/>
  <c r="A1082" i="12"/>
  <c r="O1082" i="12"/>
  <c r="U1082" i="12" s="1"/>
  <c r="Q1082" i="12"/>
  <c r="S1082" i="12"/>
  <c r="Y1082" i="12"/>
  <c r="AA1082" i="12"/>
  <c r="AF1082" i="12"/>
  <c r="A1083" i="12"/>
  <c r="O1083" i="12"/>
  <c r="Q1083" i="12"/>
  <c r="S1083" i="12"/>
  <c r="Y1083" i="12"/>
  <c r="AA1083" i="12"/>
  <c r="AF1083" i="12"/>
  <c r="A1084" i="12"/>
  <c r="O1084" i="12"/>
  <c r="U1084" i="12" s="1"/>
  <c r="Q1084" i="12"/>
  <c r="S1084" i="12"/>
  <c r="Y1084" i="12"/>
  <c r="AA1084" i="12"/>
  <c r="AF1084" i="12"/>
  <c r="A1085" i="12"/>
  <c r="O1085" i="12"/>
  <c r="U1085" i="12" s="1"/>
  <c r="Q1085" i="12"/>
  <c r="S1085" i="12"/>
  <c r="Y1085" i="12"/>
  <c r="AA1085" i="12"/>
  <c r="AF1085" i="12"/>
  <c r="A1086" i="12"/>
  <c r="O1086" i="12"/>
  <c r="U1086" i="12" s="1"/>
  <c r="Q1086" i="12"/>
  <c r="S1086" i="12"/>
  <c r="Y1086" i="12"/>
  <c r="AA1086" i="12"/>
  <c r="AF1086" i="12"/>
  <c r="A1087" i="12"/>
  <c r="O1087" i="12"/>
  <c r="Z1087" i="12" s="1"/>
  <c r="Q1087" i="12"/>
  <c r="S1087" i="12"/>
  <c r="Y1087" i="12"/>
  <c r="AA1087" i="12"/>
  <c r="AF1087" i="12"/>
  <c r="A1088" i="12"/>
  <c r="O1088" i="12"/>
  <c r="U1088" i="12" s="1"/>
  <c r="Q1088" i="12"/>
  <c r="S1088" i="12"/>
  <c r="Y1088" i="12"/>
  <c r="AA1088" i="12"/>
  <c r="AF1088" i="12"/>
  <c r="A1089" i="12"/>
  <c r="O1089" i="12"/>
  <c r="Z1089" i="12" s="1"/>
  <c r="Q1089" i="12"/>
  <c r="S1089" i="12"/>
  <c r="Y1089" i="12"/>
  <c r="AA1089" i="12"/>
  <c r="AF1089" i="12"/>
  <c r="A1090" i="12"/>
  <c r="O1090" i="12"/>
  <c r="U1090" i="12" s="1"/>
  <c r="Q1090" i="12"/>
  <c r="S1090" i="12"/>
  <c r="Y1090" i="12"/>
  <c r="AA1090" i="12"/>
  <c r="AF1090" i="12"/>
  <c r="A1091" i="12"/>
  <c r="O1091" i="12"/>
  <c r="Q1091" i="12"/>
  <c r="S1091" i="12"/>
  <c r="Y1091" i="12"/>
  <c r="AA1091" i="12"/>
  <c r="AF1091" i="12"/>
  <c r="A1092" i="12"/>
  <c r="O1092" i="12"/>
  <c r="U1092" i="12" s="1"/>
  <c r="Q1092" i="12"/>
  <c r="S1092" i="12"/>
  <c r="Y1092" i="12"/>
  <c r="AA1092" i="12"/>
  <c r="AF1092" i="12"/>
  <c r="A1093" i="12"/>
  <c r="O1093" i="12"/>
  <c r="Q1093" i="12"/>
  <c r="S1093" i="12"/>
  <c r="Y1093" i="12"/>
  <c r="AA1093" i="12"/>
  <c r="AF1093" i="12"/>
  <c r="A1094" i="12"/>
  <c r="O1094" i="12"/>
  <c r="U1094" i="12" s="1"/>
  <c r="Q1094" i="12"/>
  <c r="S1094" i="12"/>
  <c r="Y1094" i="12"/>
  <c r="AA1094" i="12"/>
  <c r="AF1094" i="12"/>
  <c r="A1095" i="12"/>
  <c r="O1095" i="12"/>
  <c r="Z1095" i="12" s="1"/>
  <c r="Q1095" i="12"/>
  <c r="S1095" i="12"/>
  <c r="U1095" i="12"/>
  <c r="Y1095" i="12"/>
  <c r="AA1095" i="12"/>
  <c r="AF1095" i="12"/>
  <c r="A1096" i="12"/>
  <c r="O1096" i="12"/>
  <c r="Z1096" i="12" s="1"/>
  <c r="Q1096" i="12"/>
  <c r="S1096" i="12"/>
  <c r="U1096" i="12"/>
  <c r="Y1096" i="12"/>
  <c r="AA1096" i="12"/>
  <c r="AF1096" i="12"/>
  <c r="A1097" i="12"/>
  <c r="O1097" i="12"/>
  <c r="Q1097" i="12"/>
  <c r="S1097" i="12"/>
  <c r="Y1097" i="12"/>
  <c r="AA1097" i="12"/>
  <c r="AF1097" i="12"/>
  <c r="A1098" i="12"/>
  <c r="O1098" i="12"/>
  <c r="U1098" i="12" s="1"/>
  <c r="Q1098" i="12"/>
  <c r="S1098" i="12"/>
  <c r="Y1098" i="12"/>
  <c r="AA1098" i="12"/>
  <c r="AF1098" i="12"/>
  <c r="A1099" i="12"/>
  <c r="O1099" i="12"/>
  <c r="Q1099" i="12"/>
  <c r="S1099" i="12"/>
  <c r="Y1099" i="12"/>
  <c r="AA1099" i="12"/>
  <c r="AF1099" i="12"/>
  <c r="A1100" i="12"/>
  <c r="O1100" i="12"/>
  <c r="Q1100" i="12"/>
  <c r="S1100" i="12"/>
  <c r="Y1100" i="12"/>
  <c r="AA1100" i="12"/>
  <c r="AF1100" i="12"/>
  <c r="A1101" i="12"/>
  <c r="O1101" i="12"/>
  <c r="Q1101" i="12"/>
  <c r="S1101" i="12"/>
  <c r="Y1101" i="12"/>
  <c r="AA1101" i="12"/>
  <c r="AF1101" i="12"/>
  <c r="A1102" i="12"/>
  <c r="O1102" i="12"/>
  <c r="U1102" i="12" s="1"/>
  <c r="Q1102" i="12"/>
  <c r="S1102" i="12"/>
  <c r="Y1102" i="12"/>
  <c r="Z1102" i="12"/>
  <c r="AA1102" i="12"/>
  <c r="AF1102" i="12"/>
  <c r="A1103" i="12"/>
  <c r="O1103" i="12"/>
  <c r="Z1103" i="12" s="1"/>
  <c r="Q1103" i="12"/>
  <c r="S1103" i="12"/>
  <c r="Y1103" i="12"/>
  <c r="AA1103" i="12"/>
  <c r="AF1103" i="12"/>
  <c r="A1104" i="12"/>
  <c r="O1104" i="12"/>
  <c r="Z1104" i="12" s="1"/>
  <c r="Q1104" i="12"/>
  <c r="S1104" i="12"/>
  <c r="Y1104" i="12"/>
  <c r="AA1104" i="12"/>
  <c r="AF1104" i="12"/>
  <c r="A1105" i="12"/>
  <c r="O1105" i="12"/>
  <c r="Q1105" i="12"/>
  <c r="S1105" i="12"/>
  <c r="Y1105" i="12"/>
  <c r="AA1105" i="12"/>
  <c r="AF1105" i="12"/>
  <c r="A1106" i="12"/>
  <c r="O1106" i="12"/>
  <c r="U1106" i="12" s="1"/>
  <c r="Q1106" i="12"/>
  <c r="S1106" i="12"/>
  <c r="Y1106" i="12"/>
  <c r="AA1106" i="12"/>
  <c r="AF1106" i="12"/>
  <c r="A1107" i="12"/>
  <c r="O1107" i="12"/>
  <c r="Q1107" i="12"/>
  <c r="S1107" i="12"/>
  <c r="Y1107" i="12"/>
  <c r="AA1107" i="12"/>
  <c r="AF1107" i="12"/>
  <c r="A1108" i="12"/>
  <c r="O1108" i="12"/>
  <c r="U1108" i="12" s="1"/>
  <c r="Q1108" i="12"/>
  <c r="S1108" i="12"/>
  <c r="Y1108" i="12"/>
  <c r="AA1108" i="12"/>
  <c r="AF1108" i="12"/>
  <c r="A1109" i="12"/>
  <c r="O1109" i="12"/>
  <c r="Q1109" i="12"/>
  <c r="S1109" i="12"/>
  <c r="Y1109" i="12"/>
  <c r="AA1109" i="12"/>
  <c r="AF1109" i="12"/>
  <c r="A1110" i="12"/>
  <c r="O1110" i="12"/>
  <c r="Z1110" i="12" s="1"/>
  <c r="Q1110" i="12"/>
  <c r="S1110" i="12"/>
  <c r="U1110" i="12"/>
  <c r="Y1110" i="12"/>
  <c r="AA1110" i="12"/>
  <c r="AF1110" i="12"/>
  <c r="A1111" i="12"/>
  <c r="O1111" i="12"/>
  <c r="Q1111" i="12"/>
  <c r="S1111" i="12"/>
  <c r="Y1111" i="12"/>
  <c r="AA1111" i="12"/>
  <c r="AF1111" i="12"/>
  <c r="A1112" i="12"/>
  <c r="O1112" i="12"/>
  <c r="U1112" i="12" s="1"/>
  <c r="Q1112" i="12"/>
  <c r="S1112" i="12"/>
  <c r="Y1112" i="12"/>
  <c r="AA1112" i="12"/>
  <c r="AF1112" i="12"/>
  <c r="A1113" i="12"/>
  <c r="O1113" i="12"/>
  <c r="Q1113" i="12"/>
  <c r="S1113" i="12"/>
  <c r="Y1113" i="12"/>
  <c r="AA1113" i="12"/>
  <c r="AF1113" i="12"/>
  <c r="A1114" i="12"/>
  <c r="O1114" i="12"/>
  <c r="U1114" i="12" s="1"/>
  <c r="Q1114" i="12"/>
  <c r="S1114" i="12"/>
  <c r="Y1114" i="12"/>
  <c r="Z1114" i="12"/>
  <c r="AA1114" i="12"/>
  <c r="AF1114" i="12"/>
  <c r="A1115" i="12"/>
  <c r="O1115" i="12"/>
  <c r="Q1115" i="12"/>
  <c r="S1115" i="12"/>
  <c r="Y1115" i="12"/>
  <c r="AA1115" i="12"/>
  <c r="AF1115" i="12"/>
  <c r="A1116" i="12"/>
  <c r="O1116" i="12"/>
  <c r="Q1116" i="12"/>
  <c r="S1116" i="12"/>
  <c r="Y1116" i="12"/>
  <c r="AA1116" i="12"/>
  <c r="AF1116" i="12"/>
  <c r="A1117" i="12"/>
  <c r="O1117" i="12"/>
  <c r="Q1117" i="12"/>
  <c r="S1117" i="12"/>
  <c r="Y1117" i="12"/>
  <c r="AA1117" i="12"/>
  <c r="AF1117" i="12"/>
  <c r="A1118" i="12"/>
  <c r="O1118" i="12"/>
  <c r="Q1118" i="12"/>
  <c r="S1118" i="12"/>
  <c r="U1118" i="12"/>
  <c r="Y1118" i="12"/>
  <c r="Z1118" i="12"/>
  <c r="AA1118" i="12"/>
  <c r="AF1118" i="12"/>
  <c r="A1119" i="12"/>
  <c r="O1119" i="12"/>
  <c r="U1119" i="12" s="1"/>
  <c r="Q1119" i="12"/>
  <c r="S1119" i="12"/>
  <c r="Y1119" i="12"/>
  <c r="AA1119" i="12"/>
  <c r="AF1119" i="12"/>
  <c r="A1120" i="12"/>
  <c r="O1120" i="12"/>
  <c r="Z1120" i="12" s="1"/>
  <c r="Q1120" i="12"/>
  <c r="S1120" i="12"/>
  <c r="Y1120" i="12"/>
  <c r="AA1120" i="12"/>
  <c r="AF1120" i="12"/>
  <c r="A1121" i="12"/>
  <c r="O1121" i="12"/>
  <c r="Z1121" i="12" s="1"/>
  <c r="Q1121" i="12"/>
  <c r="S1121" i="12"/>
  <c r="Y1121" i="12"/>
  <c r="AA1121" i="12"/>
  <c r="AF1121" i="12"/>
  <c r="A1122" i="12"/>
  <c r="O1122" i="12"/>
  <c r="U1122" i="12" s="1"/>
  <c r="Q1122" i="12"/>
  <c r="S1122" i="12"/>
  <c r="Y1122" i="12"/>
  <c r="AA1122" i="12"/>
  <c r="AF1122" i="12"/>
  <c r="A1123" i="12"/>
  <c r="O1123" i="12"/>
  <c r="Q1123" i="12"/>
  <c r="S1123" i="12"/>
  <c r="Y1123" i="12"/>
  <c r="AA1123" i="12"/>
  <c r="AF1123" i="12"/>
  <c r="A1124" i="12"/>
  <c r="O1124" i="12"/>
  <c r="U1124" i="12" s="1"/>
  <c r="Q1124" i="12"/>
  <c r="S1124" i="12"/>
  <c r="Y1124" i="12"/>
  <c r="AA1124" i="12"/>
  <c r="AF1124" i="12"/>
  <c r="A1125" i="12"/>
  <c r="O1125" i="12"/>
  <c r="Q1125" i="12"/>
  <c r="S1125" i="12"/>
  <c r="Y1125" i="12"/>
  <c r="AA1125" i="12"/>
  <c r="AF1125" i="12"/>
  <c r="A1126" i="12"/>
  <c r="O1126" i="12"/>
  <c r="Z1126" i="12" s="1"/>
  <c r="Q1126" i="12"/>
  <c r="S1126" i="12"/>
  <c r="U1126" i="12"/>
  <c r="Y1126" i="12"/>
  <c r="AA1126" i="12"/>
  <c r="AF1126" i="12"/>
  <c r="A1127" i="12"/>
  <c r="O1127" i="12"/>
  <c r="Z1127" i="12" s="1"/>
  <c r="Q1127" i="12"/>
  <c r="S1127" i="12"/>
  <c r="U1127" i="12"/>
  <c r="Y1127" i="12"/>
  <c r="AA1127" i="12"/>
  <c r="AF1127" i="12"/>
  <c r="A1128" i="12"/>
  <c r="O1128" i="12"/>
  <c r="Z1128" i="12" s="1"/>
  <c r="Q1128" i="12"/>
  <c r="S1128" i="12"/>
  <c r="U1128" i="12"/>
  <c r="Y1128" i="12"/>
  <c r="AA1128" i="12"/>
  <c r="AF1128" i="12"/>
  <c r="A1129" i="12"/>
  <c r="O1129" i="12"/>
  <c r="Q1129" i="12"/>
  <c r="S1129" i="12"/>
  <c r="Y1129" i="12"/>
  <c r="AA1129" i="12"/>
  <c r="AF1129" i="12"/>
  <c r="A1130" i="12"/>
  <c r="O1130" i="12"/>
  <c r="U1130" i="12" s="1"/>
  <c r="Q1130" i="12"/>
  <c r="S1130" i="12"/>
  <c r="Y1130" i="12"/>
  <c r="AA1130" i="12"/>
  <c r="AF1130" i="12"/>
  <c r="A1131" i="12"/>
  <c r="O1131" i="12"/>
  <c r="Q1131" i="12"/>
  <c r="S1131" i="12"/>
  <c r="Y1131" i="12"/>
  <c r="AA1131" i="12"/>
  <c r="AF1131" i="12"/>
  <c r="A1132" i="12"/>
  <c r="O1132" i="12"/>
  <c r="Q1132" i="12"/>
  <c r="S1132" i="12"/>
  <c r="Y1132" i="12"/>
  <c r="AA1132" i="12"/>
  <c r="AF1132" i="12"/>
  <c r="A1133" i="12"/>
  <c r="O1133" i="12"/>
  <c r="Q1133" i="12"/>
  <c r="S1133" i="12"/>
  <c r="Y1133" i="12"/>
  <c r="AA1133" i="12"/>
  <c r="AF1133" i="12"/>
  <c r="A1134" i="12"/>
  <c r="O1134" i="12"/>
  <c r="U1134" i="12" s="1"/>
  <c r="Q1134" i="12"/>
  <c r="S1134" i="12"/>
  <c r="Y1134" i="12"/>
  <c r="AA1134" i="12"/>
  <c r="AF1134" i="12"/>
  <c r="A1135" i="12"/>
  <c r="O1135" i="12"/>
  <c r="Z1135" i="12" s="1"/>
  <c r="Q1135" i="12"/>
  <c r="S1135" i="12"/>
  <c r="U1135" i="12"/>
  <c r="Y1135" i="12"/>
  <c r="AA1135" i="12"/>
  <c r="AF1135" i="12"/>
  <c r="A1136" i="12"/>
  <c r="O1136" i="12"/>
  <c r="Q1136" i="12"/>
  <c r="S1136" i="12"/>
  <c r="U1136" i="12"/>
  <c r="Y1136" i="12"/>
  <c r="Z1136" i="12"/>
  <c r="AA1136" i="12"/>
  <c r="AF1136" i="12"/>
  <c r="A1137" i="12"/>
  <c r="O1137" i="12"/>
  <c r="Q1137" i="12"/>
  <c r="S1137" i="12"/>
  <c r="Y1137" i="12"/>
  <c r="AA1137" i="12"/>
  <c r="AF1137" i="12"/>
  <c r="A1138" i="12"/>
  <c r="O1138" i="12"/>
  <c r="U1138" i="12" s="1"/>
  <c r="Q1138" i="12"/>
  <c r="S1138" i="12"/>
  <c r="Y1138" i="12"/>
  <c r="Z1138" i="12"/>
  <c r="AA1138" i="12"/>
  <c r="AF1138" i="12"/>
  <c r="A1139" i="12"/>
  <c r="O1139" i="12"/>
  <c r="Q1139" i="12"/>
  <c r="S1139" i="12"/>
  <c r="Y1139" i="12"/>
  <c r="AA1139" i="12"/>
  <c r="AF1139" i="12"/>
  <c r="A1140" i="12"/>
  <c r="O1140" i="12"/>
  <c r="Q1140" i="12"/>
  <c r="S1140" i="12"/>
  <c r="Y1140" i="12"/>
  <c r="AA1140" i="12"/>
  <c r="AF1140" i="12"/>
  <c r="A1141" i="12"/>
  <c r="O1141" i="12"/>
  <c r="Q1141" i="12"/>
  <c r="S1141" i="12"/>
  <c r="Y1141" i="12"/>
  <c r="AA1141" i="12"/>
  <c r="AF1141" i="12"/>
  <c r="A1142" i="12"/>
  <c r="O1142" i="12"/>
  <c r="U1142" i="12" s="1"/>
  <c r="Q1142" i="12"/>
  <c r="S1142" i="12"/>
  <c r="Y1142" i="12"/>
  <c r="AA1142" i="12"/>
  <c r="AF1142" i="12"/>
  <c r="A1143" i="12"/>
  <c r="O1143" i="12"/>
  <c r="Z1143" i="12" s="1"/>
  <c r="Q1143" i="12"/>
  <c r="S1143" i="12"/>
  <c r="U1143" i="12"/>
  <c r="Y1143" i="12"/>
  <c r="AA1143" i="12"/>
  <c r="AF1143" i="12"/>
  <c r="A1144" i="12"/>
  <c r="O1144" i="12"/>
  <c r="Q1144" i="12"/>
  <c r="S1144" i="12"/>
  <c r="U1144" i="12"/>
  <c r="Y1144" i="12"/>
  <c r="Z1144" i="12"/>
  <c r="AA1144" i="12"/>
  <c r="AF1144" i="12"/>
  <c r="A1145" i="12"/>
  <c r="O1145" i="12"/>
  <c r="Q1145" i="12"/>
  <c r="S1145" i="12"/>
  <c r="Y1145" i="12"/>
  <c r="AA1145" i="12"/>
  <c r="AF1145" i="12"/>
  <c r="A1146" i="12"/>
  <c r="O1146" i="12"/>
  <c r="U1146" i="12" s="1"/>
  <c r="Q1146" i="12"/>
  <c r="S1146" i="12"/>
  <c r="Y1146" i="12"/>
  <c r="AA1146" i="12"/>
  <c r="AF1146" i="12"/>
  <c r="A1147" i="12"/>
  <c r="O1147" i="12"/>
  <c r="Q1147" i="12"/>
  <c r="S1147" i="12"/>
  <c r="Y1147" i="12"/>
  <c r="AA1147" i="12"/>
  <c r="AF1147" i="12"/>
  <c r="A1148" i="12"/>
  <c r="O1148" i="12"/>
  <c r="Q1148" i="12"/>
  <c r="S1148" i="12"/>
  <c r="Y1148" i="12"/>
  <c r="AA1148" i="12"/>
  <c r="AF1148" i="12"/>
  <c r="A1149" i="12"/>
  <c r="O1149" i="12"/>
  <c r="Q1149" i="12"/>
  <c r="S1149" i="12"/>
  <c r="Y1149" i="12"/>
  <c r="AA1149" i="12"/>
  <c r="AF1149" i="12"/>
  <c r="A1150" i="12"/>
  <c r="O1150" i="12"/>
  <c r="Z1150" i="12" s="1"/>
  <c r="Q1150" i="12"/>
  <c r="S1150" i="12"/>
  <c r="Y1150" i="12"/>
  <c r="AA1150" i="12"/>
  <c r="AF1150" i="12"/>
  <c r="A1151" i="12"/>
  <c r="O1151" i="12"/>
  <c r="U1151" i="12" s="1"/>
  <c r="Q1151" i="12"/>
  <c r="S1151" i="12"/>
  <c r="Y1151" i="12"/>
  <c r="AA1151" i="12"/>
  <c r="AF1151" i="12"/>
  <c r="A1152" i="12"/>
  <c r="O1152" i="12"/>
  <c r="U1152" i="12" s="1"/>
  <c r="Q1152" i="12"/>
  <c r="S1152" i="12"/>
  <c r="Y1152" i="12"/>
  <c r="AA1152" i="12"/>
  <c r="AF1152" i="12"/>
  <c r="A1153" i="12"/>
  <c r="O1153" i="12"/>
  <c r="U1153" i="12" s="1"/>
  <c r="Q1153" i="12"/>
  <c r="S1153" i="12"/>
  <c r="Y1153" i="12"/>
  <c r="AA1153" i="12"/>
  <c r="AF1153" i="12"/>
  <c r="A1154" i="12"/>
  <c r="O1154" i="12"/>
  <c r="Z1154" i="12" s="1"/>
  <c r="Q1154" i="12"/>
  <c r="S1154" i="12"/>
  <c r="Y1154" i="12"/>
  <c r="AA1154" i="12"/>
  <c r="AF1154" i="12"/>
  <c r="A1155" i="12"/>
  <c r="O1155" i="12"/>
  <c r="Z1155" i="12" s="1"/>
  <c r="Q1155" i="12"/>
  <c r="S1155" i="12"/>
  <c r="Y1155" i="12"/>
  <c r="AA1155" i="12"/>
  <c r="AF1155" i="12"/>
  <c r="A1156" i="12"/>
  <c r="O1156" i="12"/>
  <c r="Z1156" i="12" s="1"/>
  <c r="Q1156" i="12"/>
  <c r="S1156" i="12"/>
  <c r="Y1156" i="12"/>
  <c r="AA1156" i="12"/>
  <c r="AF1156" i="12"/>
  <c r="A1157" i="12"/>
  <c r="O1157" i="12"/>
  <c r="U1157" i="12" s="1"/>
  <c r="Q1157" i="12"/>
  <c r="S1157" i="12"/>
  <c r="Y1157" i="12"/>
  <c r="AA1157" i="12"/>
  <c r="AF1157" i="12"/>
  <c r="A1158" i="12"/>
  <c r="O1158" i="12"/>
  <c r="Q1158" i="12"/>
  <c r="S1158" i="12"/>
  <c r="Y1158" i="12"/>
  <c r="AA1158" i="12"/>
  <c r="AF1158" i="12"/>
  <c r="A1159" i="12"/>
  <c r="O1159" i="12"/>
  <c r="Q1159" i="12"/>
  <c r="S1159" i="12"/>
  <c r="Y1159" i="12"/>
  <c r="AA1159" i="12"/>
  <c r="AF1159" i="12"/>
  <c r="A1160" i="12"/>
  <c r="O1160" i="12"/>
  <c r="Z1160" i="12" s="1"/>
  <c r="Q1160" i="12"/>
  <c r="S1160" i="12"/>
  <c r="U1160" i="12"/>
  <c r="Y1160" i="12"/>
  <c r="AA1160" i="12"/>
  <c r="AF1160" i="12"/>
  <c r="A1161" i="12"/>
  <c r="O1161" i="12"/>
  <c r="Q1161" i="12"/>
  <c r="S1161" i="12"/>
  <c r="U1161" i="12"/>
  <c r="Y1161" i="12"/>
  <c r="Z1161" i="12"/>
  <c r="AA1161" i="12"/>
  <c r="AF1161" i="12"/>
  <c r="A1162" i="12"/>
  <c r="O1162" i="12"/>
  <c r="U1162" i="12" s="1"/>
  <c r="Q1162" i="12"/>
  <c r="S1162" i="12"/>
  <c r="Y1162" i="12"/>
  <c r="AA1162" i="12"/>
  <c r="AF1162" i="12"/>
  <c r="A1163" i="12"/>
  <c r="O1163" i="12"/>
  <c r="U1163" i="12" s="1"/>
  <c r="Q1163" i="12"/>
  <c r="S1163" i="12"/>
  <c r="Y1163" i="12"/>
  <c r="AA1163" i="12"/>
  <c r="AF1163" i="12"/>
  <c r="A1164" i="12"/>
  <c r="O1164" i="12"/>
  <c r="Z1164" i="12" s="1"/>
  <c r="Q1164" i="12"/>
  <c r="S1164" i="12"/>
  <c r="Y1164" i="12"/>
  <c r="AA1164" i="12"/>
  <c r="AF1164" i="12"/>
  <c r="A1165" i="12"/>
  <c r="O1165" i="12"/>
  <c r="Z1165" i="12" s="1"/>
  <c r="Q1165" i="12"/>
  <c r="S1165" i="12"/>
  <c r="U1165" i="12"/>
  <c r="Y1165" i="12"/>
  <c r="AA1165" i="12"/>
  <c r="AF1165" i="12"/>
  <c r="A1166" i="12"/>
  <c r="O1166" i="12"/>
  <c r="Q1166" i="12"/>
  <c r="S1166" i="12"/>
  <c r="Y1166" i="12"/>
  <c r="AA1166" i="12"/>
  <c r="AF1166" i="12"/>
  <c r="A1167" i="12"/>
  <c r="O1167" i="12"/>
  <c r="U1167" i="12" s="1"/>
  <c r="Q1167" i="12"/>
  <c r="S1167" i="12"/>
  <c r="Y1167" i="12"/>
  <c r="AA1167" i="12"/>
  <c r="AF1167" i="12"/>
  <c r="A1168" i="12"/>
  <c r="O1168" i="12"/>
  <c r="Z1168" i="12" s="1"/>
  <c r="Q1168" i="12"/>
  <c r="S1168" i="12"/>
  <c r="U1168" i="12"/>
  <c r="Y1168" i="12"/>
  <c r="AA1168" i="12"/>
  <c r="AF1168" i="12"/>
  <c r="A1169" i="12"/>
  <c r="O1169" i="12"/>
  <c r="Z1169" i="12" s="1"/>
  <c r="Q1169" i="12"/>
  <c r="S1169" i="12"/>
  <c r="U1169" i="12"/>
  <c r="Y1169" i="12"/>
  <c r="AA1169" i="12"/>
  <c r="AF1169" i="12"/>
  <c r="A1170" i="12"/>
  <c r="O1170" i="12"/>
  <c r="Q1170" i="12"/>
  <c r="S1170" i="12"/>
  <c r="U1170" i="12"/>
  <c r="Y1170" i="12"/>
  <c r="Z1170" i="12"/>
  <c r="AA1170" i="12"/>
  <c r="AF1170" i="12"/>
  <c r="A1171" i="12"/>
  <c r="O1171" i="12"/>
  <c r="U1171" i="12" s="1"/>
  <c r="Q1171" i="12"/>
  <c r="S1171" i="12"/>
  <c r="Y1171" i="12"/>
  <c r="AA1171" i="12"/>
  <c r="AF1171" i="12"/>
  <c r="A1172" i="12"/>
  <c r="O1172" i="12"/>
  <c r="Z1172" i="12" s="1"/>
  <c r="Q1172" i="12"/>
  <c r="S1172" i="12"/>
  <c r="Y1172" i="12"/>
  <c r="AA1172" i="12"/>
  <c r="AF1172" i="12"/>
  <c r="A1173" i="12"/>
  <c r="O1173" i="12"/>
  <c r="Z1173" i="12" s="1"/>
  <c r="Q1173" i="12"/>
  <c r="S1173" i="12"/>
  <c r="Y1173" i="12"/>
  <c r="AA1173" i="12"/>
  <c r="AF1173" i="12"/>
  <c r="A1174" i="12"/>
  <c r="O1174" i="12"/>
  <c r="U1174" i="12" s="1"/>
  <c r="Q1174" i="12"/>
  <c r="S1174" i="12"/>
  <c r="Y1174" i="12"/>
  <c r="AA1174" i="12"/>
  <c r="AF1174" i="12"/>
  <c r="A1175" i="12"/>
  <c r="O1175" i="12"/>
  <c r="U1175" i="12" s="1"/>
  <c r="Q1175" i="12"/>
  <c r="S1175" i="12"/>
  <c r="Y1175" i="12"/>
  <c r="AA1175" i="12"/>
  <c r="AF1175" i="12"/>
  <c r="A1176" i="12"/>
  <c r="O1176" i="12"/>
  <c r="Q1176" i="12"/>
  <c r="S1176" i="12"/>
  <c r="Y1176" i="12"/>
  <c r="AA1176" i="12"/>
  <c r="AF1176" i="12"/>
  <c r="A1177" i="12"/>
  <c r="O1177" i="12"/>
  <c r="U1177" i="12" s="1"/>
  <c r="Q1177" i="12"/>
  <c r="S1177" i="12"/>
  <c r="Y1177" i="12"/>
  <c r="AA1177" i="12"/>
  <c r="AF1177" i="12"/>
  <c r="A1178" i="12"/>
  <c r="O1178" i="12"/>
  <c r="Z1178" i="12" s="1"/>
  <c r="Q1178" i="12"/>
  <c r="S1178" i="12"/>
  <c r="Y1178" i="12"/>
  <c r="AA1178" i="12"/>
  <c r="AF1178" i="12"/>
  <c r="A1179" i="12"/>
  <c r="O1179" i="12"/>
  <c r="U1179" i="12" s="1"/>
  <c r="Q1179" i="12"/>
  <c r="S1179" i="12"/>
  <c r="Y1179" i="12"/>
  <c r="AA1179" i="12"/>
  <c r="AF1179" i="12"/>
  <c r="A1180" i="12"/>
  <c r="O1180" i="12"/>
  <c r="Z1180" i="12" s="1"/>
  <c r="Q1180" i="12"/>
  <c r="S1180" i="12"/>
  <c r="U1180" i="12"/>
  <c r="Y1180" i="12"/>
  <c r="AA1180" i="12"/>
  <c r="AF1180" i="12"/>
  <c r="A1181" i="12"/>
  <c r="O1181" i="12"/>
  <c r="Z1181" i="12" s="1"/>
  <c r="Q1181" i="12"/>
  <c r="S1181" i="12"/>
  <c r="U1181" i="12"/>
  <c r="Y1181" i="12"/>
  <c r="AA1181" i="12"/>
  <c r="AF1181" i="12"/>
  <c r="A1182" i="12"/>
  <c r="O1182" i="12"/>
  <c r="U1182" i="12" s="1"/>
  <c r="Q1182" i="12"/>
  <c r="S1182" i="12"/>
  <c r="Y1182" i="12"/>
  <c r="AA1182" i="12"/>
  <c r="AF1182" i="12"/>
  <c r="A1183" i="12"/>
  <c r="O1183" i="12"/>
  <c r="U1183" i="12" s="1"/>
  <c r="Q1183" i="12"/>
  <c r="S1183" i="12"/>
  <c r="Y1183" i="12"/>
  <c r="AA1183" i="12"/>
  <c r="AF1183" i="12"/>
  <c r="A1184" i="12"/>
  <c r="O1184" i="12"/>
  <c r="Z1184" i="12" s="1"/>
  <c r="Q1184" i="12"/>
  <c r="S1184" i="12"/>
  <c r="Y1184" i="12"/>
  <c r="AA1184" i="12"/>
  <c r="AF1184" i="12"/>
  <c r="A1185" i="12"/>
  <c r="O1185" i="12"/>
  <c r="U1185" i="12" s="1"/>
  <c r="Q1185" i="12"/>
  <c r="S1185" i="12"/>
  <c r="Y1185" i="12"/>
  <c r="AA1185" i="12"/>
  <c r="AF1185" i="12"/>
  <c r="A1186" i="12"/>
  <c r="O1186" i="12"/>
  <c r="U1186" i="12" s="1"/>
  <c r="Q1186" i="12"/>
  <c r="S1186" i="12"/>
  <c r="Y1186" i="12"/>
  <c r="Z1186" i="12"/>
  <c r="AA1186" i="12"/>
  <c r="AF1186" i="12"/>
  <c r="A1187" i="12"/>
  <c r="O1187" i="12"/>
  <c r="U1187" i="12" s="1"/>
  <c r="Q1187" i="12"/>
  <c r="S1187" i="12"/>
  <c r="Y1187" i="12"/>
  <c r="AA1187" i="12"/>
  <c r="AF1187" i="12"/>
  <c r="A1188" i="12"/>
  <c r="O1188" i="12"/>
  <c r="Z1188" i="12" s="1"/>
  <c r="Q1188" i="12"/>
  <c r="S1188" i="12"/>
  <c r="Y1188" i="12"/>
  <c r="AA1188" i="12"/>
  <c r="AF1188" i="12"/>
  <c r="A1189" i="12"/>
  <c r="O1189" i="12"/>
  <c r="Z1189" i="12" s="1"/>
  <c r="Q1189" i="12"/>
  <c r="S1189" i="12"/>
  <c r="U1189" i="12"/>
  <c r="Y1189" i="12"/>
  <c r="AA1189" i="12"/>
  <c r="AF1189" i="12"/>
  <c r="A1190" i="12"/>
  <c r="O1190" i="12"/>
  <c r="Q1190" i="12"/>
  <c r="S1190" i="12"/>
  <c r="Y1190" i="12"/>
  <c r="AA1190" i="12"/>
  <c r="AF1190" i="12"/>
  <c r="A1191" i="12"/>
  <c r="O1191" i="12"/>
  <c r="U1191" i="12" s="1"/>
  <c r="Q1191" i="12"/>
  <c r="S1191" i="12"/>
  <c r="Y1191" i="12"/>
  <c r="AA1191" i="12"/>
  <c r="AF1191" i="12"/>
  <c r="A1192" i="12"/>
  <c r="O1192" i="12"/>
  <c r="Z1192" i="12" s="1"/>
  <c r="Q1192" i="12"/>
  <c r="S1192" i="12"/>
  <c r="Y1192" i="12"/>
  <c r="AA1192" i="12"/>
  <c r="AF1192" i="12"/>
  <c r="A1193" i="12"/>
  <c r="O1193" i="12"/>
  <c r="U1193" i="12" s="1"/>
  <c r="Q1193" i="12"/>
  <c r="S1193" i="12"/>
  <c r="Y1193" i="12"/>
  <c r="AA1193" i="12"/>
  <c r="AF1193" i="12"/>
  <c r="A1194" i="12"/>
  <c r="O1194" i="12"/>
  <c r="Z1194" i="12" s="1"/>
  <c r="Q1194" i="12"/>
  <c r="S1194" i="12"/>
  <c r="U1194" i="12"/>
  <c r="Y1194" i="12"/>
  <c r="AA1194" i="12"/>
  <c r="AF1194" i="12"/>
  <c r="A1195" i="12"/>
  <c r="O1195" i="12"/>
  <c r="Q1195" i="12"/>
  <c r="S1195" i="12"/>
  <c r="Y1195" i="12"/>
  <c r="AA1195" i="12"/>
  <c r="AF1195" i="12"/>
  <c r="A1196" i="12"/>
  <c r="O1196" i="12"/>
  <c r="Z1196" i="12" s="1"/>
  <c r="Q1196" i="12"/>
  <c r="S1196" i="12"/>
  <c r="Y1196" i="12"/>
  <c r="AA1196" i="12"/>
  <c r="AF1196" i="12"/>
  <c r="A1197" i="12"/>
  <c r="O1197" i="12"/>
  <c r="Z1197" i="12" s="1"/>
  <c r="Q1197" i="12"/>
  <c r="S1197" i="12"/>
  <c r="Y1197" i="12"/>
  <c r="AA1197" i="12"/>
  <c r="AF1197" i="12"/>
  <c r="A1198" i="12"/>
  <c r="O1198" i="12"/>
  <c r="Q1198" i="12"/>
  <c r="S1198" i="12"/>
  <c r="Y1198" i="12"/>
  <c r="AA1198" i="12"/>
  <c r="AF1198" i="12"/>
  <c r="A1199" i="12"/>
  <c r="O1199" i="12"/>
  <c r="Q1199" i="12"/>
  <c r="S1199" i="12"/>
  <c r="Y1199" i="12"/>
  <c r="AA1199" i="12"/>
  <c r="AF1199" i="12"/>
  <c r="A1200" i="12"/>
  <c r="O1200" i="12"/>
  <c r="Z1200" i="12" s="1"/>
  <c r="Q1200" i="12"/>
  <c r="S1200" i="12"/>
  <c r="Y1200" i="12"/>
  <c r="AA1200" i="12"/>
  <c r="AF1200" i="12"/>
  <c r="A1201" i="12"/>
  <c r="O1201" i="12"/>
  <c r="Z1201" i="12" s="1"/>
  <c r="Q1201" i="12"/>
  <c r="S1201" i="12"/>
  <c r="Y1201" i="12"/>
  <c r="AA1201" i="12"/>
  <c r="AF1201" i="12"/>
  <c r="A1202" i="12"/>
  <c r="O1202" i="12"/>
  <c r="U1202" i="12" s="1"/>
  <c r="Q1202" i="12"/>
  <c r="S1202" i="12"/>
  <c r="Y1202" i="12"/>
  <c r="AA1202" i="12"/>
  <c r="AF1202" i="12"/>
  <c r="A1203" i="12"/>
  <c r="O1203" i="12"/>
  <c r="U1203" i="12" s="1"/>
  <c r="Q1203" i="12"/>
  <c r="S1203" i="12"/>
  <c r="Y1203" i="12"/>
  <c r="AA1203" i="12"/>
  <c r="AF1203" i="12"/>
  <c r="A1204" i="12"/>
  <c r="O1204" i="12"/>
  <c r="Z1204" i="12" s="1"/>
  <c r="Q1204" i="12"/>
  <c r="S1204" i="12"/>
  <c r="Y1204" i="12"/>
  <c r="AA1204" i="12"/>
  <c r="AF1204" i="12"/>
  <c r="A1205" i="12"/>
  <c r="O1205" i="12"/>
  <c r="Q1205" i="12"/>
  <c r="S1205" i="12"/>
  <c r="Y1205" i="12"/>
  <c r="AA1205" i="12"/>
  <c r="AF1205" i="12"/>
  <c r="A1206" i="12"/>
  <c r="O1206" i="12"/>
  <c r="U1206" i="12" s="1"/>
  <c r="Q1206" i="12"/>
  <c r="S1206" i="12"/>
  <c r="Y1206" i="12"/>
  <c r="AA1206" i="12"/>
  <c r="AF1206" i="12"/>
  <c r="A1207" i="12"/>
  <c r="O1207" i="12"/>
  <c r="U1207" i="12" s="1"/>
  <c r="Q1207" i="12"/>
  <c r="S1207" i="12"/>
  <c r="Y1207" i="12"/>
  <c r="AA1207" i="12"/>
  <c r="AF1207" i="12"/>
  <c r="A1208" i="12"/>
  <c r="O1208" i="12"/>
  <c r="Z1208" i="12" s="1"/>
  <c r="Q1208" i="12"/>
  <c r="S1208" i="12"/>
  <c r="Y1208" i="12"/>
  <c r="AA1208" i="12"/>
  <c r="AF1208" i="12"/>
  <c r="A1209" i="12"/>
  <c r="O1209" i="12"/>
  <c r="U1209" i="12" s="1"/>
  <c r="Q1209" i="12"/>
  <c r="S1209" i="12"/>
  <c r="Y1209" i="12"/>
  <c r="AA1209" i="12"/>
  <c r="AF1209" i="12"/>
  <c r="A1210" i="12"/>
  <c r="O1210" i="12"/>
  <c r="U1210" i="12" s="1"/>
  <c r="Q1210" i="12"/>
  <c r="S1210" i="12"/>
  <c r="Y1210" i="12"/>
  <c r="AA1210" i="12"/>
  <c r="AF1210" i="12"/>
  <c r="A1211" i="12"/>
  <c r="O1211" i="12"/>
  <c r="U1211" i="12" s="1"/>
  <c r="Q1211" i="12"/>
  <c r="S1211" i="12"/>
  <c r="Y1211" i="12"/>
  <c r="AA1211" i="12"/>
  <c r="AF1211" i="12"/>
  <c r="A1212" i="12"/>
  <c r="O1212" i="12"/>
  <c r="Z1212" i="12" s="1"/>
  <c r="Q1212" i="12"/>
  <c r="S1212" i="12"/>
  <c r="Y1212" i="12"/>
  <c r="AA1212" i="12"/>
  <c r="AF1212" i="12"/>
  <c r="A1213" i="12"/>
  <c r="O1213" i="12"/>
  <c r="Z1213" i="12" s="1"/>
  <c r="Q1213" i="12"/>
  <c r="S1213" i="12"/>
  <c r="Y1213" i="12"/>
  <c r="AA1213" i="12"/>
  <c r="AF1213" i="12"/>
  <c r="A1214" i="12"/>
  <c r="O1214" i="12"/>
  <c r="Q1214" i="12"/>
  <c r="S1214" i="12"/>
  <c r="Y1214" i="12"/>
  <c r="AA1214" i="12"/>
  <c r="AF1214" i="12"/>
  <c r="A1215" i="12"/>
  <c r="O1215" i="12"/>
  <c r="U1215" i="12" s="1"/>
  <c r="Q1215" i="12"/>
  <c r="S1215" i="12"/>
  <c r="Y1215" i="12"/>
  <c r="AA1215" i="12"/>
  <c r="AF1215" i="12"/>
  <c r="A1216" i="12"/>
  <c r="O1216" i="12"/>
  <c r="Z1216" i="12" s="1"/>
  <c r="Q1216" i="12"/>
  <c r="S1216" i="12"/>
  <c r="Y1216" i="12"/>
  <c r="AA1216" i="12"/>
  <c r="AF1216" i="12"/>
  <c r="A1217" i="12"/>
  <c r="O1217" i="12"/>
  <c r="U1217" i="12" s="1"/>
  <c r="Q1217" i="12"/>
  <c r="S1217" i="12"/>
  <c r="Y1217" i="12"/>
  <c r="AA1217" i="12"/>
  <c r="AF1217" i="12"/>
  <c r="A1218" i="12"/>
  <c r="O1218" i="12"/>
  <c r="Z1218" i="12" s="1"/>
  <c r="Q1218" i="12"/>
  <c r="S1218" i="12"/>
  <c r="Y1218" i="12"/>
  <c r="AA1218" i="12"/>
  <c r="AF1218" i="12"/>
  <c r="A1219" i="12"/>
  <c r="O1219" i="12"/>
  <c r="U1219" i="12" s="1"/>
  <c r="Q1219" i="12"/>
  <c r="S1219" i="12"/>
  <c r="Y1219" i="12"/>
  <c r="AA1219" i="12"/>
  <c r="AF1219" i="12"/>
  <c r="A1220" i="12"/>
  <c r="O1220" i="12"/>
  <c r="Z1220" i="12" s="1"/>
  <c r="Q1220" i="12"/>
  <c r="S1220" i="12"/>
  <c r="Y1220" i="12"/>
  <c r="AA1220" i="12"/>
  <c r="AF1220" i="12"/>
  <c r="A1221" i="12"/>
  <c r="O1221" i="12"/>
  <c r="Z1221" i="12" s="1"/>
  <c r="Q1221" i="12"/>
  <c r="S1221" i="12"/>
  <c r="Y1221" i="12"/>
  <c r="AA1221" i="12"/>
  <c r="AF1221" i="12"/>
  <c r="A1222" i="12"/>
  <c r="O1222" i="12"/>
  <c r="U1222" i="12" s="1"/>
  <c r="Q1222" i="12"/>
  <c r="S1222" i="12"/>
  <c r="Y1222" i="12"/>
  <c r="AA1222" i="12"/>
  <c r="AF1222" i="12"/>
  <c r="A1223" i="12"/>
  <c r="O1223" i="12"/>
  <c r="U1223" i="12" s="1"/>
  <c r="Q1223" i="12"/>
  <c r="S1223" i="12"/>
  <c r="Y1223" i="12"/>
  <c r="AA1223" i="12"/>
  <c r="AF1223" i="12"/>
  <c r="A1224" i="12"/>
  <c r="O1224" i="12"/>
  <c r="Z1224" i="12" s="1"/>
  <c r="Q1224" i="12"/>
  <c r="S1224" i="12"/>
  <c r="Y1224" i="12"/>
  <c r="AA1224" i="12"/>
  <c r="AF1224" i="12"/>
  <c r="A1225" i="12"/>
  <c r="O1225" i="12"/>
  <c r="Z1225" i="12" s="1"/>
  <c r="Q1225" i="12"/>
  <c r="S1225" i="12"/>
  <c r="Y1225" i="12"/>
  <c r="AA1225" i="12"/>
  <c r="AF1225" i="12"/>
  <c r="A1226" i="12"/>
  <c r="O1226" i="12"/>
  <c r="Z1226" i="12" s="1"/>
  <c r="Q1226" i="12"/>
  <c r="S1226" i="12"/>
  <c r="U1226" i="12"/>
  <c r="Y1226" i="12"/>
  <c r="AA1226" i="12"/>
  <c r="AF1226" i="12"/>
  <c r="A1227" i="12"/>
  <c r="O1227" i="12"/>
  <c r="U1227" i="12" s="1"/>
  <c r="Q1227" i="12"/>
  <c r="S1227" i="12"/>
  <c r="Y1227" i="12"/>
  <c r="AA1227" i="12"/>
  <c r="AF1227" i="12"/>
  <c r="A1228" i="12"/>
  <c r="O1228" i="12"/>
  <c r="Z1228" i="12" s="1"/>
  <c r="Q1228" i="12"/>
  <c r="S1228" i="12"/>
  <c r="Y1228" i="12"/>
  <c r="AA1228" i="12"/>
  <c r="AF1228" i="12"/>
  <c r="A1229" i="12"/>
  <c r="O1229" i="12"/>
  <c r="Z1229" i="12" s="1"/>
  <c r="Q1229" i="12"/>
  <c r="S1229" i="12"/>
  <c r="Y1229" i="12"/>
  <c r="AA1229" i="12"/>
  <c r="AF1229" i="12"/>
  <c r="A1230" i="12"/>
  <c r="O1230" i="12"/>
  <c r="U1230" i="12" s="1"/>
  <c r="Q1230" i="12"/>
  <c r="S1230" i="12"/>
  <c r="Y1230" i="12"/>
  <c r="AA1230" i="12"/>
  <c r="AF1230" i="12"/>
  <c r="A1231" i="12"/>
  <c r="O1231" i="12"/>
  <c r="U1231" i="12" s="1"/>
  <c r="Q1231" i="12"/>
  <c r="S1231" i="12"/>
  <c r="Y1231" i="12"/>
  <c r="AA1231" i="12"/>
  <c r="AF1231" i="12"/>
  <c r="A1232" i="12"/>
  <c r="O1232" i="12"/>
  <c r="Z1232" i="12" s="1"/>
  <c r="Q1232" i="12"/>
  <c r="S1232" i="12"/>
  <c r="Y1232" i="12"/>
  <c r="AA1232" i="12"/>
  <c r="AF1232" i="12"/>
  <c r="A1233" i="12"/>
  <c r="O1233" i="12"/>
  <c r="U1233" i="12" s="1"/>
  <c r="Q1233" i="12"/>
  <c r="S1233" i="12"/>
  <c r="Y1233" i="12"/>
  <c r="Z1233" i="12"/>
  <c r="AA1233" i="12"/>
  <c r="AF1233" i="12"/>
  <c r="A1234" i="12"/>
  <c r="O1234" i="12"/>
  <c r="Z1234" i="12" s="1"/>
  <c r="Q1234" i="12"/>
  <c r="S1234" i="12"/>
  <c r="Y1234" i="12"/>
  <c r="AA1234" i="12"/>
  <c r="AF1234" i="12"/>
  <c r="A1235" i="12"/>
  <c r="O1235" i="12"/>
  <c r="Q1235" i="12"/>
  <c r="S1235" i="12"/>
  <c r="Y1235" i="12"/>
  <c r="AA1235" i="12"/>
  <c r="AF1235" i="12"/>
  <c r="A1236" i="12"/>
  <c r="O1236" i="12"/>
  <c r="Z1236" i="12" s="1"/>
  <c r="Q1236" i="12"/>
  <c r="S1236" i="12"/>
  <c r="Y1236" i="12"/>
  <c r="AA1236" i="12"/>
  <c r="AF1236" i="12"/>
  <c r="A1237" i="12"/>
  <c r="O1237" i="12"/>
  <c r="Z1237" i="12" s="1"/>
  <c r="Q1237" i="12"/>
  <c r="S1237" i="12"/>
  <c r="Y1237" i="12"/>
  <c r="AA1237" i="12"/>
  <c r="AF1237" i="12"/>
  <c r="A1238" i="12"/>
  <c r="O1238" i="12"/>
  <c r="U1238" i="12" s="1"/>
  <c r="Q1238" i="12"/>
  <c r="S1238" i="12"/>
  <c r="Y1238" i="12"/>
  <c r="AA1238" i="12"/>
  <c r="AF1238" i="12"/>
  <c r="A1239" i="12"/>
  <c r="O1239" i="12"/>
  <c r="U1239" i="12" s="1"/>
  <c r="Q1239" i="12"/>
  <c r="S1239" i="12"/>
  <c r="Y1239" i="12"/>
  <c r="AA1239" i="12"/>
  <c r="AF1239" i="12"/>
  <c r="A1240" i="12"/>
  <c r="O1240" i="12"/>
  <c r="Z1240" i="12" s="1"/>
  <c r="Q1240" i="12"/>
  <c r="S1240" i="12"/>
  <c r="Y1240" i="12"/>
  <c r="AA1240" i="12"/>
  <c r="AF1240" i="12"/>
  <c r="A1241" i="12"/>
  <c r="O1241" i="12"/>
  <c r="Z1241" i="12" s="1"/>
  <c r="Q1241" i="12"/>
  <c r="S1241" i="12"/>
  <c r="U1241" i="12"/>
  <c r="Y1241" i="12"/>
  <c r="AA1241" i="12"/>
  <c r="AF1241" i="12"/>
  <c r="A1242" i="12"/>
  <c r="O1242" i="12"/>
  <c r="Z1242" i="12" s="1"/>
  <c r="Q1242" i="12"/>
  <c r="S1242" i="12"/>
  <c r="U1242" i="12"/>
  <c r="Y1242" i="12"/>
  <c r="AA1242" i="12"/>
  <c r="AF1242" i="12"/>
  <c r="A1243" i="12"/>
  <c r="O1243" i="12"/>
  <c r="U1243" i="12" s="1"/>
  <c r="Q1243" i="12"/>
  <c r="S1243" i="12"/>
  <c r="Y1243" i="12"/>
  <c r="AA1243" i="12"/>
  <c r="AF1243" i="12"/>
  <c r="A1244" i="12"/>
  <c r="O1244" i="12"/>
  <c r="Z1244" i="12" s="1"/>
  <c r="Q1244" i="12"/>
  <c r="S1244" i="12"/>
  <c r="Y1244" i="12"/>
  <c r="AA1244" i="12"/>
  <c r="AF1244" i="12"/>
  <c r="A1245" i="12"/>
  <c r="O1245" i="12"/>
  <c r="Z1245" i="12" s="1"/>
  <c r="Q1245" i="12"/>
  <c r="S1245" i="12"/>
  <c r="Y1245" i="12"/>
  <c r="AA1245" i="12"/>
  <c r="AF1245" i="12"/>
  <c r="A1246" i="12"/>
  <c r="O1246" i="12"/>
  <c r="U1246" i="12" s="1"/>
  <c r="Q1246" i="12"/>
  <c r="S1246" i="12"/>
  <c r="Y1246" i="12"/>
  <c r="AA1246" i="12"/>
  <c r="AF1246" i="12"/>
  <c r="A1247" i="12"/>
  <c r="O1247" i="12"/>
  <c r="U1247" i="12" s="1"/>
  <c r="Q1247" i="12"/>
  <c r="S1247" i="12"/>
  <c r="Y1247" i="12"/>
  <c r="AA1247" i="12"/>
  <c r="AF1247" i="12"/>
  <c r="A1248" i="12"/>
  <c r="O1248" i="12"/>
  <c r="Z1248" i="12" s="1"/>
  <c r="Q1248" i="12"/>
  <c r="S1248" i="12"/>
  <c r="Y1248" i="12"/>
  <c r="AA1248" i="12"/>
  <c r="AF1248" i="12"/>
  <c r="A1249" i="12"/>
  <c r="O1249" i="12"/>
  <c r="U1249" i="12" s="1"/>
  <c r="Q1249" i="12"/>
  <c r="S1249" i="12"/>
  <c r="Y1249" i="12"/>
  <c r="AA1249" i="12"/>
  <c r="AF1249" i="12"/>
  <c r="A1250" i="12"/>
  <c r="O1250" i="12"/>
  <c r="U1250" i="12" s="1"/>
  <c r="Q1250" i="12"/>
  <c r="S1250" i="12"/>
  <c r="Y1250" i="12"/>
  <c r="Z1250" i="12"/>
  <c r="AA1250" i="12"/>
  <c r="AF1250" i="12"/>
  <c r="A1251" i="12"/>
  <c r="O1251" i="12"/>
  <c r="U1251" i="12" s="1"/>
  <c r="Q1251" i="12"/>
  <c r="S1251" i="12"/>
  <c r="Y1251" i="12"/>
  <c r="AA1251" i="12"/>
  <c r="AF1251" i="12"/>
  <c r="A1252" i="12"/>
  <c r="O1252" i="12"/>
  <c r="Z1252" i="12" s="1"/>
  <c r="Q1252" i="12"/>
  <c r="S1252" i="12"/>
  <c r="U1252" i="12"/>
  <c r="Y1252" i="12"/>
  <c r="AA1252" i="12"/>
  <c r="AF1252" i="12"/>
  <c r="A1253" i="12"/>
  <c r="O1253" i="12"/>
  <c r="Z1253" i="12" s="1"/>
  <c r="Q1253" i="12"/>
  <c r="S1253" i="12"/>
  <c r="U1253" i="12"/>
  <c r="Y1253" i="12"/>
  <c r="AA1253" i="12"/>
  <c r="AF1253" i="12"/>
  <c r="A1254" i="12"/>
  <c r="O1254" i="12"/>
  <c r="U1254" i="12" s="1"/>
  <c r="Q1254" i="12"/>
  <c r="S1254" i="12"/>
  <c r="Y1254" i="12"/>
  <c r="AA1254" i="12"/>
  <c r="AF1254" i="12"/>
  <c r="A1255" i="12"/>
  <c r="O1255" i="12"/>
  <c r="U1255" i="12" s="1"/>
  <c r="Q1255" i="12"/>
  <c r="S1255" i="12"/>
  <c r="Y1255" i="12"/>
  <c r="AA1255" i="12"/>
  <c r="AF1255" i="12"/>
  <c r="A1256" i="12"/>
  <c r="O1256" i="12"/>
  <c r="Z1256" i="12" s="1"/>
  <c r="Q1256" i="12"/>
  <c r="S1256" i="12"/>
  <c r="U1256" i="12"/>
  <c r="Y1256" i="12"/>
  <c r="AA1256" i="12"/>
  <c r="AF1256" i="12"/>
  <c r="A1257" i="12"/>
  <c r="O1257" i="12"/>
  <c r="Z1257" i="12" s="1"/>
  <c r="Q1257" i="12"/>
  <c r="S1257" i="12"/>
  <c r="U1257" i="12"/>
  <c r="Y1257" i="12"/>
  <c r="AA1257" i="12"/>
  <c r="AF1257" i="12"/>
  <c r="A1258" i="12"/>
  <c r="O1258" i="12"/>
  <c r="Z1258" i="12" s="1"/>
  <c r="Q1258" i="12"/>
  <c r="S1258" i="12"/>
  <c r="U1258" i="12"/>
  <c r="Y1258" i="12"/>
  <c r="AA1258" i="12"/>
  <c r="AF1258" i="12"/>
  <c r="A1259" i="12"/>
  <c r="O1259" i="12"/>
  <c r="U1259" i="12" s="1"/>
  <c r="Q1259" i="12"/>
  <c r="S1259" i="12"/>
  <c r="Y1259" i="12"/>
  <c r="AA1259" i="12"/>
  <c r="AF1259" i="12"/>
  <c r="A1260" i="12"/>
  <c r="O1260" i="12"/>
  <c r="Z1260" i="12" s="1"/>
  <c r="Q1260" i="12"/>
  <c r="S1260" i="12"/>
  <c r="Y1260" i="12"/>
  <c r="AA1260" i="12"/>
  <c r="AF1260" i="12"/>
  <c r="A1261" i="12"/>
  <c r="O1261" i="12"/>
  <c r="Z1261" i="12" s="1"/>
  <c r="Q1261" i="12"/>
  <c r="S1261" i="12"/>
  <c r="U1261" i="12"/>
  <c r="Y1261" i="12"/>
  <c r="AA1261" i="12"/>
  <c r="AF1261" i="12"/>
  <c r="A1262" i="12"/>
  <c r="O1262" i="12"/>
  <c r="U1262" i="12" s="1"/>
  <c r="Q1262" i="12"/>
  <c r="S1262" i="12"/>
  <c r="Y1262" i="12"/>
  <c r="AA1262" i="12"/>
  <c r="AF1262" i="12"/>
  <c r="A1263" i="12"/>
  <c r="O1263" i="12"/>
  <c r="U1263" i="12" s="1"/>
  <c r="Q1263" i="12"/>
  <c r="S1263" i="12"/>
  <c r="Y1263" i="12"/>
  <c r="AA1263" i="12"/>
  <c r="AF1263" i="12"/>
  <c r="A1264" i="12"/>
  <c r="O1264" i="12"/>
  <c r="Z1264" i="12" s="1"/>
  <c r="Q1264" i="12"/>
  <c r="S1264" i="12"/>
  <c r="Y1264" i="12"/>
  <c r="AA1264" i="12"/>
  <c r="AF1264" i="12"/>
  <c r="A1265" i="12"/>
  <c r="O1265" i="12"/>
  <c r="U1265" i="12" s="1"/>
  <c r="Q1265" i="12"/>
  <c r="S1265" i="12"/>
  <c r="Y1265" i="12"/>
  <c r="AA1265" i="12"/>
  <c r="AF1265" i="12"/>
  <c r="A1266" i="12"/>
  <c r="O1266" i="12"/>
  <c r="Q1266" i="12"/>
  <c r="S1266" i="12"/>
  <c r="U1266" i="12"/>
  <c r="Y1266" i="12"/>
  <c r="Z1266" i="12"/>
  <c r="AA1266" i="12"/>
  <c r="AF1266" i="12"/>
  <c r="A1267" i="12"/>
  <c r="O1267" i="12"/>
  <c r="Z1267" i="12" s="1"/>
  <c r="Q1267" i="12"/>
  <c r="S1267" i="12"/>
  <c r="Y1267" i="12"/>
  <c r="AA1267" i="12"/>
  <c r="AF1267" i="12"/>
  <c r="A1268" i="12"/>
  <c r="O1268" i="12"/>
  <c r="Z1268" i="12" s="1"/>
  <c r="Q1268" i="12"/>
  <c r="S1268" i="12"/>
  <c r="Y1268" i="12"/>
  <c r="AA1268" i="12"/>
  <c r="AF1268" i="12"/>
  <c r="A1269" i="12"/>
  <c r="O1269" i="12"/>
  <c r="Z1269" i="12" s="1"/>
  <c r="Q1269" i="12"/>
  <c r="S1269" i="12"/>
  <c r="Y1269" i="12"/>
  <c r="AA1269" i="12"/>
  <c r="AF1269" i="12"/>
  <c r="A1270" i="12"/>
  <c r="O1270" i="12"/>
  <c r="U1270" i="12" s="1"/>
  <c r="Q1270" i="12"/>
  <c r="S1270" i="12"/>
  <c r="Y1270" i="12"/>
  <c r="AA1270" i="12"/>
  <c r="AF1270" i="12"/>
  <c r="A1271" i="12"/>
  <c r="O1271" i="12"/>
  <c r="U1271" i="12" s="1"/>
  <c r="Q1271" i="12"/>
  <c r="S1271" i="12"/>
  <c r="Y1271" i="12"/>
  <c r="AA1271" i="12"/>
  <c r="AF1271" i="12"/>
  <c r="A1272" i="12"/>
  <c r="O1272" i="12"/>
  <c r="Z1272" i="12" s="1"/>
  <c r="Q1272" i="12"/>
  <c r="S1272" i="12"/>
  <c r="Y1272" i="12"/>
  <c r="AA1272" i="12"/>
  <c r="AF1272" i="12"/>
  <c r="A1273" i="12"/>
  <c r="O1273" i="12"/>
  <c r="Q1273" i="12"/>
  <c r="S1273" i="12"/>
  <c r="U1273" i="12"/>
  <c r="Y1273" i="12"/>
  <c r="Z1273" i="12"/>
  <c r="AA1273" i="12"/>
  <c r="AF1273" i="12"/>
  <c r="A1274" i="12"/>
  <c r="O1274" i="12"/>
  <c r="U1274" i="12" s="1"/>
  <c r="Q1274" i="12"/>
  <c r="S1274" i="12"/>
  <c r="Y1274" i="12"/>
  <c r="AA1274" i="12"/>
  <c r="AF1274" i="12"/>
  <c r="A1275" i="12"/>
  <c r="O1275" i="12"/>
  <c r="Z1275" i="12" s="1"/>
  <c r="Q1275" i="12"/>
  <c r="S1275" i="12"/>
  <c r="U1275" i="12"/>
  <c r="Y1275" i="12"/>
  <c r="AA1275" i="12"/>
  <c r="AF1275" i="12"/>
  <c r="A1276" i="12"/>
  <c r="O1276" i="12"/>
  <c r="Z1276" i="12" s="1"/>
  <c r="Q1276" i="12"/>
  <c r="S1276" i="12"/>
  <c r="U1276" i="12"/>
  <c r="Y1276" i="12"/>
  <c r="AA1276" i="12"/>
  <c r="AF1276" i="12"/>
  <c r="A1277" i="12"/>
  <c r="O1277" i="12"/>
  <c r="Z1277" i="12" s="1"/>
  <c r="Q1277" i="12"/>
  <c r="S1277" i="12"/>
  <c r="U1277" i="12"/>
  <c r="Y1277" i="12"/>
  <c r="AA1277" i="12"/>
  <c r="AF1277" i="12"/>
  <c r="A1278" i="12"/>
  <c r="O1278" i="12"/>
  <c r="U1278" i="12" s="1"/>
  <c r="Q1278" i="12"/>
  <c r="S1278" i="12"/>
  <c r="Y1278" i="12"/>
  <c r="AA1278" i="12"/>
  <c r="AF1278" i="12"/>
  <c r="A1279" i="12"/>
  <c r="O1279" i="12"/>
  <c r="U1279" i="12" s="1"/>
  <c r="Q1279" i="12"/>
  <c r="S1279" i="12"/>
  <c r="Y1279" i="12"/>
  <c r="AA1279" i="12"/>
  <c r="AF1279" i="12"/>
  <c r="A1280" i="12"/>
  <c r="O1280" i="12"/>
  <c r="Q1280" i="12"/>
  <c r="S1280" i="12"/>
  <c r="U1280" i="12"/>
  <c r="Y1280" i="12"/>
  <c r="Z1280" i="12"/>
  <c r="AA1280" i="12"/>
  <c r="AF1280" i="12"/>
  <c r="A1281" i="12"/>
  <c r="O1281" i="12"/>
  <c r="Z1281" i="12" s="1"/>
  <c r="Q1281" i="12"/>
  <c r="S1281" i="12"/>
  <c r="Y1281" i="12"/>
  <c r="AA1281" i="12"/>
  <c r="AF1281" i="12"/>
  <c r="A1282" i="12"/>
  <c r="O1282" i="12"/>
  <c r="U1282" i="12" s="1"/>
  <c r="Q1282" i="12"/>
  <c r="S1282" i="12"/>
  <c r="Y1282" i="12"/>
  <c r="AA1282" i="12"/>
  <c r="AF1282" i="12"/>
  <c r="A1283" i="12"/>
  <c r="O1283" i="12"/>
  <c r="U1283" i="12" s="1"/>
  <c r="Q1283" i="12"/>
  <c r="S1283" i="12"/>
  <c r="Y1283" i="12"/>
  <c r="AA1283" i="12"/>
  <c r="AF1283" i="12"/>
  <c r="A1284" i="12"/>
  <c r="O1284" i="12"/>
  <c r="Z1284" i="12" s="1"/>
  <c r="Q1284" i="12"/>
  <c r="S1284" i="12"/>
  <c r="Y1284" i="12"/>
  <c r="AA1284" i="12"/>
  <c r="AF1284" i="12"/>
  <c r="A1285" i="12"/>
  <c r="O1285" i="12"/>
  <c r="Z1285" i="12" s="1"/>
  <c r="Q1285" i="12"/>
  <c r="S1285" i="12"/>
  <c r="Y1285" i="12"/>
  <c r="AA1285" i="12"/>
  <c r="AF1285" i="12"/>
  <c r="A1286" i="12"/>
  <c r="O1286" i="12"/>
  <c r="U1286" i="12" s="1"/>
  <c r="Q1286" i="12"/>
  <c r="S1286" i="12"/>
  <c r="Y1286" i="12"/>
  <c r="AA1286" i="12"/>
  <c r="AF1286" i="12"/>
  <c r="A1287" i="12"/>
  <c r="O1287" i="12"/>
  <c r="U1287" i="12" s="1"/>
  <c r="Q1287" i="12"/>
  <c r="S1287" i="12"/>
  <c r="Y1287" i="12"/>
  <c r="AA1287" i="12"/>
  <c r="AF1287" i="12"/>
  <c r="A1288" i="12"/>
  <c r="O1288" i="12"/>
  <c r="U1288" i="12" s="1"/>
  <c r="Q1288" i="12"/>
  <c r="S1288" i="12"/>
  <c r="Y1288" i="12"/>
  <c r="AA1288" i="12"/>
  <c r="AF1288" i="12"/>
  <c r="A1289" i="12"/>
  <c r="O1289" i="12"/>
  <c r="Z1289" i="12" s="1"/>
  <c r="Q1289" i="12"/>
  <c r="S1289" i="12"/>
  <c r="U1289" i="12"/>
  <c r="Y1289" i="12"/>
  <c r="AA1289" i="12"/>
  <c r="AF1289" i="12"/>
  <c r="A1290" i="12"/>
  <c r="O1290" i="12"/>
  <c r="Q1290" i="12"/>
  <c r="S1290" i="12"/>
  <c r="U1290" i="12"/>
  <c r="Y1290" i="12"/>
  <c r="Z1290" i="12"/>
  <c r="AA1290" i="12"/>
  <c r="AF1290" i="12"/>
  <c r="A1291" i="12"/>
  <c r="O1291" i="12"/>
  <c r="Q1291" i="12"/>
  <c r="S1291" i="12"/>
  <c r="Y1291" i="12"/>
  <c r="AA1291" i="12"/>
  <c r="AF1291" i="12"/>
  <c r="A1292" i="12"/>
  <c r="O1292" i="12"/>
  <c r="Q1292" i="12"/>
  <c r="S1292" i="12"/>
  <c r="Y1292" i="12"/>
  <c r="AA1292" i="12"/>
  <c r="AF1292" i="12"/>
  <c r="A1293" i="12"/>
  <c r="O1293" i="12"/>
  <c r="Q1293" i="12"/>
  <c r="S1293" i="12"/>
  <c r="Y1293" i="12"/>
  <c r="AA1293" i="12"/>
  <c r="AF1293" i="12"/>
  <c r="A1294" i="12"/>
  <c r="O1294" i="12"/>
  <c r="U1294" i="12" s="1"/>
  <c r="Q1294" i="12"/>
  <c r="S1294" i="12"/>
  <c r="Y1294" i="12"/>
  <c r="AA1294" i="12"/>
  <c r="AF1294" i="12"/>
  <c r="A1295" i="12"/>
  <c r="O1295" i="12"/>
  <c r="U1295" i="12" s="1"/>
  <c r="Q1295" i="12"/>
  <c r="S1295" i="12"/>
  <c r="Y1295" i="12"/>
  <c r="AA1295" i="12"/>
  <c r="AF1295" i="12"/>
  <c r="A1296" i="12"/>
  <c r="O1296" i="12"/>
  <c r="U1296" i="12" s="1"/>
  <c r="Q1296" i="12"/>
  <c r="S1296" i="12"/>
  <c r="Y1296" i="12"/>
  <c r="AA1296" i="12"/>
  <c r="AF1296" i="12"/>
  <c r="A1297" i="12"/>
  <c r="O1297" i="12"/>
  <c r="U1297" i="12" s="1"/>
  <c r="Q1297" i="12"/>
  <c r="S1297" i="12"/>
  <c r="Y1297" i="12"/>
  <c r="AA1297" i="12"/>
  <c r="AF1297" i="12"/>
  <c r="A1298" i="12"/>
  <c r="O1298" i="12"/>
  <c r="U1298" i="12" s="1"/>
  <c r="Q1298" i="12"/>
  <c r="S1298" i="12"/>
  <c r="Y1298" i="12"/>
  <c r="AA1298" i="12"/>
  <c r="AF1298" i="12"/>
  <c r="A1299" i="12"/>
  <c r="O1299" i="12"/>
  <c r="U1299" i="12" s="1"/>
  <c r="Q1299" i="12"/>
  <c r="S1299" i="12"/>
  <c r="Y1299" i="12"/>
  <c r="AA1299" i="12"/>
  <c r="AF1299" i="12"/>
  <c r="A1300" i="12"/>
  <c r="O1300" i="12"/>
  <c r="Z1300" i="12" s="1"/>
  <c r="Q1300" i="12"/>
  <c r="S1300" i="12"/>
  <c r="Y1300" i="12"/>
  <c r="AA1300" i="12"/>
  <c r="AF1300" i="12"/>
  <c r="A1301" i="12"/>
  <c r="O1301" i="12"/>
  <c r="Z1301" i="12" s="1"/>
  <c r="Q1301" i="12"/>
  <c r="S1301" i="12"/>
  <c r="Y1301" i="12"/>
  <c r="AA1301" i="12"/>
  <c r="AF1301" i="12"/>
  <c r="A1302" i="12"/>
  <c r="O1302" i="12"/>
  <c r="U1302" i="12" s="1"/>
  <c r="Q1302" i="12"/>
  <c r="S1302" i="12"/>
  <c r="Y1302" i="12"/>
  <c r="AA1302" i="12"/>
  <c r="AF1302" i="12"/>
  <c r="A1303" i="12"/>
  <c r="O1303" i="12"/>
  <c r="U1303" i="12" s="1"/>
  <c r="Q1303" i="12"/>
  <c r="S1303" i="12"/>
  <c r="Y1303" i="12"/>
  <c r="AA1303" i="12"/>
  <c r="AF1303" i="12"/>
  <c r="A1304" i="12"/>
  <c r="O1304" i="12"/>
  <c r="U1304" i="12" s="1"/>
  <c r="Q1304" i="12"/>
  <c r="S1304" i="12"/>
  <c r="Y1304" i="12"/>
  <c r="AA1304" i="12"/>
  <c r="AF1304" i="12"/>
  <c r="A1305" i="12"/>
  <c r="O1305" i="12"/>
  <c r="U1305" i="12" s="1"/>
  <c r="Q1305" i="12"/>
  <c r="S1305" i="12"/>
  <c r="Y1305" i="12"/>
  <c r="AA1305" i="12"/>
  <c r="AF1305" i="12"/>
  <c r="A1306" i="12"/>
  <c r="O1306" i="12"/>
  <c r="U1306" i="12" s="1"/>
  <c r="Q1306" i="12"/>
  <c r="S1306" i="12"/>
  <c r="Y1306" i="12"/>
  <c r="Z1306" i="12"/>
  <c r="AA1306" i="12"/>
  <c r="AF1306" i="12"/>
  <c r="A1307" i="12"/>
  <c r="O1307" i="12"/>
  <c r="Z1307" i="12" s="1"/>
  <c r="Q1307" i="12"/>
  <c r="S1307" i="12"/>
  <c r="Y1307" i="12"/>
  <c r="AA1307" i="12"/>
  <c r="AF1307" i="12"/>
  <c r="A1308" i="12"/>
  <c r="O1308" i="12"/>
  <c r="U1308" i="12" s="1"/>
  <c r="Q1308" i="12"/>
  <c r="S1308" i="12"/>
  <c r="Y1308" i="12"/>
  <c r="AA1308" i="12"/>
  <c r="AF1308" i="12"/>
  <c r="A1309" i="12"/>
  <c r="O1309" i="12"/>
  <c r="Z1309" i="12" s="1"/>
  <c r="Q1309" i="12"/>
  <c r="S1309" i="12"/>
  <c r="Y1309" i="12"/>
  <c r="AA1309" i="12"/>
  <c r="AF1309" i="12"/>
  <c r="A1310" i="12"/>
  <c r="O1310" i="12"/>
  <c r="U1310" i="12" s="1"/>
  <c r="Q1310" i="12"/>
  <c r="S1310" i="12"/>
  <c r="Y1310" i="12"/>
  <c r="AA1310" i="12"/>
  <c r="AF1310" i="12"/>
  <c r="A1311" i="12"/>
  <c r="O1311" i="12"/>
  <c r="U1311" i="12" s="1"/>
  <c r="Q1311" i="12"/>
  <c r="S1311" i="12"/>
  <c r="Y1311" i="12"/>
  <c r="AA1311" i="12"/>
  <c r="AF1311" i="12"/>
  <c r="A1312" i="12"/>
  <c r="O1312" i="12"/>
  <c r="U1312" i="12" s="1"/>
  <c r="Q1312" i="12"/>
  <c r="S1312" i="12"/>
  <c r="Y1312" i="12"/>
  <c r="AA1312" i="12"/>
  <c r="AF1312" i="12"/>
  <c r="A1313" i="12"/>
  <c r="O1313" i="12"/>
  <c r="U1313" i="12" s="1"/>
  <c r="Q1313" i="12"/>
  <c r="S1313" i="12"/>
  <c r="Y1313" i="12"/>
  <c r="AA1313" i="12"/>
  <c r="AF1313" i="12"/>
  <c r="A1314" i="12"/>
  <c r="O1314" i="12"/>
  <c r="Z1314" i="12" s="1"/>
  <c r="Q1314" i="12"/>
  <c r="S1314" i="12"/>
  <c r="Y1314" i="12"/>
  <c r="AA1314" i="12"/>
  <c r="AF1314" i="12"/>
  <c r="A1315" i="12"/>
  <c r="O1315" i="12"/>
  <c r="U1315" i="12" s="1"/>
  <c r="Q1315" i="12"/>
  <c r="S1315" i="12"/>
  <c r="Y1315" i="12"/>
  <c r="AA1315" i="12"/>
  <c r="AF1315" i="12"/>
  <c r="A1316" i="12"/>
  <c r="O1316" i="12"/>
  <c r="U1316" i="12" s="1"/>
  <c r="Q1316" i="12"/>
  <c r="S1316" i="12"/>
  <c r="Y1316" i="12"/>
  <c r="AA1316" i="12"/>
  <c r="AF1316" i="12"/>
  <c r="A1317" i="12"/>
  <c r="O1317" i="12"/>
  <c r="Q1317" i="12"/>
  <c r="S1317" i="12"/>
  <c r="Y1317" i="12"/>
  <c r="AA1317" i="12"/>
  <c r="AF1317" i="12"/>
  <c r="A1318" i="12"/>
  <c r="O1318" i="12"/>
  <c r="Q1318" i="12"/>
  <c r="S1318" i="12"/>
  <c r="Y1318" i="12"/>
  <c r="AA1318" i="12"/>
  <c r="AF1318" i="12"/>
  <c r="A1319" i="12"/>
  <c r="O1319" i="12"/>
  <c r="U1319" i="12" s="1"/>
  <c r="Q1319" i="12"/>
  <c r="S1319" i="12"/>
  <c r="Y1319" i="12"/>
  <c r="Z1319" i="12"/>
  <c r="AA1319" i="12"/>
  <c r="AF1319" i="12"/>
  <c r="A1320" i="12"/>
  <c r="O1320" i="12"/>
  <c r="U1320" i="12" s="1"/>
  <c r="Q1320" i="12"/>
  <c r="S1320" i="12"/>
  <c r="Y1320" i="12"/>
  <c r="Z1320" i="12"/>
  <c r="AA1320" i="12"/>
  <c r="AF1320" i="12"/>
  <c r="A1321" i="12"/>
  <c r="O1321" i="12"/>
  <c r="U1321" i="12" s="1"/>
  <c r="Q1321" i="12"/>
  <c r="S1321" i="12"/>
  <c r="Y1321" i="12"/>
  <c r="Z1321" i="12"/>
  <c r="AA1321" i="12"/>
  <c r="AF1321" i="12"/>
  <c r="A1322" i="12"/>
  <c r="O1322" i="12"/>
  <c r="Z1322" i="12" s="1"/>
  <c r="Q1322" i="12"/>
  <c r="S1322" i="12"/>
  <c r="Y1322" i="12"/>
  <c r="AA1322" i="12"/>
  <c r="AF1322" i="12"/>
  <c r="A1323" i="12"/>
  <c r="O1323" i="12"/>
  <c r="U1323" i="12" s="1"/>
  <c r="Q1323" i="12"/>
  <c r="S1323" i="12"/>
  <c r="Y1323" i="12"/>
  <c r="AA1323" i="12"/>
  <c r="AF1323" i="12"/>
  <c r="A1324" i="12"/>
  <c r="O1324" i="12"/>
  <c r="Z1324" i="12" s="1"/>
  <c r="Q1324" i="12"/>
  <c r="S1324" i="12"/>
  <c r="U1324" i="12"/>
  <c r="Y1324" i="12"/>
  <c r="AA1324" i="12"/>
  <c r="AF1324" i="12"/>
  <c r="A1325" i="12"/>
  <c r="O1325" i="12"/>
  <c r="Z1325" i="12" s="1"/>
  <c r="Q1325" i="12"/>
  <c r="S1325" i="12"/>
  <c r="Y1325" i="12"/>
  <c r="AA1325" i="12"/>
  <c r="AF1325" i="12"/>
  <c r="A1326" i="12"/>
  <c r="O1326" i="12"/>
  <c r="U1326" i="12" s="1"/>
  <c r="Q1326" i="12"/>
  <c r="S1326" i="12"/>
  <c r="Y1326" i="12"/>
  <c r="AA1326" i="12"/>
  <c r="AF1326" i="12"/>
  <c r="A1327" i="12"/>
  <c r="O1327" i="12"/>
  <c r="U1327" i="12" s="1"/>
  <c r="Q1327" i="12"/>
  <c r="S1327" i="12"/>
  <c r="Y1327" i="12"/>
  <c r="AA1327" i="12"/>
  <c r="AF1327" i="12"/>
  <c r="A1328" i="12"/>
  <c r="O1328" i="12"/>
  <c r="U1328" i="12" s="1"/>
  <c r="Q1328" i="12"/>
  <c r="S1328" i="12"/>
  <c r="Y1328" i="12"/>
  <c r="AA1328" i="12"/>
  <c r="AF1328" i="12"/>
  <c r="A1329" i="12"/>
  <c r="O1329" i="12"/>
  <c r="Z1329" i="12" s="1"/>
  <c r="Q1329" i="12"/>
  <c r="S1329" i="12"/>
  <c r="Y1329" i="12"/>
  <c r="AA1329" i="12"/>
  <c r="AF1329" i="12"/>
  <c r="A1330" i="12"/>
  <c r="O1330" i="12"/>
  <c r="Z1330" i="12" s="1"/>
  <c r="Q1330" i="12"/>
  <c r="S1330" i="12"/>
  <c r="Y1330" i="12"/>
  <c r="AA1330" i="12"/>
  <c r="AF1330" i="12"/>
  <c r="A1331" i="12"/>
  <c r="O1331" i="12"/>
  <c r="U1331" i="12" s="1"/>
  <c r="Q1331" i="12"/>
  <c r="S1331" i="12"/>
  <c r="Y1331" i="12"/>
  <c r="AA1331" i="12"/>
  <c r="AF1331" i="12"/>
  <c r="A1332" i="12"/>
  <c r="O1332" i="12"/>
  <c r="U1332" i="12" s="1"/>
  <c r="Q1332" i="12"/>
  <c r="S1332" i="12"/>
  <c r="Y1332" i="12"/>
  <c r="AA1332" i="12"/>
  <c r="AF1332" i="12"/>
  <c r="A1333" i="12"/>
  <c r="O1333" i="12"/>
  <c r="Z1333" i="12" s="1"/>
  <c r="Q1333" i="12"/>
  <c r="S1333" i="12"/>
  <c r="Y1333" i="12"/>
  <c r="AA1333" i="12"/>
  <c r="AF1333" i="12"/>
  <c r="A1334" i="12"/>
  <c r="O1334" i="12"/>
  <c r="U1334" i="12" s="1"/>
  <c r="Q1334" i="12"/>
  <c r="S1334" i="12"/>
  <c r="Y1334" i="12"/>
  <c r="AA1334" i="12"/>
  <c r="AF1334" i="12"/>
  <c r="A1335" i="12"/>
  <c r="O1335" i="12"/>
  <c r="U1335" i="12" s="1"/>
  <c r="Q1335" i="12"/>
  <c r="S1335" i="12"/>
  <c r="Y1335" i="12"/>
  <c r="AA1335" i="12"/>
  <c r="AF1335" i="12"/>
  <c r="A1336" i="12"/>
  <c r="O1336" i="12"/>
  <c r="Q1336" i="12"/>
  <c r="S1336" i="12"/>
  <c r="U1336" i="12"/>
  <c r="Y1336" i="12"/>
  <c r="Z1336" i="12"/>
  <c r="AA1336" i="12"/>
  <c r="AF1336" i="12"/>
  <c r="A1337" i="12"/>
  <c r="O1337" i="12"/>
  <c r="U1337" i="12" s="1"/>
  <c r="Q1337" i="12"/>
  <c r="S1337" i="12"/>
  <c r="Y1337" i="12"/>
  <c r="Z1337" i="12"/>
  <c r="AA1337" i="12"/>
  <c r="AF1337" i="12"/>
  <c r="A1338" i="12"/>
  <c r="O1338" i="12"/>
  <c r="U1338" i="12" s="1"/>
  <c r="Q1338" i="12"/>
  <c r="S1338" i="12"/>
  <c r="Y1338" i="12"/>
  <c r="AA1338" i="12"/>
  <c r="AF1338" i="12"/>
  <c r="A1339" i="12"/>
  <c r="O1339" i="12"/>
  <c r="Z1339" i="12" s="1"/>
  <c r="Q1339" i="12"/>
  <c r="S1339" i="12"/>
  <c r="Y1339" i="12"/>
  <c r="AA1339" i="12"/>
  <c r="AF1339" i="12"/>
  <c r="A1340" i="12"/>
  <c r="O1340" i="12"/>
  <c r="U1340" i="12" s="1"/>
  <c r="Q1340" i="12"/>
  <c r="S1340" i="12"/>
  <c r="Y1340" i="12"/>
  <c r="Z1340" i="12"/>
  <c r="AA1340" i="12"/>
  <c r="AF1340" i="12"/>
  <c r="A1341" i="12"/>
  <c r="O1341" i="12"/>
  <c r="Z1341" i="12" s="1"/>
  <c r="Q1341" i="12"/>
  <c r="S1341" i="12"/>
  <c r="Y1341" i="12"/>
  <c r="AA1341" i="12"/>
  <c r="AF1341" i="12"/>
  <c r="A1342" i="12"/>
  <c r="O1342" i="12"/>
  <c r="U1342" i="12" s="1"/>
  <c r="Q1342" i="12"/>
  <c r="S1342" i="12"/>
  <c r="Y1342" i="12"/>
  <c r="AA1342" i="12"/>
  <c r="AF1342" i="12"/>
  <c r="A1343" i="12"/>
  <c r="O1343" i="12"/>
  <c r="U1343" i="12" s="1"/>
  <c r="Q1343" i="12"/>
  <c r="S1343" i="12"/>
  <c r="Y1343" i="12"/>
  <c r="AA1343" i="12"/>
  <c r="AF1343" i="12"/>
  <c r="A1344" i="12"/>
  <c r="O1344" i="12"/>
  <c r="U1344" i="12" s="1"/>
  <c r="Q1344" i="12"/>
  <c r="S1344" i="12"/>
  <c r="Y1344" i="12"/>
  <c r="AA1344" i="12"/>
  <c r="AF1344" i="12"/>
  <c r="A1345" i="12"/>
  <c r="O1345" i="12"/>
  <c r="U1345" i="12" s="1"/>
  <c r="Q1345" i="12"/>
  <c r="S1345" i="12"/>
  <c r="Y1345" i="12"/>
  <c r="AA1345" i="12"/>
  <c r="AF1345" i="12"/>
  <c r="A1346" i="12"/>
  <c r="O1346" i="12"/>
  <c r="U1346" i="12" s="1"/>
  <c r="Q1346" i="12"/>
  <c r="S1346" i="12"/>
  <c r="Y1346" i="12"/>
  <c r="AA1346" i="12"/>
  <c r="AF1346" i="12"/>
  <c r="A1347" i="12"/>
  <c r="O1347" i="12"/>
  <c r="U1347" i="12" s="1"/>
  <c r="Q1347" i="12"/>
  <c r="S1347" i="12"/>
  <c r="Y1347" i="12"/>
  <c r="Z1347" i="12"/>
  <c r="AA1347" i="12"/>
  <c r="AF1347" i="12"/>
  <c r="A1348" i="12"/>
  <c r="O1348" i="12"/>
  <c r="U1348" i="12" s="1"/>
  <c r="Q1348" i="12"/>
  <c r="S1348" i="12"/>
  <c r="Y1348" i="12"/>
  <c r="Z1348" i="12"/>
  <c r="AA1348" i="12"/>
  <c r="AF1348" i="12"/>
  <c r="A1349" i="12"/>
  <c r="O1349" i="12"/>
  <c r="Z1349" i="12" s="1"/>
  <c r="Q1349" i="12"/>
  <c r="S1349" i="12"/>
  <c r="Y1349" i="12"/>
  <c r="AA1349" i="12"/>
  <c r="AF1349" i="12"/>
  <c r="A1350" i="12"/>
  <c r="O1350" i="12"/>
  <c r="Z1350" i="12" s="1"/>
  <c r="Q1350" i="12"/>
  <c r="S1350" i="12"/>
  <c r="Y1350" i="12"/>
  <c r="AA1350" i="12"/>
  <c r="AF1350" i="12"/>
  <c r="A1351" i="12"/>
  <c r="O1351" i="12"/>
  <c r="U1351" i="12" s="1"/>
  <c r="Q1351" i="12"/>
  <c r="S1351" i="12"/>
  <c r="Y1351" i="12"/>
  <c r="Z1351" i="12"/>
  <c r="AA1351" i="12"/>
  <c r="AF1351" i="12"/>
  <c r="A1352" i="12"/>
  <c r="O1352" i="12"/>
  <c r="U1352" i="12" s="1"/>
  <c r="Q1352" i="12"/>
  <c r="S1352" i="12"/>
  <c r="Y1352" i="12"/>
  <c r="Z1352" i="12"/>
  <c r="AA1352" i="12"/>
  <c r="AF1352" i="12"/>
  <c r="A1353" i="12"/>
  <c r="O1353" i="12"/>
  <c r="U1353" i="12" s="1"/>
  <c r="Q1353" i="12"/>
  <c r="S1353" i="12"/>
  <c r="Y1353" i="12"/>
  <c r="AA1353" i="12"/>
  <c r="AF1353" i="12"/>
  <c r="A1354" i="12"/>
  <c r="O1354" i="12"/>
  <c r="U1354" i="12" s="1"/>
  <c r="Q1354" i="12"/>
  <c r="S1354" i="12"/>
  <c r="Y1354" i="12"/>
  <c r="AA1354" i="12"/>
  <c r="AF1354" i="12"/>
  <c r="A1355" i="12"/>
  <c r="O1355" i="12"/>
  <c r="U1355" i="12" s="1"/>
  <c r="Q1355" i="12"/>
  <c r="S1355" i="12"/>
  <c r="Y1355" i="12"/>
  <c r="AA1355" i="12"/>
  <c r="AF1355" i="12"/>
  <c r="A1356" i="12"/>
  <c r="O1356" i="12"/>
  <c r="U1356" i="12" s="1"/>
  <c r="Q1356" i="12"/>
  <c r="S1356" i="12"/>
  <c r="Y1356" i="12"/>
  <c r="AA1356" i="12"/>
  <c r="AF1356" i="12"/>
  <c r="A1357" i="12"/>
  <c r="O1357" i="12"/>
  <c r="Z1357" i="12" s="1"/>
  <c r="Q1357" i="12"/>
  <c r="S1357" i="12"/>
  <c r="Y1357" i="12"/>
  <c r="AA1357" i="12"/>
  <c r="AF1357" i="12"/>
  <c r="A1358" i="12"/>
  <c r="O1358" i="12"/>
  <c r="U1358" i="12" s="1"/>
  <c r="Q1358" i="12"/>
  <c r="S1358" i="12"/>
  <c r="Y1358" i="12"/>
  <c r="AA1358" i="12"/>
  <c r="AF1358" i="12"/>
  <c r="A1359" i="12"/>
  <c r="O1359" i="12"/>
  <c r="U1359" i="12" s="1"/>
  <c r="Q1359" i="12"/>
  <c r="S1359" i="12"/>
  <c r="Y1359" i="12"/>
  <c r="AA1359" i="12"/>
  <c r="AF1359" i="12"/>
  <c r="A1360" i="12"/>
  <c r="O1360" i="12"/>
  <c r="U1360" i="12" s="1"/>
  <c r="Q1360" i="12"/>
  <c r="S1360" i="12"/>
  <c r="Y1360" i="12"/>
  <c r="AA1360" i="12"/>
  <c r="AF1360" i="12"/>
  <c r="A1361" i="12"/>
  <c r="O1361" i="12"/>
  <c r="Z1361" i="12" s="1"/>
  <c r="Q1361" i="12"/>
  <c r="S1361" i="12"/>
  <c r="Y1361" i="12"/>
  <c r="AA1361" i="12"/>
  <c r="AF1361" i="12"/>
  <c r="A1362" i="12"/>
  <c r="O1362" i="12"/>
  <c r="U1362" i="12" s="1"/>
  <c r="Q1362" i="12"/>
  <c r="S1362" i="12"/>
  <c r="Y1362" i="12"/>
  <c r="AA1362" i="12"/>
  <c r="AF1362" i="12"/>
  <c r="A1363" i="12"/>
  <c r="O1363" i="12"/>
  <c r="U1363" i="12" s="1"/>
  <c r="Q1363" i="12"/>
  <c r="S1363" i="12"/>
  <c r="Y1363" i="12"/>
  <c r="AA1363" i="12"/>
  <c r="AF1363" i="12"/>
  <c r="A1364" i="12"/>
  <c r="O1364" i="12"/>
  <c r="U1364" i="12" s="1"/>
  <c r="Q1364" i="12"/>
  <c r="S1364" i="12"/>
  <c r="Y1364" i="12"/>
  <c r="AA1364" i="12"/>
  <c r="AF1364" i="12"/>
  <c r="A1365" i="12"/>
  <c r="O1365" i="12"/>
  <c r="Z1365" i="12" s="1"/>
  <c r="Q1365" i="12"/>
  <c r="S1365" i="12"/>
  <c r="Y1365" i="12"/>
  <c r="AA1365" i="12"/>
  <c r="AF1365" i="12"/>
  <c r="A1366" i="12"/>
  <c r="O1366" i="12"/>
  <c r="U1366" i="12" s="1"/>
  <c r="Q1366" i="12"/>
  <c r="S1366" i="12"/>
  <c r="Y1366" i="12"/>
  <c r="AA1366" i="12"/>
  <c r="AF1366" i="12"/>
  <c r="A1367" i="12"/>
  <c r="O1367" i="12"/>
  <c r="U1367" i="12" s="1"/>
  <c r="Q1367" i="12"/>
  <c r="S1367" i="12"/>
  <c r="Y1367" i="12"/>
  <c r="AA1367" i="12"/>
  <c r="AF1367" i="12"/>
  <c r="A1368" i="12"/>
  <c r="O1368" i="12"/>
  <c r="Z1368" i="12" s="1"/>
  <c r="Q1368" i="12"/>
  <c r="S1368" i="12"/>
  <c r="Y1368" i="12"/>
  <c r="AA1368" i="12"/>
  <c r="AF1368" i="12"/>
  <c r="A1369" i="12"/>
  <c r="O1369" i="12"/>
  <c r="U1369" i="12" s="1"/>
  <c r="Q1369" i="12"/>
  <c r="S1369" i="12"/>
  <c r="Y1369" i="12"/>
  <c r="AA1369" i="12"/>
  <c r="AF1369" i="12"/>
  <c r="A1370" i="12"/>
  <c r="O1370" i="12"/>
  <c r="U1370" i="12" s="1"/>
  <c r="Q1370" i="12"/>
  <c r="S1370" i="12"/>
  <c r="Y1370" i="12"/>
  <c r="AA1370" i="12"/>
  <c r="AF1370" i="12"/>
  <c r="Z1363" i="12" l="1"/>
  <c r="Z1362" i="12"/>
  <c r="Z1356" i="12"/>
  <c r="Z1354" i="12"/>
  <c r="U1322" i="12"/>
  <c r="Z1265" i="12"/>
  <c r="U1237" i="12"/>
  <c r="U1225" i="12"/>
  <c r="Z1151" i="12"/>
  <c r="U1104" i="12"/>
  <c r="U1103" i="12"/>
  <c r="U1049" i="12"/>
  <c r="Z1022" i="12"/>
  <c r="Z1010" i="12"/>
  <c r="Z1005" i="12"/>
  <c r="Z999" i="12"/>
  <c r="Z974" i="12"/>
  <c r="Z963" i="12"/>
  <c r="Z940" i="12"/>
  <c r="Z934" i="12"/>
  <c r="Z928" i="12"/>
  <c r="Z915" i="12"/>
  <c r="Z904" i="12"/>
  <c r="Z898" i="12"/>
  <c r="U864" i="12"/>
  <c r="AI864" i="12" s="1"/>
  <c r="U836" i="12"/>
  <c r="AI836" i="12" s="1"/>
  <c r="Z784" i="12"/>
  <c r="Z774" i="12"/>
  <c r="Z740" i="12"/>
  <c r="AJ740" i="12" s="1"/>
  <c r="Z735" i="12"/>
  <c r="AJ735" i="12" s="1"/>
  <c r="Z711" i="12"/>
  <c r="AJ711" i="12" s="1"/>
  <c r="Z678" i="12"/>
  <c r="AJ678" i="12" s="1"/>
  <c r="Z1359" i="12"/>
  <c r="Z1326" i="12"/>
  <c r="Z1119" i="12"/>
  <c r="Z1082" i="12"/>
  <c r="Z1056" i="12"/>
  <c r="U1330" i="12"/>
  <c r="U1269" i="12"/>
  <c r="Z1185" i="12"/>
  <c r="Z1134" i="12"/>
  <c r="Z1094" i="12"/>
  <c r="U1070" i="12"/>
  <c r="U1057" i="12"/>
  <c r="U1052" i="12"/>
  <c r="U1025" i="12"/>
  <c r="AI1025" i="12" s="1"/>
  <c r="Z1012" i="12"/>
  <c r="Z987" i="12"/>
  <c r="Z981" i="12"/>
  <c r="Z976" i="12"/>
  <c r="Z970" i="12"/>
  <c r="Z947" i="12"/>
  <c r="Z942" i="12"/>
  <c r="Z911" i="12"/>
  <c r="Z894" i="12"/>
  <c r="Z824" i="12"/>
  <c r="Z805" i="12"/>
  <c r="Z800" i="12"/>
  <c r="Z790" i="12"/>
  <c r="Z776" i="12"/>
  <c r="Z742" i="12"/>
  <c r="AJ742" i="12" s="1"/>
  <c r="Z727" i="12"/>
  <c r="AJ727" i="12" s="1"/>
  <c r="Z1360" i="12"/>
  <c r="Z1353" i="12"/>
  <c r="Z1328" i="12"/>
  <c r="Z1207" i="12"/>
  <c r="U1150" i="12"/>
  <c r="U1120" i="12"/>
  <c r="U1350" i="12"/>
  <c r="Z1210" i="12"/>
  <c r="U861" i="12"/>
  <c r="AI861" i="12" s="1"/>
  <c r="U592" i="12"/>
  <c r="AI592" i="12" s="1"/>
  <c r="Z1358" i="12"/>
  <c r="Z1327" i="12"/>
  <c r="Z1206" i="12"/>
  <c r="Z1058" i="12"/>
  <c r="Z1055" i="12"/>
  <c r="U1361" i="12"/>
  <c r="U1329" i="12"/>
  <c r="Z1282" i="12"/>
  <c r="U1218" i="12"/>
  <c r="U1024" i="12"/>
  <c r="AI1024" i="12" s="1"/>
  <c r="U1349" i="12"/>
  <c r="Z1338" i="12"/>
  <c r="U1314" i="12"/>
  <c r="U1285" i="12"/>
  <c r="U1284" i="12"/>
  <c r="U1281" i="12"/>
  <c r="Z1279" i="12"/>
  <c r="Z1278" i="12"/>
  <c r="Z1255" i="12"/>
  <c r="Z1254" i="12"/>
  <c r="Z1251" i="12"/>
  <c r="Z1249" i="12"/>
  <c r="U1245" i="12"/>
  <c r="U1244" i="12"/>
  <c r="Z1162" i="12"/>
  <c r="U1156" i="12"/>
  <c r="U1155" i="12"/>
  <c r="Z1032" i="12"/>
  <c r="Z1030" i="12"/>
  <c r="Z1019" i="12"/>
  <c r="Z1014" i="12"/>
  <c r="Z995" i="12"/>
  <c r="Z989" i="12"/>
  <c r="Z983" i="12"/>
  <c r="Z960" i="12"/>
  <c r="Z954" i="12"/>
  <c r="Z949" i="12"/>
  <c r="Z924" i="12"/>
  <c r="Z918" i="12"/>
  <c r="Z907" i="12"/>
  <c r="Z816" i="12"/>
  <c r="Z807" i="12"/>
  <c r="Z796" i="12"/>
  <c r="Z708" i="12"/>
  <c r="AJ708" i="12" s="1"/>
  <c r="U881" i="12"/>
  <c r="AI881" i="12" s="1"/>
  <c r="U849" i="12"/>
  <c r="AI849" i="12" s="1"/>
  <c r="Z1342" i="12"/>
  <c r="U1248" i="12"/>
  <c r="U1213" i="12"/>
  <c r="U1201" i="12"/>
  <c r="U1200" i="12"/>
  <c r="Z1146" i="12"/>
  <c r="U1087" i="12"/>
  <c r="U1044" i="12"/>
  <c r="Z1003" i="12"/>
  <c r="Z997" i="12"/>
  <c r="Z991" i="12"/>
  <c r="Z967" i="12"/>
  <c r="Z956" i="12"/>
  <c r="Z938" i="12"/>
  <c r="Z932" i="12"/>
  <c r="Z926" i="12"/>
  <c r="Z920" i="12"/>
  <c r="Z902" i="12"/>
  <c r="Z891" i="12"/>
  <c r="U872" i="12"/>
  <c r="AI872" i="12" s="1"/>
  <c r="U840" i="12"/>
  <c r="AI840" i="12" s="1"/>
  <c r="Z772" i="12"/>
  <c r="Z767" i="12"/>
  <c r="Z758" i="12"/>
  <c r="AJ758" i="12" s="1"/>
  <c r="Z749" i="12"/>
  <c r="AJ749" i="12" s="1"/>
  <c r="Z724" i="12"/>
  <c r="AJ724" i="12" s="1"/>
  <c r="Z719" i="12"/>
  <c r="AJ719" i="12" s="1"/>
  <c r="Z700" i="12"/>
  <c r="AJ700" i="12" s="1"/>
  <c r="Z695" i="12"/>
  <c r="AJ695" i="12" s="1"/>
  <c r="Z686" i="12"/>
  <c r="AJ686" i="12" s="1"/>
  <c r="Z668" i="12"/>
  <c r="AJ668" i="12" s="1"/>
  <c r="U663" i="12"/>
  <c r="AI663" i="12" s="1"/>
  <c r="U589" i="12"/>
  <c r="AI589" i="12" s="1"/>
  <c r="Z1209" i="12"/>
  <c r="U1195" i="12"/>
  <c r="Z1195" i="12"/>
  <c r="U1141" i="12"/>
  <c r="Z1141" i="12"/>
  <c r="U993" i="12"/>
  <c r="AI993" i="12" s="1"/>
  <c r="Z993" i="12"/>
  <c r="U929" i="12"/>
  <c r="AI929" i="12" s="1"/>
  <c r="Z929" i="12"/>
  <c r="Z873" i="12"/>
  <c r="U873" i="12"/>
  <c r="AI873" i="12" s="1"/>
  <c r="Z828" i="12"/>
  <c r="U828" i="12"/>
  <c r="AI828" i="12" s="1"/>
  <c r="U781" i="12"/>
  <c r="AI781" i="12" s="1"/>
  <c r="Z781" i="12"/>
  <c r="U692" i="12"/>
  <c r="AI692" i="12" s="1"/>
  <c r="Z692" i="12"/>
  <c r="AJ692" i="12" s="1"/>
  <c r="U688" i="12"/>
  <c r="AI688" i="12" s="1"/>
  <c r="Z688" i="12"/>
  <c r="AJ688" i="12" s="1"/>
  <c r="Z1293" i="12"/>
  <c r="U1293" i="12"/>
  <c r="U1042" i="12"/>
  <c r="Z1042" i="12"/>
  <c r="U1001" i="12"/>
  <c r="AI1001" i="12" s="1"/>
  <c r="Z1001" i="12"/>
  <c r="U798" i="12"/>
  <c r="AI798" i="12" s="1"/>
  <c r="Z798" i="12"/>
  <c r="U1339" i="12"/>
  <c r="U1267" i="12"/>
  <c r="U1199" i="12"/>
  <c r="Z1199" i="12"/>
  <c r="U1149" i="12"/>
  <c r="Z1149" i="12"/>
  <c r="Z1111" i="12"/>
  <c r="U1111" i="12"/>
  <c r="U1109" i="12"/>
  <c r="Z1109" i="12"/>
  <c r="U1009" i="12"/>
  <c r="AI1009" i="12" s="1"/>
  <c r="Z1009" i="12"/>
  <c r="U945" i="12"/>
  <c r="AI945" i="12" s="1"/>
  <c r="Z945" i="12"/>
  <c r="Z889" i="12"/>
  <c r="U889" i="12"/>
  <c r="AI889" i="12" s="1"/>
  <c r="U885" i="12"/>
  <c r="AI885" i="12" s="1"/>
  <c r="U865" i="12"/>
  <c r="AI865" i="12" s="1"/>
  <c r="Z844" i="12"/>
  <c r="U844" i="12"/>
  <c r="AI844" i="12" s="1"/>
  <c r="U815" i="12"/>
  <c r="AI815" i="12" s="1"/>
  <c r="Z815" i="12"/>
  <c r="U1198" i="12"/>
  <c r="Z1198" i="12"/>
  <c r="Z1370" i="12"/>
  <c r="Z1346" i="12"/>
  <c r="Z1317" i="12"/>
  <c r="U1317" i="12"/>
  <c r="Z1298" i="12"/>
  <c r="Z1288" i="12"/>
  <c r="Z1274" i="12"/>
  <c r="Z1205" i="12"/>
  <c r="U1205" i="12"/>
  <c r="U1158" i="12"/>
  <c r="Z1158" i="12"/>
  <c r="Z1088" i="12"/>
  <c r="Z1078" i="12"/>
  <c r="Z1071" i="12"/>
  <c r="U1071" i="12"/>
  <c r="U1069" i="12"/>
  <c r="Z1069" i="12"/>
  <c r="Z1047" i="12"/>
  <c r="U1047" i="12"/>
  <c r="U1045" i="12"/>
  <c r="Z1045" i="12"/>
  <c r="U1017" i="12"/>
  <c r="AI1017" i="12" s="1"/>
  <c r="Z1017" i="12"/>
  <c r="U953" i="12"/>
  <c r="AI953" i="12" s="1"/>
  <c r="Z953" i="12"/>
  <c r="U856" i="12"/>
  <c r="AI856" i="12" s="1"/>
  <c r="U820" i="12"/>
  <c r="AI820" i="12" s="1"/>
  <c r="Z820" i="12"/>
  <c r="U704" i="12"/>
  <c r="AI704" i="12" s="1"/>
  <c r="Z704" i="12"/>
  <c r="AJ704" i="12" s="1"/>
  <c r="U671" i="12"/>
  <c r="AI671" i="12" s="1"/>
  <c r="Z671" i="12"/>
  <c r="AJ671" i="12" s="1"/>
  <c r="Z1318" i="12"/>
  <c r="U1318" i="12"/>
  <c r="Z1308" i="12"/>
  <c r="Z1297" i="12"/>
  <c r="Z1217" i="12"/>
  <c r="Z1193" i="12"/>
  <c r="Z1174" i="12"/>
  <c r="U1159" i="12"/>
  <c r="Z1159" i="12"/>
  <c r="Z1152" i="12"/>
  <c r="Z1142" i="12"/>
  <c r="Z1106" i="12"/>
  <c r="Z1086" i="12"/>
  <c r="Z1077" i="12"/>
  <c r="U961" i="12"/>
  <c r="AI961" i="12" s="1"/>
  <c r="Z961" i="12"/>
  <c r="U897" i="12"/>
  <c r="AI897" i="12" s="1"/>
  <c r="Z897" i="12"/>
  <c r="Z860" i="12"/>
  <c r="U860" i="12"/>
  <c r="AI860" i="12" s="1"/>
  <c r="Z841" i="12"/>
  <c r="U841" i="12"/>
  <c r="AI841" i="12" s="1"/>
  <c r="U709" i="12"/>
  <c r="AI709" i="12" s="1"/>
  <c r="Z709" i="12"/>
  <c r="AJ709" i="12" s="1"/>
  <c r="Z1176" i="12"/>
  <c r="U1176" i="12"/>
  <c r="U703" i="12"/>
  <c r="AI703" i="12" s="1"/>
  <c r="Z703" i="12"/>
  <c r="AJ703" i="12" s="1"/>
  <c r="Z1369" i="12"/>
  <c r="Z1310" i="12"/>
  <c r="U1301" i="12"/>
  <c r="U1300" i="12"/>
  <c r="Z1296" i="12"/>
  <c r="Z1294" i="12"/>
  <c r="U1173" i="12"/>
  <c r="U1166" i="12"/>
  <c r="Z1166" i="12"/>
  <c r="U1116" i="12"/>
  <c r="Z1116" i="12"/>
  <c r="Z1085" i="12"/>
  <c r="Z1084" i="12"/>
  <c r="U1065" i="12"/>
  <c r="U1064" i="12"/>
  <c r="Z1038" i="12"/>
  <c r="Z1021" i="12"/>
  <c r="Z1007" i="12"/>
  <c r="Z1000" i="12"/>
  <c r="Z978" i="12"/>
  <c r="U969" i="12"/>
  <c r="AI969" i="12" s="1"/>
  <c r="Z969" i="12"/>
  <c r="Z964" i="12"/>
  <c r="Z957" i="12"/>
  <c r="Z943" i="12"/>
  <c r="Z936" i="12"/>
  <c r="Z914" i="12"/>
  <c r="U905" i="12"/>
  <c r="AI905" i="12" s="1"/>
  <c r="Z905" i="12"/>
  <c r="Z900" i="12"/>
  <c r="Z893" i="12"/>
  <c r="Z823" i="12"/>
  <c r="Z813" i="12"/>
  <c r="Z797" i="12"/>
  <c r="Z792" i="12"/>
  <c r="Z760" i="12"/>
  <c r="AJ760" i="12" s="1"/>
  <c r="U743" i="12"/>
  <c r="AI743" i="12" s="1"/>
  <c r="Z743" i="12"/>
  <c r="AJ743" i="12" s="1"/>
  <c r="Z733" i="12"/>
  <c r="AJ733" i="12" s="1"/>
  <c r="Z728" i="12"/>
  <c r="AJ728" i="12" s="1"/>
  <c r="Z712" i="12"/>
  <c r="AJ712" i="12" s="1"/>
  <c r="U676" i="12"/>
  <c r="AI676" i="12" s="1"/>
  <c r="Z676" i="12"/>
  <c r="AJ676" i="12" s="1"/>
  <c r="U672" i="12"/>
  <c r="AI672" i="12" s="1"/>
  <c r="Z672" i="12"/>
  <c r="AJ672" i="12" s="1"/>
  <c r="U1235" i="12"/>
  <c r="Z1235" i="12"/>
  <c r="U1148" i="12"/>
  <c r="Z1148" i="12"/>
  <c r="Z656" i="12"/>
  <c r="AJ656" i="12" s="1"/>
  <c r="U656" i="12"/>
  <c r="AI656" i="12" s="1"/>
  <c r="U1368" i="12"/>
  <c r="U1307" i="12"/>
  <c r="Z1305" i="12"/>
  <c r="Z1304" i="12"/>
  <c r="Z1291" i="12"/>
  <c r="U1291" i="12"/>
  <c r="U1234" i="12"/>
  <c r="Z1231" i="12"/>
  <c r="Z1230" i="12"/>
  <c r="Z1227" i="12"/>
  <c r="Z1222" i="12"/>
  <c r="U1214" i="12"/>
  <c r="Z1214" i="12"/>
  <c r="Z1203" i="12"/>
  <c r="Z1202" i="12"/>
  <c r="U1197" i="12"/>
  <c r="U1196" i="12"/>
  <c r="U1190" i="12"/>
  <c r="Z1190" i="12"/>
  <c r="Z1177" i="12"/>
  <c r="U1117" i="12"/>
  <c r="Z1117" i="12"/>
  <c r="U1053" i="12"/>
  <c r="Z1053" i="12"/>
  <c r="U1041" i="12"/>
  <c r="Z1037" i="12"/>
  <c r="Z1033" i="12"/>
  <c r="U1033" i="12"/>
  <c r="AI1033" i="12" s="1"/>
  <c r="U1029" i="12"/>
  <c r="AI1029" i="12" s="1"/>
  <c r="Z1029" i="12"/>
  <c r="Z1015" i="12"/>
  <c r="Z1008" i="12"/>
  <c r="Z986" i="12"/>
  <c r="U977" i="12"/>
  <c r="AI977" i="12" s="1"/>
  <c r="Z977" i="12"/>
  <c r="Z972" i="12"/>
  <c r="Z965" i="12"/>
  <c r="Z951" i="12"/>
  <c r="Z944" i="12"/>
  <c r="Z922" i="12"/>
  <c r="U913" i="12"/>
  <c r="AI913" i="12" s="1"/>
  <c r="Z913" i="12"/>
  <c r="Z908" i="12"/>
  <c r="Z901" i="12"/>
  <c r="Z876" i="12"/>
  <c r="U876" i="12"/>
  <c r="AI876" i="12" s="1"/>
  <c r="Z857" i="12"/>
  <c r="U857" i="12"/>
  <c r="AI857" i="12" s="1"/>
  <c r="U853" i="12"/>
  <c r="AI853" i="12" s="1"/>
  <c r="U833" i="12"/>
  <c r="AI833" i="12" s="1"/>
  <c r="Z814" i="12"/>
  <c r="Z765" i="12"/>
  <c r="U759" i="12"/>
  <c r="AI759" i="12" s="1"/>
  <c r="Z759" i="12"/>
  <c r="AJ759" i="12" s="1"/>
  <c r="Z750" i="12"/>
  <c r="AJ750" i="12" s="1"/>
  <c r="Z734" i="12"/>
  <c r="AJ734" i="12" s="1"/>
  <c r="Z717" i="12"/>
  <c r="AJ717" i="12" s="1"/>
  <c r="U687" i="12"/>
  <c r="AI687" i="12" s="1"/>
  <c r="Z687" i="12"/>
  <c r="AJ687" i="12" s="1"/>
  <c r="U937" i="12"/>
  <c r="AI937" i="12" s="1"/>
  <c r="Z937" i="12"/>
  <c r="Z1295" i="12"/>
  <c r="Z1331" i="12"/>
  <c r="Z1316" i="12"/>
  <c r="Z1315" i="12"/>
  <c r="Z1292" i="12"/>
  <c r="U1292" i="12"/>
  <c r="Z1259" i="12"/>
  <c r="Z1239" i="12"/>
  <c r="Z1238" i="12"/>
  <c r="U1232" i="12"/>
  <c r="U1229" i="12"/>
  <c r="U1228" i="12"/>
  <c r="U1221" i="12"/>
  <c r="Z1182" i="12"/>
  <c r="U1178" i="12"/>
  <c r="U1140" i="12"/>
  <c r="Z1140" i="12"/>
  <c r="Z1112" i="12"/>
  <c r="Z1016" i="12"/>
  <c r="Z994" i="12"/>
  <c r="U985" i="12"/>
  <c r="AI985" i="12" s="1"/>
  <c r="Z985" i="12"/>
  <c r="Z980" i="12"/>
  <c r="Z973" i="12"/>
  <c r="Z959" i="12"/>
  <c r="Z952" i="12"/>
  <c r="Z930" i="12"/>
  <c r="U921" i="12"/>
  <c r="AI921" i="12" s="1"/>
  <c r="Z921" i="12"/>
  <c r="Z916" i="12"/>
  <c r="Z909" i="12"/>
  <c r="Z895" i="12"/>
  <c r="U888" i="12"/>
  <c r="AI888" i="12" s="1"/>
  <c r="U868" i="12"/>
  <c r="AI868" i="12" s="1"/>
  <c r="Z782" i="12"/>
  <c r="U764" i="12"/>
  <c r="AI764" i="12" s="1"/>
  <c r="Z764" i="12"/>
  <c r="Z756" i="12"/>
  <c r="AJ756" i="12" s="1"/>
  <c r="Z751" i="12"/>
  <c r="AJ751" i="12" s="1"/>
  <c r="Z684" i="12"/>
  <c r="AJ684" i="12" s="1"/>
  <c r="Z679" i="12"/>
  <c r="AJ679" i="12" s="1"/>
  <c r="Z590" i="12"/>
  <c r="AJ590" i="12" s="1"/>
  <c r="U590" i="12"/>
  <c r="AI590" i="12" s="1"/>
  <c r="U664" i="12"/>
  <c r="AI664" i="12" s="1"/>
  <c r="A41" i="17"/>
  <c r="A29" i="17"/>
  <c r="A39" i="17"/>
  <c r="A28" i="17"/>
  <c r="U660" i="12"/>
  <c r="AI660" i="12" s="1"/>
  <c r="A37" i="17"/>
  <c r="A27" i="17"/>
  <c r="A36" i="17"/>
  <c r="A26" i="17"/>
  <c r="A45" i="17"/>
  <c r="A35" i="17"/>
  <c r="A25" i="17"/>
  <c r="A44" i="17"/>
  <c r="A34" i="17"/>
  <c r="A23" i="17"/>
  <c r="A43" i="17"/>
  <c r="A33" i="17"/>
  <c r="A21" i="17"/>
  <c r="U699" i="12"/>
  <c r="AI699" i="12" s="1"/>
  <c r="Z699" i="12"/>
  <c r="AJ699" i="12" s="1"/>
  <c r="Z1270" i="12"/>
  <c r="Z1223" i="12"/>
  <c r="Z1219" i="12"/>
  <c r="Z1191" i="12"/>
  <c r="Z1187" i="12"/>
  <c r="U1133" i="12"/>
  <c r="Z1133" i="12"/>
  <c r="Z1108" i="12"/>
  <c r="U1093" i="12"/>
  <c r="Z1093" i="12"/>
  <c r="U1036" i="12"/>
  <c r="Z1036" i="12"/>
  <c r="U778" i="12"/>
  <c r="AI778" i="12" s="1"/>
  <c r="Z778" i="12"/>
  <c r="U761" i="12"/>
  <c r="AI761" i="12" s="1"/>
  <c r="Z761" i="12"/>
  <c r="U722" i="12"/>
  <c r="AI722" i="12" s="1"/>
  <c r="Z722" i="12"/>
  <c r="AJ722" i="12" s="1"/>
  <c r="Z1137" i="12"/>
  <c r="U1137" i="12"/>
  <c r="Z657" i="12"/>
  <c r="AJ657" i="12" s="1"/>
  <c r="U657" i="12"/>
  <c r="AI657" i="12" s="1"/>
  <c r="Z1271" i="12"/>
  <c r="Z1367" i="12"/>
  <c r="Z1366" i="12"/>
  <c r="U1357" i="12"/>
  <c r="Z1355" i="12"/>
  <c r="Z1345" i="12"/>
  <c r="Z1335" i="12"/>
  <c r="Z1334" i="12"/>
  <c r="U1325" i="12"/>
  <c r="Z1323" i="12"/>
  <c r="Z1313" i="12"/>
  <c r="Z1303" i="12"/>
  <c r="Z1302" i="12"/>
  <c r="Z1299" i="12"/>
  <c r="Z1287" i="12"/>
  <c r="Z1286" i="12"/>
  <c r="Z1283" i="12"/>
  <c r="U1272" i="12"/>
  <c r="U1268" i="12"/>
  <c r="Z1247" i="12"/>
  <c r="Z1246" i="12"/>
  <c r="Z1243" i="12"/>
  <c r="U1224" i="12"/>
  <c r="U1220" i="12"/>
  <c r="U1192" i="12"/>
  <c r="U1188" i="12"/>
  <c r="Z1183" i="12"/>
  <c r="U789" i="12"/>
  <c r="AI789" i="12" s="1"/>
  <c r="Z789" i="12"/>
  <c r="U739" i="12"/>
  <c r="AI739" i="12" s="1"/>
  <c r="Z739" i="12"/>
  <c r="AJ739" i="12" s="1"/>
  <c r="Z1364" i="12"/>
  <c r="Z1344" i="12"/>
  <c r="Z1332" i="12"/>
  <c r="Z1312" i="12"/>
  <c r="Z1215" i="12"/>
  <c r="Z1211" i="12"/>
  <c r="Z1175" i="12"/>
  <c r="Z1105" i="12"/>
  <c r="U1105" i="12"/>
  <c r="U1100" i="12"/>
  <c r="Z1100" i="12"/>
  <c r="Z1074" i="12"/>
  <c r="Z887" i="12"/>
  <c r="U887" i="12"/>
  <c r="AI887" i="12" s="1"/>
  <c r="Z882" i="12"/>
  <c r="U882" i="12"/>
  <c r="AI882" i="12" s="1"/>
  <c r="Z871" i="12"/>
  <c r="U871" i="12"/>
  <c r="AI871" i="12" s="1"/>
  <c r="Z866" i="12"/>
  <c r="U866" i="12"/>
  <c r="AI866" i="12" s="1"/>
  <c r="Z855" i="12"/>
  <c r="U855" i="12"/>
  <c r="AI855" i="12" s="1"/>
  <c r="Z850" i="12"/>
  <c r="U850" i="12"/>
  <c r="AI850" i="12" s="1"/>
  <c r="Z839" i="12"/>
  <c r="U839" i="12"/>
  <c r="AI839" i="12" s="1"/>
  <c r="Z834" i="12"/>
  <c r="U834" i="12"/>
  <c r="AI834" i="12" s="1"/>
  <c r="U812" i="12"/>
  <c r="AI812" i="12" s="1"/>
  <c r="Z812" i="12"/>
  <c r="U795" i="12"/>
  <c r="AI795" i="12" s="1"/>
  <c r="Z795" i="12"/>
  <c r="U1365" i="12"/>
  <c r="Z1343" i="12"/>
  <c r="U1333" i="12"/>
  <c r="Z1311" i="12"/>
  <c r="Z1263" i="12"/>
  <c r="Z1262" i="12"/>
  <c r="U1216" i="12"/>
  <c r="U1212" i="12"/>
  <c r="U1172" i="12"/>
  <c r="Z1167" i="12"/>
  <c r="Z1123" i="12"/>
  <c r="U1123" i="12"/>
  <c r="U1101" i="12"/>
  <c r="Z1101" i="12"/>
  <c r="Z1076" i="12"/>
  <c r="U769" i="12"/>
  <c r="AI769" i="12" s="1"/>
  <c r="Z769" i="12"/>
  <c r="U1132" i="12"/>
  <c r="Z1132" i="12"/>
  <c r="U705" i="12"/>
  <c r="AI705" i="12" s="1"/>
  <c r="Z705" i="12"/>
  <c r="AJ705" i="12" s="1"/>
  <c r="U689" i="12"/>
  <c r="AI689" i="12" s="1"/>
  <c r="Z689" i="12"/>
  <c r="AJ689" i="12" s="1"/>
  <c r="U1260" i="12"/>
  <c r="U1164" i="12"/>
  <c r="U1154" i="12"/>
  <c r="U825" i="12"/>
  <c r="AI825" i="12" s="1"/>
  <c r="Z825" i="12"/>
  <c r="U786" i="12"/>
  <c r="AI786" i="12" s="1"/>
  <c r="Z786" i="12"/>
  <c r="U714" i="12"/>
  <c r="AI714" i="12" s="1"/>
  <c r="Z714" i="12"/>
  <c r="AJ714" i="12" s="1"/>
  <c r="U655" i="12"/>
  <c r="AI655" i="12" s="1"/>
  <c r="Z655" i="12"/>
  <c r="AJ655" i="12" s="1"/>
  <c r="U651" i="12"/>
  <c r="AI651" i="12" s="1"/>
  <c r="Z651" i="12"/>
  <c r="AJ651" i="12" s="1"/>
  <c r="U647" i="12"/>
  <c r="AI647" i="12" s="1"/>
  <c r="Z647" i="12"/>
  <c r="AJ647" i="12" s="1"/>
  <c r="U643" i="12"/>
  <c r="AI643" i="12" s="1"/>
  <c r="Z643" i="12"/>
  <c r="AJ643" i="12" s="1"/>
  <c r="U639" i="12"/>
  <c r="AI639" i="12" s="1"/>
  <c r="Z639" i="12"/>
  <c r="AJ639" i="12" s="1"/>
  <c r="U635" i="12"/>
  <c r="AI635" i="12" s="1"/>
  <c r="Z635" i="12"/>
  <c r="AJ635" i="12" s="1"/>
  <c r="U631" i="12"/>
  <c r="AI631" i="12" s="1"/>
  <c r="Z631" i="12"/>
  <c r="AJ631" i="12" s="1"/>
  <c r="U627" i="12"/>
  <c r="AI627" i="12" s="1"/>
  <c r="Z627" i="12"/>
  <c r="AJ627" i="12" s="1"/>
  <c r="U623" i="12"/>
  <c r="AI623" i="12" s="1"/>
  <c r="Z623" i="12"/>
  <c r="AJ623" i="12" s="1"/>
  <c r="U619" i="12"/>
  <c r="AI619" i="12" s="1"/>
  <c r="Z619" i="12"/>
  <c r="AJ619" i="12" s="1"/>
  <c r="U615" i="12"/>
  <c r="AI615" i="12" s="1"/>
  <c r="Z615" i="12"/>
  <c r="AJ615" i="12" s="1"/>
  <c r="U611" i="12"/>
  <c r="AI611" i="12" s="1"/>
  <c r="Z611" i="12"/>
  <c r="AJ611" i="12" s="1"/>
  <c r="U607" i="12"/>
  <c r="AI607" i="12" s="1"/>
  <c r="Z607" i="12"/>
  <c r="AJ607" i="12" s="1"/>
  <c r="U603" i="12"/>
  <c r="AI603" i="12" s="1"/>
  <c r="Z603" i="12"/>
  <c r="AJ603" i="12" s="1"/>
  <c r="U599" i="12"/>
  <c r="AI599" i="12" s="1"/>
  <c r="Z599" i="12"/>
  <c r="AJ599" i="12" s="1"/>
  <c r="U673" i="12"/>
  <c r="AI673" i="12" s="1"/>
  <c r="Z673" i="12"/>
  <c r="AJ673" i="12" s="1"/>
  <c r="U1264" i="12"/>
  <c r="U1341" i="12"/>
  <c r="U1309" i="12"/>
  <c r="U1240" i="12"/>
  <c r="U1236" i="12"/>
  <c r="U1208" i="12"/>
  <c r="U1204" i="12"/>
  <c r="U1125" i="12"/>
  <c r="Z1125" i="12"/>
  <c r="Z1073" i="12"/>
  <c r="U1073" i="12"/>
  <c r="Z1027" i="12"/>
  <c r="U1027" i="12"/>
  <c r="AI1027" i="12" s="1"/>
  <c r="U803" i="12"/>
  <c r="AI803" i="12" s="1"/>
  <c r="Z803" i="12"/>
  <c r="U725" i="12"/>
  <c r="AI725" i="12" s="1"/>
  <c r="Z725" i="12"/>
  <c r="AJ725" i="12" s="1"/>
  <c r="Z662" i="12"/>
  <c r="AJ662" i="12" s="1"/>
  <c r="U662" i="12"/>
  <c r="AI662" i="12" s="1"/>
  <c r="Z1091" i="12"/>
  <c r="U1091" i="12"/>
  <c r="U1068" i="12"/>
  <c r="Z1068" i="12"/>
  <c r="U1031" i="12"/>
  <c r="AI1031" i="12" s="1"/>
  <c r="Z1031" i="12"/>
  <c r="Z890" i="12"/>
  <c r="U890" i="12"/>
  <c r="AI890" i="12" s="1"/>
  <c r="Z879" i="12"/>
  <c r="U879" i="12"/>
  <c r="AI879" i="12" s="1"/>
  <c r="Z874" i="12"/>
  <c r="U874" i="12"/>
  <c r="AI874" i="12" s="1"/>
  <c r="Z863" i="12"/>
  <c r="U863" i="12"/>
  <c r="AI863" i="12" s="1"/>
  <c r="Z858" i="12"/>
  <c r="U858" i="12"/>
  <c r="AI858" i="12" s="1"/>
  <c r="Z847" i="12"/>
  <c r="U847" i="12"/>
  <c r="AI847" i="12" s="1"/>
  <c r="Z842" i="12"/>
  <c r="U842" i="12"/>
  <c r="AI842" i="12" s="1"/>
  <c r="Z831" i="12"/>
  <c r="U831" i="12"/>
  <c r="AI831" i="12" s="1"/>
  <c r="U748" i="12"/>
  <c r="AI748" i="12" s="1"/>
  <c r="Z748" i="12"/>
  <c r="AJ748" i="12" s="1"/>
  <c r="U731" i="12"/>
  <c r="AI731" i="12" s="1"/>
  <c r="Z731" i="12"/>
  <c r="AJ731" i="12" s="1"/>
  <c r="U810" i="12"/>
  <c r="AI810" i="12" s="1"/>
  <c r="Z810" i="12"/>
  <c r="U793" i="12"/>
  <c r="AI793" i="12" s="1"/>
  <c r="Z793" i="12"/>
  <c r="U763" i="12"/>
  <c r="AI763" i="12" s="1"/>
  <c r="Z763" i="12"/>
  <c r="U746" i="12"/>
  <c r="AI746" i="12" s="1"/>
  <c r="Z746" i="12"/>
  <c r="AJ746" i="12" s="1"/>
  <c r="U729" i="12"/>
  <c r="AI729" i="12" s="1"/>
  <c r="Z729" i="12"/>
  <c r="AJ729" i="12" s="1"/>
  <c r="U653" i="12"/>
  <c r="AI653" i="12" s="1"/>
  <c r="Z653" i="12"/>
  <c r="AJ653" i="12" s="1"/>
  <c r="U649" i="12"/>
  <c r="AI649" i="12" s="1"/>
  <c r="Z649" i="12"/>
  <c r="AJ649" i="12" s="1"/>
  <c r="U645" i="12"/>
  <c r="AI645" i="12" s="1"/>
  <c r="Z645" i="12"/>
  <c r="AJ645" i="12" s="1"/>
  <c r="U641" i="12"/>
  <c r="AI641" i="12" s="1"/>
  <c r="Z641" i="12"/>
  <c r="AJ641" i="12" s="1"/>
  <c r="U637" i="12"/>
  <c r="AI637" i="12" s="1"/>
  <c r="Z637" i="12"/>
  <c r="AJ637" i="12" s="1"/>
  <c r="U633" i="12"/>
  <c r="AI633" i="12" s="1"/>
  <c r="Z633" i="12"/>
  <c r="AJ633" i="12" s="1"/>
  <c r="U629" i="12"/>
  <c r="AI629" i="12" s="1"/>
  <c r="Z629" i="12"/>
  <c r="AJ629" i="12" s="1"/>
  <c r="U625" i="12"/>
  <c r="AI625" i="12" s="1"/>
  <c r="Z625" i="12"/>
  <c r="AJ625" i="12" s="1"/>
  <c r="U621" i="12"/>
  <c r="AI621" i="12" s="1"/>
  <c r="Z621" i="12"/>
  <c r="AJ621" i="12" s="1"/>
  <c r="U617" i="12"/>
  <c r="AI617" i="12" s="1"/>
  <c r="Z617" i="12"/>
  <c r="AJ617" i="12" s="1"/>
  <c r="U613" i="12"/>
  <c r="AI613" i="12" s="1"/>
  <c r="Z613" i="12"/>
  <c r="AJ613" i="12" s="1"/>
  <c r="U609" i="12"/>
  <c r="AI609" i="12" s="1"/>
  <c r="Z609" i="12"/>
  <c r="AJ609" i="12" s="1"/>
  <c r="U605" i="12"/>
  <c r="AI605" i="12" s="1"/>
  <c r="Z605" i="12"/>
  <c r="AJ605" i="12" s="1"/>
  <c r="U601" i="12"/>
  <c r="AI601" i="12" s="1"/>
  <c r="Z601" i="12"/>
  <c r="AJ601" i="12" s="1"/>
  <c r="U597" i="12"/>
  <c r="AI597" i="12" s="1"/>
  <c r="Z597" i="12"/>
  <c r="AJ597" i="12" s="1"/>
  <c r="Z474" i="12"/>
  <c r="AJ474" i="12" s="1"/>
  <c r="AI474" i="12"/>
  <c r="U1184" i="12"/>
  <c r="Z1157" i="12"/>
  <c r="Z1145" i="12"/>
  <c r="U1145" i="12"/>
  <c r="Z1113" i="12"/>
  <c r="U1113" i="12"/>
  <c r="Z1081" i="12"/>
  <c r="U1081" i="12"/>
  <c r="Z1059" i="12"/>
  <c r="U1059" i="12"/>
  <c r="U1050" i="12"/>
  <c r="Z1050" i="12"/>
  <c r="U886" i="12"/>
  <c r="AI886" i="12" s="1"/>
  <c r="U878" i="12"/>
  <c r="AI878" i="12" s="1"/>
  <c r="U870" i="12"/>
  <c r="AI870" i="12" s="1"/>
  <c r="U862" i="12"/>
  <c r="AI862" i="12" s="1"/>
  <c r="U854" i="12"/>
  <c r="AI854" i="12" s="1"/>
  <c r="U846" i="12"/>
  <c r="AI846" i="12" s="1"/>
  <c r="U838" i="12"/>
  <c r="AI838" i="12" s="1"/>
  <c r="U830" i="12"/>
  <c r="AI830" i="12" s="1"/>
  <c r="U817" i="12"/>
  <c r="AI817" i="12" s="1"/>
  <c r="Z817" i="12"/>
  <c r="U787" i="12"/>
  <c r="AI787" i="12" s="1"/>
  <c r="Z787" i="12"/>
  <c r="U770" i="12"/>
  <c r="AI770" i="12" s="1"/>
  <c r="Z770" i="12"/>
  <c r="U753" i="12"/>
  <c r="AI753" i="12" s="1"/>
  <c r="Z753" i="12"/>
  <c r="AJ753" i="12" s="1"/>
  <c r="U723" i="12"/>
  <c r="AI723" i="12" s="1"/>
  <c r="Z723" i="12"/>
  <c r="AJ723" i="12" s="1"/>
  <c r="U706" i="12"/>
  <c r="AI706" i="12" s="1"/>
  <c r="Z706" i="12"/>
  <c r="AJ706" i="12" s="1"/>
  <c r="Z1147" i="12"/>
  <c r="U1147" i="12"/>
  <c r="Z1130" i="12"/>
  <c r="Z1115" i="12"/>
  <c r="U1115" i="12"/>
  <c r="Z1098" i="12"/>
  <c r="Z1083" i="12"/>
  <c r="U1083" i="12"/>
  <c r="Z1066" i="12"/>
  <c r="Z1051" i="12"/>
  <c r="U1051" i="12"/>
  <c r="Z1034" i="12"/>
  <c r="U811" i="12"/>
  <c r="AI811" i="12" s="1"/>
  <c r="Z811" i="12"/>
  <c r="U794" i="12"/>
  <c r="AI794" i="12" s="1"/>
  <c r="Z794" i="12"/>
  <c r="U777" i="12"/>
  <c r="AI777" i="12" s="1"/>
  <c r="Z777" i="12"/>
  <c r="U747" i="12"/>
  <c r="AI747" i="12" s="1"/>
  <c r="Z747" i="12"/>
  <c r="AJ747" i="12" s="1"/>
  <c r="U730" i="12"/>
  <c r="AI730" i="12" s="1"/>
  <c r="Z730" i="12"/>
  <c r="AJ730" i="12" s="1"/>
  <c r="U713" i="12"/>
  <c r="AI713" i="12" s="1"/>
  <c r="Z713" i="12"/>
  <c r="AJ713" i="12" s="1"/>
  <c r="U701" i="12"/>
  <c r="AI701" i="12" s="1"/>
  <c r="Z701" i="12"/>
  <c r="AJ701" i="12" s="1"/>
  <c r="U685" i="12"/>
  <c r="AI685" i="12" s="1"/>
  <c r="Z685" i="12"/>
  <c r="AJ685" i="12" s="1"/>
  <c r="U669" i="12"/>
  <c r="AI669" i="12" s="1"/>
  <c r="Z669" i="12"/>
  <c r="AJ669" i="12" s="1"/>
  <c r="Z1179" i="12"/>
  <c r="Z1171" i="12"/>
  <c r="Z1163" i="12"/>
  <c r="Z1153" i="12"/>
  <c r="Z1139" i="12"/>
  <c r="U1139" i="12"/>
  <c r="Z1124" i="12"/>
  <c r="Z1122" i="12"/>
  <c r="Z1107" i="12"/>
  <c r="U1107" i="12"/>
  <c r="Z1092" i="12"/>
  <c r="Z1090" i="12"/>
  <c r="Z1075" i="12"/>
  <c r="U1075" i="12"/>
  <c r="Z1063" i="12"/>
  <c r="Z1023" i="12"/>
  <c r="U818" i="12"/>
  <c r="AI818" i="12" s="1"/>
  <c r="Z818" i="12"/>
  <c r="U801" i="12"/>
  <c r="AI801" i="12" s="1"/>
  <c r="Z801" i="12"/>
  <c r="U771" i="12"/>
  <c r="AI771" i="12" s="1"/>
  <c r="Z771" i="12"/>
  <c r="U754" i="12"/>
  <c r="AI754" i="12" s="1"/>
  <c r="Z754" i="12"/>
  <c r="AJ754" i="12" s="1"/>
  <c r="U737" i="12"/>
  <c r="AI737" i="12" s="1"/>
  <c r="Z737" i="12"/>
  <c r="AJ737" i="12" s="1"/>
  <c r="U707" i="12"/>
  <c r="AI707" i="12" s="1"/>
  <c r="Z707" i="12"/>
  <c r="AJ707" i="12" s="1"/>
  <c r="U697" i="12"/>
  <c r="AI697" i="12" s="1"/>
  <c r="Z697" i="12"/>
  <c r="AJ697" i="12" s="1"/>
  <c r="U691" i="12"/>
  <c r="AI691" i="12" s="1"/>
  <c r="Z691" i="12"/>
  <c r="AJ691" i="12" s="1"/>
  <c r="U681" i="12"/>
  <c r="AI681" i="12" s="1"/>
  <c r="Z681" i="12"/>
  <c r="AJ681" i="12" s="1"/>
  <c r="Z1129" i="12"/>
  <c r="U1129" i="12"/>
  <c r="U1121" i="12"/>
  <c r="Z1097" i="12"/>
  <c r="U1097" i="12"/>
  <c r="U1089" i="12"/>
  <c r="U1028" i="12"/>
  <c r="AI1028" i="12" s="1"/>
  <c r="Z821" i="12"/>
  <c r="U819" i="12"/>
  <c r="AI819" i="12" s="1"/>
  <c r="Z819" i="12"/>
  <c r="U802" i="12"/>
  <c r="AI802" i="12" s="1"/>
  <c r="Z802" i="12"/>
  <c r="U785" i="12"/>
  <c r="AI785" i="12" s="1"/>
  <c r="Z785" i="12"/>
  <c r="Z780" i="12"/>
  <c r="Z757" i="12"/>
  <c r="AJ757" i="12" s="1"/>
  <c r="U755" i="12"/>
  <c r="AI755" i="12" s="1"/>
  <c r="Z755" i="12"/>
  <c r="AJ755" i="12" s="1"/>
  <c r="U738" i="12"/>
  <c r="AI738" i="12" s="1"/>
  <c r="Z738" i="12"/>
  <c r="AJ738" i="12" s="1"/>
  <c r="U721" i="12"/>
  <c r="AI721" i="12" s="1"/>
  <c r="Z721" i="12"/>
  <c r="AJ721" i="12" s="1"/>
  <c r="Z716" i="12"/>
  <c r="AJ716" i="12" s="1"/>
  <c r="Z1131" i="12"/>
  <c r="U1131" i="12"/>
  <c r="Z1099" i="12"/>
  <c r="U1099" i="12"/>
  <c r="Z1067" i="12"/>
  <c r="U1067" i="12"/>
  <c r="Z1035" i="12"/>
  <c r="U1035" i="12"/>
  <c r="U1026" i="12"/>
  <c r="AI1026" i="12" s="1"/>
  <c r="Z1026" i="12"/>
  <c r="U883" i="12"/>
  <c r="AI883" i="12" s="1"/>
  <c r="U875" i="12"/>
  <c r="AI875" i="12" s="1"/>
  <c r="U867" i="12"/>
  <c r="AI867" i="12" s="1"/>
  <c r="U859" i="12"/>
  <c r="AI859" i="12" s="1"/>
  <c r="U851" i="12"/>
  <c r="AI851" i="12" s="1"/>
  <c r="U843" i="12"/>
  <c r="AI843" i="12" s="1"/>
  <c r="U835" i="12"/>
  <c r="AI835" i="12" s="1"/>
  <c r="U827" i="12"/>
  <c r="AI827" i="12" s="1"/>
  <c r="U826" i="12"/>
  <c r="AI826" i="12" s="1"/>
  <c r="Z826" i="12"/>
  <c r="U809" i="12"/>
  <c r="AI809" i="12" s="1"/>
  <c r="Z809" i="12"/>
  <c r="U779" i="12"/>
  <c r="AI779" i="12" s="1"/>
  <c r="Z779" i="12"/>
  <c r="U762" i="12"/>
  <c r="AI762" i="12" s="1"/>
  <c r="Z762" i="12"/>
  <c r="U745" i="12"/>
  <c r="AI745" i="12" s="1"/>
  <c r="Z745" i="12"/>
  <c r="AJ745" i="12" s="1"/>
  <c r="U715" i="12"/>
  <c r="AI715" i="12" s="1"/>
  <c r="Z715" i="12"/>
  <c r="AJ715" i="12" s="1"/>
  <c r="U693" i="12"/>
  <c r="AI693" i="12" s="1"/>
  <c r="Z693" i="12"/>
  <c r="AJ693" i="12" s="1"/>
  <c r="U677" i="12"/>
  <c r="AI677" i="12" s="1"/>
  <c r="Z677" i="12"/>
  <c r="AJ677" i="12" s="1"/>
  <c r="Z658" i="12"/>
  <c r="AJ658" i="12" s="1"/>
  <c r="U658" i="12"/>
  <c r="AI658" i="12" s="1"/>
  <c r="Z698" i="12"/>
  <c r="AJ698" i="12" s="1"/>
  <c r="Z690" i="12"/>
  <c r="AJ690" i="12" s="1"/>
  <c r="Z682" i="12"/>
  <c r="AJ682" i="12" s="1"/>
  <c r="Z674" i="12"/>
  <c r="AJ674" i="12" s="1"/>
  <c r="Z666" i="12"/>
  <c r="AJ666" i="12" s="1"/>
  <c r="Z683" i="12"/>
  <c r="AJ683" i="12" s="1"/>
  <c r="Z675" i="12"/>
  <c r="AJ675" i="12" s="1"/>
  <c r="Z667" i="12"/>
  <c r="AJ667" i="12" s="1"/>
  <c r="Z665" i="12"/>
  <c r="AJ665" i="12" s="1"/>
  <c r="U665" i="12"/>
  <c r="AI665" i="12" s="1"/>
  <c r="Z1043" i="12"/>
  <c r="U1043" i="12"/>
  <c r="U661" i="12"/>
  <c r="AI661" i="12" s="1"/>
  <c r="Z490" i="12"/>
  <c r="AJ490" i="12" s="1"/>
  <c r="AI490" i="12"/>
  <c r="U654" i="12"/>
  <c r="AI654" i="12" s="1"/>
  <c r="Z654" i="12"/>
  <c r="AJ654" i="12" s="1"/>
  <c r="U650" i="12"/>
  <c r="AI650" i="12" s="1"/>
  <c r="Z650" i="12"/>
  <c r="AJ650" i="12" s="1"/>
  <c r="U646" i="12"/>
  <c r="AI646" i="12" s="1"/>
  <c r="Z646" i="12"/>
  <c r="AJ646" i="12" s="1"/>
  <c r="U642" i="12"/>
  <c r="AI642" i="12" s="1"/>
  <c r="Z642" i="12"/>
  <c r="AJ642" i="12" s="1"/>
  <c r="U638" i="12"/>
  <c r="AI638" i="12" s="1"/>
  <c r="Z638" i="12"/>
  <c r="AJ638" i="12" s="1"/>
  <c r="U634" i="12"/>
  <c r="AI634" i="12" s="1"/>
  <c r="Z634" i="12"/>
  <c r="AJ634" i="12" s="1"/>
  <c r="U630" i="12"/>
  <c r="AI630" i="12" s="1"/>
  <c r="Z630" i="12"/>
  <c r="AJ630" i="12" s="1"/>
  <c r="U626" i="12"/>
  <c r="AI626" i="12" s="1"/>
  <c r="Z626" i="12"/>
  <c r="AJ626" i="12" s="1"/>
  <c r="U622" i="12"/>
  <c r="AI622" i="12" s="1"/>
  <c r="Z622" i="12"/>
  <c r="AJ622" i="12" s="1"/>
  <c r="U618" i="12"/>
  <c r="AI618" i="12" s="1"/>
  <c r="Z618" i="12"/>
  <c r="AJ618" i="12" s="1"/>
  <c r="U614" i="12"/>
  <c r="AI614" i="12" s="1"/>
  <c r="Z614" i="12"/>
  <c r="AJ614" i="12" s="1"/>
  <c r="U610" i="12"/>
  <c r="AI610" i="12" s="1"/>
  <c r="Z610" i="12"/>
  <c r="AJ610" i="12" s="1"/>
  <c r="U606" i="12"/>
  <c r="AI606" i="12" s="1"/>
  <c r="Z606" i="12"/>
  <c r="AJ606" i="12" s="1"/>
  <c r="U602" i="12"/>
  <c r="AI602" i="12" s="1"/>
  <c r="Z602" i="12"/>
  <c r="AJ602" i="12" s="1"/>
  <c r="U598" i="12"/>
  <c r="AI598" i="12" s="1"/>
  <c r="Z598" i="12"/>
  <c r="AJ598" i="12" s="1"/>
  <c r="Z588" i="12"/>
  <c r="AJ588" i="12" s="1"/>
  <c r="U588" i="12"/>
  <c r="AI588" i="12" s="1"/>
  <c r="Z585" i="12"/>
  <c r="AJ585" i="12" s="1"/>
  <c r="AI585" i="12"/>
  <c r="Z574" i="12"/>
  <c r="AJ574" i="12" s="1"/>
  <c r="AI574" i="12"/>
  <c r="Z569" i="12"/>
  <c r="AJ569" i="12" s="1"/>
  <c r="AI569" i="12"/>
  <c r="Z558" i="12"/>
  <c r="AJ558" i="12" s="1"/>
  <c r="AI558" i="12"/>
  <c r="Z553" i="12"/>
  <c r="AJ553" i="12" s="1"/>
  <c r="AI553" i="12"/>
  <c r="Z542" i="12"/>
  <c r="AJ542" i="12" s="1"/>
  <c r="AI542" i="12"/>
  <c r="Z537" i="12"/>
  <c r="AJ537" i="12" s="1"/>
  <c r="AI537" i="12"/>
  <c r="Z526" i="12"/>
  <c r="AJ526" i="12" s="1"/>
  <c r="AI526" i="12"/>
  <c r="Z506" i="12"/>
  <c r="AJ506" i="12" s="1"/>
  <c r="AI506" i="12"/>
  <c r="Z522" i="12"/>
  <c r="AJ522" i="12" s="1"/>
  <c r="AI522" i="12"/>
  <c r="U652" i="12"/>
  <c r="AI652" i="12" s="1"/>
  <c r="Z652" i="12"/>
  <c r="AJ652" i="12" s="1"/>
  <c r="U648" i="12"/>
  <c r="AI648" i="12" s="1"/>
  <c r="Z648" i="12"/>
  <c r="AJ648" i="12" s="1"/>
  <c r="U644" i="12"/>
  <c r="AI644" i="12" s="1"/>
  <c r="Z644" i="12"/>
  <c r="AJ644" i="12" s="1"/>
  <c r="U640" i="12"/>
  <c r="AI640" i="12" s="1"/>
  <c r="Z640" i="12"/>
  <c r="AJ640" i="12" s="1"/>
  <c r="U636" i="12"/>
  <c r="AI636" i="12" s="1"/>
  <c r="Z636" i="12"/>
  <c r="AJ636" i="12" s="1"/>
  <c r="U632" i="12"/>
  <c r="AI632" i="12" s="1"/>
  <c r="Z632" i="12"/>
  <c r="AJ632" i="12" s="1"/>
  <c r="U628" i="12"/>
  <c r="AI628" i="12" s="1"/>
  <c r="Z628" i="12"/>
  <c r="AJ628" i="12" s="1"/>
  <c r="U624" i="12"/>
  <c r="AI624" i="12" s="1"/>
  <c r="Z624" i="12"/>
  <c r="AJ624" i="12" s="1"/>
  <c r="U620" i="12"/>
  <c r="AI620" i="12" s="1"/>
  <c r="Z620" i="12"/>
  <c r="AJ620" i="12" s="1"/>
  <c r="U616" i="12"/>
  <c r="AI616" i="12" s="1"/>
  <c r="Z616" i="12"/>
  <c r="AJ616" i="12" s="1"/>
  <c r="U612" i="12"/>
  <c r="AI612" i="12" s="1"/>
  <c r="Z612" i="12"/>
  <c r="AJ612" i="12" s="1"/>
  <c r="U608" i="12"/>
  <c r="AI608" i="12" s="1"/>
  <c r="Z608" i="12"/>
  <c r="AJ608" i="12" s="1"/>
  <c r="U604" i="12"/>
  <c r="AI604" i="12" s="1"/>
  <c r="Z604" i="12"/>
  <c r="AJ604" i="12" s="1"/>
  <c r="U600" i="12"/>
  <c r="AI600" i="12" s="1"/>
  <c r="Z600" i="12"/>
  <c r="AJ600" i="12" s="1"/>
  <c r="U596" i="12"/>
  <c r="AI596" i="12" s="1"/>
  <c r="Z596" i="12"/>
  <c r="AJ596" i="12" s="1"/>
  <c r="Z591" i="12"/>
  <c r="AJ591" i="12" s="1"/>
  <c r="U591" i="12"/>
  <c r="AI591" i="12" s="1"/>
  <c r="Z582" i="12"/>
  <c r="AJ582" i="12" s="1"/>
  <c r="AI582" i="12"/>
  <c r="Z577" i="12"/>
  <c r="AJ577" i="12" s="1"/>
  <c r="AI577" i="12"/>
  <c r="Z566" i="12"/>
  <c r="AJ566" i="12" s="1"/>
  <c r="AI566" i="12"/>
  <c r="Z561" i="12"/>
  <c r="AJ561" i="12" s="1"/>
  <c r="AI561" i="12"/>
  <c r="Z550" i="12"/>
  <c r="AJ550" i="12" s="1"/>
  <c r="AI550" i="12"/>
  <c r="Z545" i="12"/>
  <c r="AJ545" i="12" s="1"/>
  <c r="AI545" i="12"/>
  <c r="Z534" i="12"/>
  <c r="AJ534" i="12" s="1"/>
  <c r="AI534" i="12"/>
  <c r="Z529" i="12"/>
  <c r="AJ529" i="12" s="1"/>
  <c r="AI529" i="12"/>
  <c r="U594" i="12"/>
  <c r="AI594" i="12" s="1"/>
  <c r="AI580" i="12"/>
  <c r="AI572" i="12"/>
  <c r="AI564" i="12"/>
  <c r="AI556" i="12"/>
  <c r="AI548" i="12"/>
  <c r="AI540" i="12"/>
  <c r="AI532" i="12"/>
  <c r="AI524" i="12"/>
  <c r="AI508" i="12"/>
  <c r="AI492" i="12"/>
  <c r="AI476" i="12"/>
  <c r="AI460" i="12"/>
  <c r="Z449" i="12"/>
  <c r="AJ449" i="12" s="1"/>
  <c r="AI449" i="12"/>
  <c r="Z444" i="12"/>
  <c r="AJ444" i="12" s="1"/>
  <c r="AI444" i="12"/>
  <c r="U595" i="12"/>
  <c r="AI595" i="12" s="1"/>
  <c r="U587" i="12"/>
  <c r="AI587" i="12" s="1"/>
  <c r="AI581" i="12"/>
  <c r="AI573" i="12"/>
  <c r="AI565" i="12"/>
  <c r="AI557" i="12"/>
  <c r="AI549" i="12"/>
  <c r="AI541" i="12"/>
  <c r="AI533" i="12"/>
  <c r="AI525" i="12"/>
  <c r="Z513" i="12"/>
  <c r="AJ513" i="12" s="1"/>
  <c r="AI513" i="12"/>
  <c r="Z497" i="12"/>
  <c r="AJ497" i="12" s="1"/>
  <c r="AI497" i="12"/>
  <c r="Z481" i="12"/>
  <c r="AJ481" i="12" s="1"/>
  <c r="AI481" i="12"/>
  <c r="Z465" i="12"/>
  <c r="AJ465" i="12" s="1"/>
  <c r="AI465" i="12"/>
  <c r="Z514" i="12"/>
  <c r="AJ514" i="12" s="1"/>
  <c r="AI514" i="12"/>
  <c r="Z498" i="12"/>
  <c r="AJ498" i="12" s="1"/>
  <c r="AI498" i="12"/>
  <c r="Z482" i="12"/>
  <c r="AJ482" i="12" s="1"/>
  <c r="AI482" i="12"/>
  <c r="Z466" i="12"/>
  <c r="AJ466" i="12" s="1"/>
  <c r="AI466" i="12"/>
  <c r="Z521" i="12"/>
  <c r="AJ521" i="12" s="1"/>
  <c r="AI521" i="12"/>
  <c r="Z505" i="12"/>
  <c r="AJ505" i="12" s="1"/>
  <c r="AI505" i="12"/>
  <c r="Z489" i="12"/>
  <c r="AJ489" i="12" s="1"/>
  <c r="AI489" i="12"/>
  <c r="Z473" i="12"/>
  <c r="AJ473" i="12" s="1"/>
  <c r="AI473" i="12"/>
  <c r="Z457" i="12"/>
  <c r="AJ457" i="12" s="1"/>
  <c r="AI457" i="12"/>
  <c r="Z452" i="12"/>
  <c r="AJ452" i="12" s="1"/>
  <c r="AI452" i="12"/>
  <c r="AI519" i="12"/>
  <c r="AI511" i="12"/>
  <c r="AI503" i="12"/>
  <c r="AI495" i="12"/>
  <c r="AI487" i="12"/>
  <c r="AI479" i="12"/>
  <c r="AI471" i="12"/>
  <c r="AI463" i="12"/>
  <c r="AI455" i="12"/>
  <c r="AI447" i="12"/>
  <c r="AI520" i="12"/>
  <c r="AI512" i="12"/>
  <c r="AI504" i="12"/>
  <c r="AI496" i="12"/>
  <c r="AI488" i="12"/>
  <c r="AI480" i="12"/>
  <c r="AI472" i="12"/>
  <c r="AI464" i="12"/>
  <c r="AI456" i="12"/>
  <c r="AI448" i="12"/>
  <c r="AI458" i="12"/>
  <c r="AI450" i="12"/>
  <c r="AI442" i="12"/>
  <c r="A40" i="17"/>
  <c r="A32" i="17"/>
  <c r="A24" i="17"/>
  <c r="A46" i="17"/>
  <c r="A38" i="17"/>
  <c r="A30" i="17"/>
  <c r="A22" i="17"/>
  <c r="Z434" i="12"/>
  <c r="AJ434" i="12" s="1"/>
  <c r="Z419" i="12"/>
  <c r="AJ419" i="12" s="1"/>
  <c r="AI419" i="12"/>
  <c r="Z402" i="12"/>
  <c r="AJ402" i="12" s="1"/>
  <c r="Z366" i="12"/>
  <c r="AJ366" i="12" s="1"/>
  <c r="Z356" i="12"/>
  <c r="AJ356" i="12" s="1"/>
  <c r="Z304" i="12"/>
  <c r="AJ304" i="12" s="1"/>
  <c r="Z292" i="12"/>
  <c r="AJ292" i="12" s="1"/>
  <c r="Z181" i="12"/>
  <c r="AJ181" i="12" s="1"/>
  <c r="Z182" i="12"/>
  <c r="AJ182" i="12" s="1"/>
  <c r="Z183" i="12"/>
  <c r="AJ183" i="12" s="1"/>
  <c r="Z169" i="12"/>
  <c r="AJ169" i="12" s="1"/>
  <c r="Z168" i="12"/>
  <c r="AJ168" i="12" s="1"/>
  <c r="Z127" i="12"/>
  <c r="AJ127" i="12" s="1"/>
  <c r="Z122" i="12"/>
  <c r="AJ122" i="12" s="1"/>
  <c r="Z125" i="12"/>
  <c r="AJ125" i="12" s="1"/>
  <c r="Z126" i="12"/>
  <c r="AJ126" i="12" s="1"/>
  <c r="Z104" i="12"/>
  <c r="AJ104" i="12" s="1"/>
  <c r="Z97" i="12"/>
  <c r="AJ97" i="12" s="1"/>
  <c r="Z92" i="12"/>
  <c r="AJ92" i="12" s="1"/>
  <c r="Z88" i="12"/>
  <c r="AJ88" i="12" s="1"/>
  <c r="Z87" i="12"/>
  <c r="AJ87" i="12" s="1"/>
  <c r="Z86" i="12"/>
  <c r="AJ86" i="12" s="1"/>
  <c r="Z85" i="12"/>
  <c r="AJ85" i="12" s="1"/>
  <c r="Z83" i="12"/>
  <c r="AJ83" i="12" s="1"/>
  <c r="Z82" i="12"/>
  <c r="AJ82" i="12" s="1"/>
  <c r="Z48" i="12"/>
  <c r="AJ48" i="12" s="1"/>
  <c r="Z54" i="12"/>
  <c r="AJ54" i="12" s="1"/>
</calcChain>
</file>

<file path=xl/sharedStrings.xml><?xml version="1.0" encoding="utf-8"?>
<sst xmlns="http://schemas.openxmlformats.org/spreadsheetml/2006/main" count="7081" uniqueCount="847">
  <si>
    <t>Today's Leave Status</t>
  </si>
  <si>
    <t>Upcomming Leave for next 7 days</t>
  </si>
  <si>
    <t>Platform/Designation</t>
  </si>
  <si>
    <t>Account</t>
  </si>
  <si>
    <t>Employee Name</t>
  </si>
  <si>
    <t>Emp Name</t>
  </si>
  <si>
    <t>Date</t>
  </si>
  <si>
    <t>Leave Type</t>
  </si>
  <si>
    <t>Reason</t>
  </si>
  <si>
    <t>Reference Links</t>
  </si>
  <si>
    <t>Global Team ID's</t>
  </si>
  <si>
    <t>EMEA TEAM ID's</t>
  </si>
  <si>
    <t xml:space="preserve">Status Changes to be followed </t>
  </si>
  <si>
    <t xml:space="preserve">Handover Video Link 1- </t>
  </si>
  <si>
    <t>https://publicisgroupe-my.sharepoint.com/:v:/g/personal/mrichoub_publicisgroupe_net/ESYTqHDDPvJKgyqB46iwldoBZQfkYksG1v6jpz-ufU4M4w</t>
  </si>
  <si>
    <t>In progress: ad-ops will select this when the lines are being built and are not yet complete. The data team will exclude these from their dimensions table.</t>
  </si>
  <si>
    <t xml:space="preserve">Handover Video Link 2( Recap) - </t>
  </si>
  <si>
    <t>https://publicisgroupe-my.sharepoint.com/personal/mrichoub_publicisgroupe_net/_layouts/15/stream.aspx?id=%2Fpersonal%2Fmrichoub%5Fpublicisgroupe%5Fnet%2FDocuments%2FEMEA%20Elezabeth%20Ad%20Ops%2FCrocs%2FCrocs%20Trafficking%20recap%2D20231128%5F173644%2DMeeting%20Recording%2Emp4&amp;referrer=StreamWebApp%2EWeb&amp;referrerScenario=AddressBarCopied%2Eview</t>
  </si>
  <si>
    <t>Complete: these lines have been completed by ad-ops and are ready to be used.</t>
  </si>
  <si>
    <t xml:space="preserve">2024 Crocs Global Team Video Link - </t>
  </si>
  <si>
    <t>Crocs _ FY24 Trafficking Sheets, Process, and Timeline Connect-20231205_080637-Meeting Recording.mp4</t>
  </si>
  <si>
    <t>Live: activation teams will switch to live once inputted into the campaigns and are being used.</t>
  </si>
  <si>
    <t>Links to 2024 trafficking sheets:</t>
  </si>
  <si>
    <t>China: China 2024</t>
  </si>
  <si>
    <t>India: India 2024</t>
  </si>
  <si>
    <t>Japan: Japan 2024</t>
  </si>
  <si>
    <t>Korea: Korea 2024</t>
  </si>
  <si>
    <t>We use EMEA Link -</t>
  </si>
  <si>
    <t>EMEA: EMEA 2024</t>
  </si>
  <si>
    <t xml:space="preserve">Taxonomy definition's Link- </t>
  </si>
  <si>
    <t>Updated 2024 Taxonomxy Definitions.xlsx</t>
  </si>
  <si>
    <t xml:space="preserve">Crocs Process PPT Link - </t>
  </si>
  <si>
    <t>https://publicisgroupe-my.sharepoint.com/:p:/r/personal/mrichoub_publicisgroupe_net/_layouts/15/Doc.aspx?sourcedoc=%7B315F843B-90DD-41E3-A6C7-F0358A4880E6%7D&amp;file=Crocs%20-%20trafficking%20process%20Presentation.pptx&amp;action=edit&amp;mobileredirect=true</t>
  </si>
  <si>
    <t>Crocs Global Process PPT Link -</t>
  </si>
  <si>
    <t>Crocs_Global Trafficking Process_2024_Updated.pptx</t>
  </si>
  <si>
    <t xml:space="preserve">Campaign components asset trackers Link - </t>
  </si>
  <si>
    <t>Asset Handoff Tracker(2024) Excel sheet -</t>
  </si>
  <si>
    <t>Crocs_EMEA_Asset Handoff Tracker_2024.xlsx</t>
  </si>
  <si>
    <t>Asset Handoff Tracker(2023) Excel sheet -</t>
  </si>
  <si>
    <t>2023_Crocs_Campaign_TraffickingSheet_EMEA_Social_Q4 (3).xlsx</t>
  </si>
  <si>
    <t xml:space="preserve">DPT - Master Global Marketing Folder (Digitas Folder) - </t>
  </si>
  <si>
    <t>SAMSUNG</t>
  </si>
  <si>
    <t>MARRIOTT</t>
  </si>
  <si>
    <t>CROCS</t>
  </si>
  <si>
    <t>WELLA</t>
  </si>
  <si>
    <t>NCL</t>
  </si>
  <si>
    <t>BUPA</t>
  </si>
  <si>
    <t>CATHAY PACIFIC</t>
  </si>
  <si>
    <t>POC</t>
  </si>
  <si>
    <t>E-MAIL ID</t>
  </si>
  <si>
    <t>Global Team POC</t>
  </si>
  <si>
    <t xml:space="preserve">EMEA Team POC </t>
  </si>
  <si>
    <t>T-sheet QA POC's - DNA Team</t>
  </si>
  <si>
    <t>Social Team</t>
  </si>
  <si>
    <t>Migena Sadikaj</t>
  </si>
  <si>
    <t>migena.sadikaj@starcomww.com</t>
  </si>
  <si>
    <t>Banah Kayyali</t>
  </si>
  <si>
    <t>banah.kayyali@publicismedia.com</t>
  </si>
  <si>
    <t>Caroline Bredeur</t>
  </si>
  <si>
    <t>caroline.brodeur@digitas.com</t>
  </si>
  <si>
    <t>Grace Khoo - Meta , Instagram</t>
  </si>
  <si>
    <t>grace.khoo@digitas.com</t>
  </si>
  <si>
    <t>Martina Urbani</t>
  </si>
  <si>
    <t>martina.urbani@digitas.com</t>
  </si>
  <si>
    <t>Laurie O Riordon</t>
  </si>
  <si>
    <t>laurie.oriordan@digitas.com</t>
  </si>
  <si>
    <t>Monica Ciobanu</t>
  </si>
  <si>
    <t>monica.ciobanu@digitas.com</t>
  </si>
  <si>
    <t>Ellis Aston</t>
  </si>
  <si>
    <t>ellis.aston@performics.com</t>
  </si>
  <si>
    <t>Sirine Baghdadi</t>
  </si>
  <si>
    <t>sirine.baghdadi@sparkfoundryww.com</t>
  </si>
  <si>
    <t xml:space="preserve">Anna Bosco </t>
  </si>
  <si>
    <t>anna.bosco@digitas.com</t>
  </si>
  <si>
    <t>Sujay Naik- Meta , Instagram , Boosting</t>
  </si>
  <si>
    <t>sujay.naik@publicismedia.com</t>
  </si>
  <si>
    <t>Tazz Mkukuma</t>
  </si>
  <si>
    <t>tazz.mkukuma@digitas.com</t>
  </si>
  <si>
    <t>Maria Thomprou</t>
  </si>
  <si>
    <t>maria.tomprou@publicismedia.com</t>
  </si>
  <si>
    <t>Amy Hooper</t>
  </si>
  <si>
    <t>amy.hooper@publicismedia.com</t>
  </si>
  <si>
    <t>Yaniv</t>
  </si>
  <si>
    <t>Peggy Yau - Tiktok, Boosting</t>
  </si>
  <si>
    <t>peggy.yau@digitas.com</t>
  </si>
  <si>
    <t>Anush Mittal</t>
  </si>
  <si>
    <t>anush.mittal@publicismedia.com</t>
  </si>
  <si>
    <t>Elliot Preston</t>
  </si>
  <si>
    <t>elliot.preston@publicismedia.com</t>
  </si>
  <si>
    <t>Mohammed Younus</t>
  </si>
  <si>
    <t>mohammed.younus@publicismedia.com</t>
  </si>
  <si>
    <t>Shivani Kainth</t>
  </si>
  <si>
    <t>shivani.kainth@digitas.com</t>
  </si>
  <si>
    <t>Alice Betterton</t>
  </si>
  <si>
    <t>alice.betterton@starcomww.com</t>
  </si>
  <si>
    <t>Lara Quinn</t>
  </si>
  <si>
    <t>lara.quinn@digitas.com</t>
  </si>
  <si>
    <t>Laila Sissoko</t>
  </si>
  <si>
    <t>lalia.sissoko@digitas.com</t>
  </si>
  <si>
    <t>Garima Dewan</t>
  </si>
  <si>
    <t>garima.dewan@publicismedia.com</t>
  </si>
  <si>
    <t>Maximillian Sage</t>
  </si>
  <si>
    <t>maximillian.sage@starcomww.com</t>
  </si>
  <si>
    <t>Franco Passuello Da Rosa</t>
  </si>
  <si>
    <t>franco.passuellodarosa@publicismedia.com</t>
  </si>
  <si>
    <t>Media Tech Team ( adds missing details to the t-sheet )</t>
  </si>
  <si>
    <t>DCM &amp; PUB Served Team</t>
  </si>
  <si>
    <t>Shridhar Methar</t>
  </si>
  <si>
    <t>shridhar.methar@publicismedia.com</t>
  </si>
  <si>
    <t>Ed Hughes</t>
  </si>
  <si>
    <t>ed.hughes@starcomww.com</t>
  </si>
  <si>
    <t>Michael Efthymiou</t>
  </si>
  <si>
    <t>michael.efthymiou@digitas.com</t>
  </si>
  <si>
    <t>Hailey Studley</t>
  </si>
  <si>
    <t>hailey.studley@digitas.com</t>
  </si>
  <si>
    <t>Elliot Preston- Youtube, PM Precision DV360, Criteo</t>
  </si>
  <si>
    <t>Liam Salhotra</t>
  </si>
  <si>
    <t>liam.salhotra@performics.com</t>
  </si>
  <si>
    <t>Vivan Tram</t>
  </si>
  <si>
    <t>vivian.tram@digitas.com</t>
  </si>
  <si>
    <t>Kaylan Waldron</t>
  </si>
  <si>
    <t>kaylan.waldron@digitas.com</t>
  </si>
  <si>
    <t>Piyali Rahut - Youtube, Criteo</t>
  </si>
  <si>
    <t>piyali.rahut@publicismedia.com</t>
  </si>
  <si>
    <t>Toby Morris</t>
  </si>
  <si>
    <t>toby.morris@epsilon.com</t>
  </si>
  <si>
    <t>Melissa Edmunds</t>
  </si>
  <si>
    <t>melissa.edmunds@starcomww.com</t>
  </si>
  <si>
    <t>Pranit Surve</t>
  </si>
  <si>
    <t>pranit.surve@sparkfoundryww.com</t>
  </si>
  <si>
    <t>Jozi Lenart</t>
  </si>
  <si>
    <t>jozi.lenart@starcomww.com</t>
  </si>
  <si>
    <t>Jyothi Tiwari</t>
  </si>
  <si>
    <t>jyoti.tiwary@publicismedia.com</t>
  </si>
  <si>
    <t>Media Team ( clears doubts on the t-sheet)</t>
  </si>
  <si>
    <t>Copy, Headlines &amp; Creatives Info Team</t>
  </si>
  <si>
    <t>Kezie</t>
  </si>
  <si>
    <t>Hazel Kearney</t>
  </si>
  <si>
    <t>hazel.kearney@starcomww.com</t>
  </si>
  <si>
    <t>Muskan Khare</t>
  </si>
  <si>
    <t>muskan.khare@publicismedia.com</t>
  </si>
  <si>
    <t>Mandi K Vanderveen</t>
  </si>
  <si>
    <t>mandi.vanderveen@digitas.com</t>
  </si>
  <si>
    <t>Jessica Hughes</t>
  </si>
  <si>
    <t>jessica.hughes@digitas.com</t>
  </si>
  <si>
    <t>Hiruni Gunashekara</t>
  </si>
  <si>
    <t>hiruni.gunasekara@starcomww.com</t>
  </si>
  <si>
    <t>Nancy</t>
  </si>
  <si>
    <t>nancy@publicismedia.com</t>
  </si>
  <si>
    <t>Aislynn Murphy</t>
  </si>
  <si>
    <t>aislynn.murphy@digitas.com</t>
  </si>
  <si>
    <t>Harriett  Witherden</t>
  </si>
  <si>
    <t>harriett.witherden@digitas.com</t>
  </si>
  <si>
    <t>Mitchelle Ezeiruoma</t>
  </si>
  <si>
    <t>mitchelle.ezeiruoma@performics.com</t>
  </si>
  <si>
    <t>Aishwarya Shinde</t>
  </si>
  <si>
    <t>aishwarya.shinde@publicismedia.com</t>
  </si>
  <si>
    <t>Sophie Roff</t>
  </si>
  <si>
    <t>sophie.roff@publicismedia.com</t>
  </si>
  <si>
    <t>Karan Shelar</t>
  </si>
  <si>
    <t>karan.shelar@publicismedia.com</t>
  </si>
  <si>
    <t>Sara Sjogren</t>
  </si>
  <si>
    <t>sara.sjogren@performics.com</t>
  </si>
  <si>
    <t>Vandita Mohta</t>
  </si>
  <si>
    <t>vandita.mohta@publicismedia.com</t>
  </si>
  <si>
    <t>Sky Premsuk</t>
  </si>
  <si>
    <t>sky.premsuk@publicismedia.com</t>
  </si>
  <si>
    <t>Prasoon Garg</t>
  </si>
  <si>
    <t>prasoon.garg@publicismedia.com</t>
  </si>
  <si>
    <t>James Dunn</t>
  </si>
  <si>
    <t>james.dunn@performics.com</t>
  </si>
  <si>
    <t>Vishwanath Akhilesh</t>
  </si>
  <si>
    <t>kvishwanath.akilesh@publicismedia.com</t>
  </si>
  <si>
    <t>Alyssa Aningslan</t>
  </si>
  <si>
    <t>alyssa.aningalan@starcomww.com</t>
  </si>
  <si>
    <t>Samar Bin Qamar</t>
  </si>
  <si>
    <t>samar.binqamar@publicismedia.com</t>
  </si>
  <si>
    <t>Charis Wong</t>
  </si>
  <si>
    <t>charis.wong@starcomww.com</t>
  </si>
  <si>
    <t>Rishav Pandey</t>
  </si>
  <si>
    <t>rishav.pandey@publicismedia.com</t>
  </si>
  <si>
    <t>Tucker Homan</t>
  </si>
  <si>
    <t>tucker.homan@digitas.com</t>
  </si>
  <si>
    <t>Nicholas Kwilecki</t>
  </si>
  <si>
    <t>nicholas.kwilecki@starcomww.com</t>
  </si>
  <si>
    <t>Darja Koenig</t>
  </si>
  <si>
    <t>darja.koenig@starcomww.com</t>
  </si>
  <si>
    <t>Crocs CM trafficking POC's:</t>
  </si>
  <si>
    <t>Samsung Display Team</t>
  </si>
  <si>
    <t>samsung_display_team_smg_team_gbr@groups.publicisgroupe.net</t>
  </si>
  <si>
    <t>Millie Ruddy</t>
  </si>
  <si>
    <t>millie.ruddy@digitas.com</t>
  </si>
  <si>
    <t>Samsung UK</t>
  </si>
  <si>
    <t>samsunguk.gdd.ind@performics.convonix.com</t>
  </si>
  <si>
    <t>Jeremy Breeden</t>
  </si>
  <si>
    <t>jeremy.breeden@publicismedia.com</t>
  </si>
  <si>
    <t>Mohit Saxena</t>
  </si>
  <si>
    <t>mohit.saxena@publicis.com</t>
  </si>
  <si>
    <t>Anup Patil</t>
  </si>
  <si>
    <t>anup.patil@publicisgroupe.com</t>
  </si>
  <si>
    <t>Arti Srivastava</t>
  </si>
  <si>
    <t>arti.srivastava@publicismedia.com</t>
  </si>
  <si>
    <t>Bharat Devanaboyana</t>
  </si>
  <si>
    <t>bharat.devanaboyana@publicismedia.com</t>
  </si>
  <si>
    <t>Ranjit Nair</t>
  </si>
  <si>
    <t>ranjit.nair@starcomww.com</t>
  </si>
  <si>
    <t>Trafficking Row No:</t>
  </si>
  <si>
    <t>To</t>
  </si>
  <si>
    <t>Type of Creative</t>
  </si>
  <si>
    <t>QA fields to be checked</t>
  </si>
  <si>
    <t>From</t>
  </si>
  <si>
    <t>Video/Audio</t>
  </si>
  <si>
    <t>QA Points</t>
  </si>
  <si>
    <t>Mrinal</t>
  </si>
  <si>
    <t>mrinal.choubey@publicismedia.com</t>
  </si>
  <si>
    <t>RE: [Marriot] T-Sheet for MILux Campaign</t>
  </si>
  <si>
    <t>cc</t>
  </si>
  <si>
    <t>Team</t>
  </si>
  <si>
    <t>adopsindia_digitasuk@publicismedia.com</t>
  </si>
  <si>
    <t>Rich Media</t>
  </si>
  <si>
    <t>General</t>
  </si>
  <si>
    <t>All the placements were unique, no duplicate placements</t>
  </si>
  <si>
    <t>Utsav</t>
  </si>
  <si>
    <t>utsav.gulati@publicismedia.com</t>
  </si>
  <si>
    <t>Row No:</t>
  </si>
  <si>
    <t>Request Sub</t>
  </si>
  <si>
    <t xml:space="preserve">[Ad Ops QA Digitas] </t>
  </si>
  <si>
    <t>Display</t>
  </si>
  <si>
    <t>Campaign name is as per trafficking sheet</t>
  </si>
  <si>
    <t>Bhavya</t>
  </si>
  <si>
    <t>bhavya.chinthamani@publicismedia.com</t>
  </si>
  <si>
    <t>Tracking</t>
  </si>
  <si>
    <t>Associated to correct Advertiser name</t>
  </si>
  <si>
    <t>Rafath</t>
  </si>
  <si>
    <t>mohammad.rafath@publicismedia.com</t>
  </si>
  <si>
    <t>HTML5 Creative</t>
  </si>
  <si>
    <t>Campaign Date Range is as per trafficking sheet</t>
  </si>
  <si>
    <t>Adarsh</t>
  </si>
  <si>
    <t>adarsh.singh@publicismedia.com</t>
  </si>
  <si>
    <t>Floodlight</t>
  </si>
  <si>
    <t>Default Landing Page as per trafficking sheet</t>
  </si>
  <si>
    <t>Sahil</t>
  </si>
  <si>
    <t>sahil.mirza@publicismedia.com</t>
  </si>
  <si>
    <t>Steps to use the QA mail generation,</t>
  </si>
  <si>
    <t>Trafficking Sheet</t>
  </si>
  <si>
    <t>Impressions/Click Event Tags status</t>
  </si>
  <si>
    <t>Ganesh</t>
  </si>
  <si>
    <t>ganesh.ranalkar@publicismedia.com</t>
  </si>
  <si>
    <r>
      <t>1) Finish your trafficking, update the person to do QA in the "</t>
    </r>
    <r>
      <rPr>
        <b/>
        <sz val="11"/>
        <color indexed="8"/>
        <rFont val="Calibri"/>
        <family val="2"/>
      </rPr>
      <t>UK Task 24</t>
    </r>
    <r>
      <rPr>
        <sz val="11"/>
        <color theme="1"/>
        <rFont val="Calibri"/>
        <family val="2"/>
        <scheme val="minor"/>
      </rPr>
      <t xml:space="preserve">" tab under </t>
    </r>
    <r>
      <rPr>
        <b/>
        <sz val="11"/>
        <color indexed="8"/>
        <rFont val="Calibri"/>
        <family val="2"/>
      </rPr>
      <t xml:space="preserve">Column T </t>
    </r>
    <r>
      <rPr>
        <sz val="11"/>
        <color theme="1"/>
        <rFont val="Calibri"/>
        <family val="2"/>
        <scheme val="minor"/>
      </rPr>
      <t>of your traffcked row</t>
    </r>
  </si>
  <si>
    <t>All Placements are Active</t>
  </si>
  <si>
    <t>Namit</t>
  </si>
  <si>
    <t>namit.lalchandani@publicismedia.com</t>
  </si>
  <si>
    <t>Campaign Name:</t>
  </si>
  <si>
    <t>MK~ES_AR~DIG_HO~WPWP_MB~WPCR_BR~WPCA_CN~FY … IA DV360 VIDEO_CP~3301270086_OB~AWA_CG~HCE</t>
  </si>
  <si>
    <r>
      <t xml:space="preserve">2) go to the sheet </t>
    </r>
    <r>
      <rPr>
        <b/>
        <sz val="11"/>
        <color indexed="8"/>
        <rFont val="Calibri"/>
        <family val="2"/>
      </rPr>
      <t>QA_Email</t>
    </r>
  </si>
  <si>
    <t>All placement trafficked as per Trafficking sheet</t>
  </si>
  <si>
    <t>Campaign ID:</t>
  </si>
  <si>
    <r>
      <t xml:space="preserve">3) Input the row number to be QA, in the cell </t>
    </r>
    <r>
      <rPr>
        <b/>
        <sz val="11"/>
        <color indexed="8"/>
        <rFont val="Calibri"/>
        <family val="2"/>
      </rPr>
      <t>B1</t>
    </r>
    <r>
      <rPr>
        <sz val="11"/>
        <color theme="1"/>
        <rFont val="Calibri"/>
        <family val="2"/>
        <scheme val="minor"/>
      </rPr>
      <t xml:space="preserve">, then Campaign details will be fetched in the table along with the Row No in </t>
    </r>
    <r>
      <rPr>
        <b/>
        <sz val="11"/>
        <color indexed="8"/>
        <rFont val="Calibri"/>
        <family val="2"/>
      </rPr>
      <t>B9</t>
    </r>
  </si>
  <si>
    <t>All placement trafficked under correct dimension</t>
  </si>
  <si>
    <t>Placement Count:</t>
  </si>
  <si>
    <r>
      <t xml:space="preserve">4) </t>
    </r>
    <r>
      <rPr>
        <sz val="11"/>
        <color theme="1"/>
        <rFont val="Calibri"/>
        <family val="2"/>
        <scheme val="minor"/>
      </rPr>
      <t>Select the type of creative in the cell</t>
    </r>
    <r>
      <rPr>
        <b/>
        <sz val="11"/>
        <color indexed="8"/>
        <rFont val="Calibri"/>
        <family val="2"/>
      </rPr>
      <t xml:space="preserve"> B16</t>
    </r>
    <r>
      <rPr>
        <sz val="11"/>
        <color theme="1"/>
        <rFont val="Calibri"/>
        <family val="2"/>
        <scheme val="minor"/>
      </rPr>
      <t xml:space="preserve"> (from drop down option)</t>
    </r>
  </si>
  <si>
    <t>Placement date range as per Trafficking sheet</t>
  </si>
  <si>
    <t>Ad Count:</t>
  </si>
  <si>
    <r>
      <t xml:space="preserve">5) </t>
    </r>
    <r>
      <rPr>
        <sz val="11"/>
        <color theme="1"/>
        <rFont val="Calibri"/>
        <family val="2"/>
        <scheme val="minor"/>
      </rPr>
      <t>Click on button</t>
    </r>
    <r>
      <rPr>
        <b/>
        <sz val="11"/>
        <color indexed="8"/>
        <rFont val="Calibri"/>
        <family val="2"/>
      </rPr>
      <t xml:space="preserve"> "Email QA request"</t>
    </r>
  </si>
  <si>
    <t>Ad associated with correct Placements</t>
  </si>
  <si>
    <t>Creative Count:</t>
  </si>
  <si>
    <r>
      <t>6)</t>
    </r>
    <r>
      <rPr>
        <sz val="11"/>
        <color theme="1"/>
        <rFont val="Calibri"/>
        <family val="2"/>
        <scheme val="minor"/>
      </rPr>
      <t xml:space="preserve"> Update the</t>
    </r>
    <r>
      <rPr>
        <b/>
        <sz val="11"/>
        <color indexed="8"/>
        <rFont val="Calibri"/>
        <family val="2"/>
      </rPr>
      <t xml:space="preserve"> Campaign ID in the table, in mail</t>
    </r>
  </si>
  <si>
    <t>Cost structure enable, if Yes it should be asper trafficking sheet</t>
  </si>
  <si>
    <t>Request Type:</t>
  </si>
  <si>
    <t>Campaign Trafficking</t>
  </si>
  <si>
    <r>
      <t xml:space="preserve">7) </t>
    </r>
    <r>
      <rPr>
        <sz val="11"/>
        <color theme="1"/>
        <rFont val="Calibri"/>
        <family val="2"/>
        <scheme val="minor"/>
      </rPr>
      <t>Attach the Trafficking sheet in the mail</t>
    </r>
  </si>
  <si>
    <t>Auto wrapping Enabled</t>
  </si>
  <si>
    <t>Type of creative:</t>
  </si>
  <si>
    <t>8) Send the mail</t>
  </si>
  <si>
    <t>All Ads are Active</t>
  </si>
  <si>
    <t>All Default Ads are active</t>
  </si>
  <si>
    <t>Ad Start date is today's date and End Date placement end date</t>
  </si>
  <si>
    <t>Status (Yes/No) or Notes</t>
  </si>
  <si>
    <t>Ad Start time is 12:00 AM and end time is 11:59 PM</t>
  </si>
  <si>
    <t>Ad associated with correct Creatives</t>
  </si>
  <si>
    <t>In case of multiple creative use, Creative rotation: Even</t>
  </si>
  <si>
    <t>Correct Landing Page Assigned</t>
  </si>
  <si>
    <t>[Ad Ops QA Digitas] RE: [Wella ] | Wella OPI | Tag request</t>
  </si>
  <si>
    <t>VPAID enabled or disabled for Video placement as per request</t>
  </si>
  <si>
    <t>Video Skip button time enabled or disabled</t>
  </si>
  <si>
    <t>Companion Banner applied</t>
  </si>
  <si>
    <t>Video duration is as per request</t>
  </si>
  <si>
    <t>Studio creative checked with the feed sheet</t>
  </si>
  <si>
    <t>Studio creative is dynamic targeting key is properly implemented</t>
  </si>
  <si>
    <t>Image/Gif creative dimensions are correct</t>
  </si>
  <si>
    <t>HTML5 dimensions are correct</t>
  </si>
  <si>
    <t>Floodlight Activity group</t>
  </si>
  <si>
    <t>Floodlight Counting method</t>
  </si>
  <si>
    <t>Floodlight Status</t>
  </si>
  <si>
    <t>Floodlight Naming Conversion</t>
  </si>
  <si>
    <t>Floodlight Audience if it has to be created</t>
  </si>
  <si>
    <t>Floodlight Advertiser Name</t>
  </si>
  <si>
    <t>Floodlight Custom Varilables</t>
  </si>
  <si>
    <t>Floodlight Dynamic Default Tags</t>
  </si>
  <si>
    <t>Floodlight Dynamic Publisher Tags</t>
  </si>
  <si>
    <t>All details are their in the trafficking sheet created as per the Campaign requirement</t>
  </si>
  <si>
    <t>Number of Trafficking sheet QA</t>
  </si>
  <si>
    <t>Number of Campaigns</t>
  </si>
  <si>
    <t>Video/Audio plays with Sound</t>
  </si>
  <si>
    <t>Display creative is blurry or looks incorrect</t>
  </si>
  <si>
    <t>Work Code</t>
  </si>
  <si>
    <t>CM360 Account ID</t>
  </si>
  <si>
    <t>HFM Description</t>
  </si>
  <si>
    <t>Channel</t>
  </si>
  <si>
    <t>Revised Advertiser</t>
  </si>
  <si>
    <t>HFM</t>
  </si>
  <si>
    <t>Final Roar Job No.</t>
  </si>
  <si>
    <t>Roar Job Name</t>
  </si>
  <si>
    <t>POC Name</t>
  </si>
  <si>
    <t>POC Email ID</t>
  </si>
  <si>
    <t>KRA</t>
  </si>
  <si>
    <t>Digitas UK Media</t>
  </si>
  <si>
    <t>TAAG - AdOps</t>
  </si>
  <si>
    <t>Wella</t>
  </si>
  <si>
    <t>GB3639</t>
  </si>
  <si>
    <t>X5192-006065-00</t>
  </si>
  <si>
    <t>GB3639&gt;TAAG Ad&gt;Digitas&gt;TAAG&gt;Wella&gt;2023</t>
  </si>
  <si>
    <t>Gaurav Hole, Joseph Greenlees, Ben Annang</t>
  </si>
  <si>
    <t>gaurav.hole@publicismedia.com; joseph.greenlees@digitas.com; ben.annang@digitas.com</t>
  </si>
  <si>
    <t>TAAG - Adops</t>
  </si>
  <si>
    <t>Cathay Pacific</t>
  </si>
  <si>
    <t>X5192-006176-00</t>
  </si>
  <si>
    <t>GB3639&gt;TAAG&gt;Digita&gt;TAAG&gt;CathayPacif&gt;2023</t>
  </si>
  <si>
    <t>INDIVIDUAL</t>
  </si>
  <si>
    <t>X5192-005601-00</t>
  </si>
  <si>
    <t>GB3639&gt;TAAG -&gt;TAAG -&gt;Crocs&gt;2022</t>
  </si>
  <si>
    <t>Elliot Preston, Ellis Williams, Hailey Studley, Dominic Jay</t>
  </si>
  <si>
    <t>elliot.preston@publicismedia.com; ellis.williams@digitas.com; hailey.studley@digitas.com; dominic.jay@digitas.com</t>
  </si>
  <si>
    <t>1. Maintain Appropriate Utilization</t>
  </si>
  <si>
    <t>Klaviyo</t>
  </si>
  <si>
    <t>X5192-009103-00</t>
  </si>
  <si>
    <t>GB3639&gt;Digita&gt;Taag -&gt;KLAVIYO INC</t>
  </si>
  <si>
    <t>2. Zero External Errors / Escalations</t>
  </si>
  <si>
    <t>BAVARIAN NORDIC</t>
  </si>
  <si>
    <t>X5192-009595-00</t>
  </si>
  <si>
    <t>GB3639&gt;DigitasUK&gt;TAAG-AD&gt;BAVARIAN NORDIC</t>
  </si>
  <si>
    <t>Ben Annang</t>
  </si>
  <si>
    <t>ben.annang@digitas.com</t>
  </si>
  <si>
    <t>3. Meeting Project SLA’s</t>
  </si>
  <si>
    <t>MONZO</t>
  </si>
  <si>
    <t>X5192-010392-00</t>
  </si>
  <si>
    <t>GB3639&gt;Digitas UK&gt;TAAG-Adops&gt;MONZO UK</t>
  </si>
  <si>
    <t>Kiran Kurup, Tai Kim</t>
  </si>
  <si>
    <t>kiran.kurup@publicismedia.com; tae.kim@digitas.com</t>
  </si>
  <si>
    <t>VISA</t>
  </si>
  <si>
    <t>X5192-010657-00</t>
  </si>
  <si>
    <t>GB3639&gt;Digitas UK&gt;TAAG-Adops&gt;VISA</t>
  </si>
  <si>
    <t>Simon Alexander, Zane Khaleeque, Samuel Olivar</t>
  </si>
  <si>
    <t>simon.alexander@digitas.com; zane.khaleeque@publicismedia.com; samuel.olivar@publicismedia.com</t>
  </si>
  <si>
    <t>Starcom UK Media</t>
  </si>
  <si>
    <t>P&amp;G</t>
  </si>
  <si>
    <t>GB9279</t>
  </si>
  <si>
    <t>X5192-002146-00</t>
  </si>
  <si>
    <t>GB9279&gt;TAAG - A&gt;TAAG - A&gt;P&amp;G&gt;2022</t>
  </si>
  <si>
    <t>George Tsang, Ade Davis-Lawal</t>
  </si>
  <si>
    <t>george.tsang@publicismedia.com; ade.davis-lawal@publicismedia.com</t>
  </si>
  <si>
    <t>4. Continuous improvement on internal errors</t>
  </si>
  <si>
    <t>5. Number of Internal capturing errors should be comparatively higher on a regular basis.</t>
  </si>
  <si>
    <t>6. Taking account ownership</t>
  </si>
  <si>
    <t>7. Improved efficiency on par with team’s performance</t>
  </si>
  <si>
    <t>Leave Job code</t>
  </si>
  <si>
    <t>8. New Process Learning (Minimum one new / client process should be learned) in each quarter.</t>
  </si>
  <si>
    <t xml:space="preserve">9. Minimum one initiative in each quarter </t>
  </si>
  <si>
    <t>Digitas UK</t>
  </si>
  <si>
    <t>Digitas Leave</t>
  </si>
  <si>
    <t>H5192-000131-00</t>
  </si>
  <si>
    <t>GB3639&gt;Digitas UK Med&gt;Absence/Leave Time</t>
  </si>
  <si>
    <t>10. Needs to be a Team Player (Contributing &amp; Supporting the team whenever required)</t>
  </si>
  <si>
    <t>Starcom UK</t>
  </si>
  <si>
    <t>Starcom Leave</t>
  </si>
  <si>
    <t>H5192-000082-00</t>
  </si>
  <si>
    <t>GB9279&gt;Starcom UK&gt;Absence/Leave Time</t>
  </si>
  <si>
    <t>11. Should be following policies &amp; ethics of Team &amp; Organization.</t>
  </si>
  <si>
    <t>12. Documentation</t>
  </si>
  <si>
    <t>a. Be a part of process documentation.</t>
  </si>
  <si>
    <t>b. Update</t>
  </si>
  <si>
    <t>Update on Holi leave</t>
  </si>
  <si>
    <t>c. Knowledge sharing</t>
  </si>
  <si>
    <t>Adobe Team</t>
  </si>
  <si>
    <t>Harmeet, Gokul, Sana</t>
  </si>
  <si>
    <t>3rd March</t>
  </si>
  <si>
    <t>Saurav and Mukul</t>
  </si>
  <si>
    <t>4th March</t>
  </si>
  <si>
    <t>Update on Holi leave based on locations</t>
  </si>
  <si>
    <t>Mumbai, Pune, Bangalore &amp; Hyderabad</t>
  </si>
  <si>
    <t>Gurgaon</t>
  </si>
  <si>
    <t>Month: Day</t>
  </si>
  <si>
    <t>Client</t>
  </si>
  <si>
    <t>Sent By</t>
  </si>
  <si>
    <t>Camapign Type</t>
  </si>
  <si>
    <r>
      <rPr>
        <b/>
        <sz val="10"/>
        <color indexed="40"/>
        <rFont val="Calibri"/>
        <family val="2"/>
      </rPr>
      <t>CM360</t>
    </r>
    <r>
      <rPr>
        <b/>
        <sz val="10"/>
        <color indexed="9"/>
        <rFont val="Calibri"/>
        <family val="2"/>
      </rPr>
      <t xml:space="preserve"> Campaign Name</t>
    </r>
  </si>
  <si>
    <r>
      <rPr>
        <b/>
        <sz val="10"/>
        <color indexed="52"/>
        <rFont val="Arial"/>
        <family val="2"/>
      </rPr>
      <t>Email</t>
    </r>
    <r>
      <rPr>
        <b/>
        <sz val="10"/>
        <color indexed="9"/>
        <rFont val="Arial"/>
        <family val="2"/>
      </rPr>
      <t xml:space="preserve"> Subject Line</t>
    </r>
  </si>
  <si>
    <t>Request Type</t>
  </si>
  <si>
    <t>Trafficker</t>
  </si>
  <si>
    <t>Placement Count</t>
  </si>
  <si>
    <t>Creative Count</t>
  </si>
  <si>
    <t>Ad Count</t>
  </si>
  <si>
    <t>Live date</t>
  </si>
  <si>
    <t>Trafficking Time</t>
  </si>
  <si>
    <t>Trafficking Status</t>
  </si>
  <si>
    <t>Trafficking Note</t>
  </si>
  <si>
    <t>Trafficking week No</t>
  </si>
  <si>
    <t>Trafficking Month</t>
  </si>
  <si>
    <t>Trafficking Day</t>
  </si>
  <si>
    <t>QA Person</t>
  </si>
  <si>
    <t>QA Status</t>
  </si>
  <si>
    <t>QA Note</t>
  </si>
  <si>
    <t>QA Time</t>
  </si>
  <si>
    <t>Post live QA Person</t>
  </si>
  <si>
    <t>Post live QA date</t>
  </si>
  <si>
    <t>Post live QA status</t>
  </si>
  <si>
    <t>Email Subject Line2</t>
  </si>
  <si>
    <t>Post live QA Week</t>
  </si>
  <si>
    <t>Time for Post live QA</t>
  </si>
  <si>
    <t>Date of Post live QA</t>
  </si>
  <si>
    <t>Post live QA Note</t>
  </si>
  <si>
    <t>Post Live QA Week Day</t>
  </si>
  <si>
    <t>Post live QA Month Date</t>
  </si>
  <si>
    <t>Trafficing Comment</t>
  </si>
  <si>
    <t>Post QA Comment</t>
  </si>
  <si>
    <t>Post live QA Comment</t>
  </si>
  <si>
    <t>Jan : Tuesday</t>
  </si>
  <si>
    <t>Banothu Sai Manoj</t>
  </si>
  <si>
    <t>Programmatic</t>
  </si>
  <si>
    <t>MK~DE_AR~DIG_HO~CPCP_BN~CPCP_LI~CLSTR_CN~FY26Q3 WELLA COLOR STRONG DACH YT DV360_CP~3301295606_OB~AC_CG~HCO</t>
  </si>
  <si>
    <t xml:space="preserve">WELLA | FY26Q3 COLOR STRONG DACH | TAG REQUEST </t>
  </si>
  <si>
    <t>Ajay</t>
  </si>
  <si>
    <t>Completed</t>
  </si>
  <si>
    <t>Done</t>
  </si>
  <si>
    <t>Qa done on 7 jan</t>
  </si>
  <si>
    <t>Gaurav</t>
  </si>
  <si>
    <t>MK~UK_AR~DIG_HO~WPWP_BN~WPWP_LI~MLTI_CN~FY26Q3 WELLA PRO ULTIMATE COLOR UK APEX YT BUMPER_CP~3301295692_OB~AWA_CG~HCE</t>
  </si>
  <si>
    <t>WELLA | FY26Q3 ULTIMATE COLOR UK | TAG REQUEST</t>
  </si>
  <si>
    <t>Include teams chat/Calls</t>
  </si>
  <si>
    <t>MK~UK_AR~DIG_HO~WPWP_BN~WPWP_LI~MLTI_CN~FY26Q3 WELLA PRO ULTIMATE COLOR UK APEX YT SKIPPABLE_CP~3301295692_OB~AWA_CG~HCE</t>
  </si>
  <si>
    <t>Ben</t>
  </si>
  <si>
    <t>Vimkunya</t>
  </si>
  <si>
    <t>BAVARIAN NORDICS | VIMKUNYA | DOCEREE | UK | TRAFFICKING SHEET - AB TESTING</t>
  </si>
  <si>
    <t>Teams Chat/Call</t>
  </si>
  <si>
    <t>Not Required</t>
  </si>
  <si>
    <t>MK~UK_AR~DIG_HO~SPSP_BN~SPSS_LI~MLTI_CN~FY26Q3 WELLA SEBASTIAN UK DISNEY SPONSORSHIP_CP~3301290568_OB~AWA_CG~HSG</t>
  </si>
  <si>
    <t>WELLA | FY26Q3 SEBASTIAN UK | TAG REQUEST</t>
  </si>
  <si>
    <t>QA done on 12 Jan</t>
  </si>
  <si>
    <t>Anush</t>
  </si>
  <si>
    <t>MK~DE_AR~DIG_HO~CPCP_MB~CPCP_BR~CPCP_CN~FY26Q1 WELLA COLOUR STRONG DACH YT DV360_CP~3301277872_OB~AWA_CG~HCO</t>
  </si>
  <si>
    <t>NA</t>
  </si>
  <si>
    <t>Reporting</t>
  </si>
  <si>
    <t>Kiran</t>
  </si>
  <si>
    <t>PB_GBR_CURRENT_DISPLAY_AWARE_ALL_REACH_Reach_Brand_BRAND_NA_NA_NA_2026_FEB_Propel info_Direct Buy</t>
  </si>
  <si>
    <t>FW: Digitas x Monzo | Tagging support</t>
  </si>
  <si>
    <t>QA done on 15 jan</t>
  </si>
  <si>
    <t>PB_GBR_CURRENT_DISPLAY_AWARE_ALL_REACH_Reach_Brand_BRAND_NA_NA_NA_2026_FEB_The Caterer_Direct Buy</t>
  </si>
  <si>
    <t>PB_GBR_CURRENT_VIDEO_AWARE_ALL_REACH_Reach_Brand_BRAND_NA_NA_NA_2026_FEB_Uber_Direct Buy</t>
  </si>
  <si>
    <t>PB_GBR_CURRENT_DISPLAY_AWARE_ALL_REACH_Reach_Brand_BRAND_NA_NA_NA_2026_FEB_Atom Publishing_Direct Buy</t>
  </si>
  <si>
    <t>BB_GBR_CURRENT_RADIO_AWARE_ALL_REACH_Reach_Brand_BRAND_NA_NA_NA_2026_JAN_PMP</t>
  </si>
  <si>
    <t>RE: Digitas x Monzo | Tagging support I Radio</t>
  </si>
  <si>
    <t>MK~UK_AR~DIG_HO~WPWP_BN~WPWP_LI~MLTI_CN~FY26Q3 WELLA PRO ULTIMATE COLOR UK TTD VYDE_CP~3301295692_CI~FY26Q3 WELLA PRO ULTIMATE COLOR UK TTD VYDE_OB~AWA_CG~HCO</t>
  </si>
  <si>
    <t>RE: WELLA | FY26Q3 ULTIMATE COLOR UK | TAG REQUEST</t>
  </si>
  <si>
    <t>MK~UK_AR~DIG_HO~WPWP_BN~WPWP_LI~MLTI_CN~FY26Q3 WELLA PRO ULTIMATE COLOR UK TTD COMCAST_CP~3301295692_CI~FY26Q3 WELLA PRO ULTIMATE COLOR UK COMCAST TTD_OB~AWA_CG~HCO</t>
  </si>
  <si>
    <t>QA done on 16 jan</t>
  </si>
  <si>
    <t>Nishant</t>
  </si>
  <si>
    <t>Klaviyo_2025_Evergreen_EMEA_Benelux</t>
  </si>
  <si>
    <t>Klaviyo EMEA - Trafficking Request - Omnichannel Updated - Q1 2026</t>
  </si>
  <si>
    <t>QA done on 21 jan</t>
  </si>
  <si>
    <t>Klaviyo_2025_Evergreen_EMEA_FR</t>
  </si>
  <si>
    <t>Klaviyo_2025_Evergreen_EMEA_IT</t>
  </si>
  <si>
    <t>Klaviyo_2025_Evergreen_EMEA_Nordics</t>
  </si>
  <si>
    <t>Klaviyo_2025_Evergreen_EMEA_SP</t>
  </si>
  <si>
    <t>Klaviyo_2025_EMEA_Evergreen_UK</t>
  </si>
  <si>
    <t>MK~UK_AR~DIG_HO~CPCP_BN~CPCP_LI~MLTI_CN~FY26Q3 WELLA NNE CORE UK APEX HAWK DISPLAY RTG_CP~3301297010_OB~AWA_CG~HCO</t>
  </si>
  <si>
    <t>WELLA | FY26Q3 NNE - UK | TAG REQUEST</t>
  </si>
  <si>
    <t>2 campaigns</t>
  </si>
  <si>
    <t>MK~UK_AR~DIG_HO~CPCP_BN~CPCP_LI~MLTI_CN~FY26Q3 WELLA NNE CORE UK APEX YT SKIPPABLE_CP~3301297010_OB~AWA_CG~HCO</t>
  </si>
  <si>
    <t>MK~UK_AR~DIG_HO~CPCP_BN~CPCP_LI~MLTI_CN~FY26Q3 WELLA NNE CORE UK AMAZON PRIME_CP~3301297011_OB~AWA_CG~HCO</t>
  </si>
  <si>
    <t>MK~UK_AR~DIG_HO~CPCP_BN~CPCP_LI~MLTI_CN~FY26Q3 WELLA NNE CORE UK APEX YT NON SKIPPABLE_CP~3301297010_OB~AWA_CG~HCO</t>
  </si>
  <si>
    <t>MK~UK_AR~DIG_HO~CPCP_BN~CPCP_LI~MLTI_CN~FY26Q3 WELLA NNE CORE UK APEX OGURY VIDEO_CP~3301297011_OB~AWA_CG~HCO</t>
  </si>
  <si>
    <t>Elliot</t>
  </si>
  <si>
    <t>Crocs - S1 - Trafficking request</t>
  </si>
  <si>
    <t>MK~UK_AR~DIG_HO~CPCP_BN~CPCP_LI~MLTI_CN~FY26Q3 WELLA NNE CORE UK ITV BUMPER_CP~3301297011_OB~AWA_CG~HCO</t>
  </si>
  <si>
    <t>RE: WELLA | FY26Q3 NNE - UK | TAG REQUEST</t>
  </si>
  <si>
    <t>MK~UK_AR~DIG_HO~CPCP_BN~CPCP_LI~MLTI_CN~FY26Q3 WELLA NNE CORE UK ITV BVOD_CP~3301297011_OB~AWA_CG~HCO</t>
  </si>
  <si>
    <t>RE: Digitas x Monzo | Tagging support</t>
  </si>
  <si>
    <t>2025_s4_crocsdigitas_cjanthem_uk_disneyplus_vv</t>
  </si>
  <si>
    <t>2025_s4_crocsdigitas_cjanthem_de_disneyplus_vv</t>
  </si>
  <si>
    <t>2025_s4_crocsdigitas_cjanthem_fr_kargo_vv</t>
  </si>
  <si>
    <t>QA done on 23 jan</t>
  </si>
  <si>
    <t>Lalia</t>
  </si>
  <si>
    <t>Trafficking Request - BN UK Vimkunya Doceree AB Testing</t>
  </si>
  <si>
    <t>Multiple to and fro</t>
  </si>
  <si>
    <t>QA done on 27 Jan</t>
  </si>
  <si>
    <t>WP_BN~WPWP_LI~MLTI_CN~FY26Q3 WELLA PRO ULTIMATE COLOR UK TTD COMCAST_CP~3301295692_CI~FY26Q3 WELLA PRO ULTIMATE COLOR UK COMCAST TTD_OB~AWA_CG~HCO</t>
  </si>
  <si>
    <t>Tazz</t>
  </si>
  <si>
    <t>Klaviyo EMEA - Trafficking Request - MailChimp - Q1 2026</t>
  </si>
  <si>
    <t>Klaviyo_2025_Evergreen_EMEA_DACH</t>
  </si>
  <si>
    <t>MK~IT_AR~DIG_HO~WPWP_BN~WPWP_LI~MLTI_CN~FY26Q3 WELLA PRO ULTIMATE COLOR ITALY DV360 YouTube_CP~3301293735_OB~AWA_CG~HCO</t>
  </si>
  <si>
    <t>WELLA | FY26Q3 ULTIMATE COLOR - ITALY | TAG REQUEST</t>
  </si>
  <si>
    <t>BB_GBR_CURRENT_VIDEO_AWARE_ALL_REACH_Reach_Brand_BRAND_NA_NA_NA_2026_FEB_OLV</t>
  </si>
  <si>
    <t>RE: Digitas x Monzo | Tagging support I OLV</t>
  </si>
  <si>
    <t>Klaviyo EMEA - Trafficking Request - Demand Gen - Q1 2026</t>
  </si>
  <si>
    <t>Shivani</t>
  </si>
  <si>
    <t>Klaviyo_2025_Evergreen_EMEA_UK</t>
  </si>
  <si>
    <t>Klaviyo EMEA - Trafficking Request - OLV - Q1 2026</t>
  </si>
  <si>
    <t>Dhiraj</t>
  </si>
  <si>
    <t>MK~UK_AR~DIG_HO~CPCP_BN~CPCP_LI~MLTI_CN~FY26Q3 WELLA NNE CORE UK ITV PROMO_CP~3301297011_OB~AWA_CG~HCO</t>
  </si>
  <si>
    <t>Re: Klaviyo EMEA - Trafficking Request - OLV - Q1 2026</t>
  </si>
  <si>
    <t>QA done on 29 Jan</t>
  </si>
  <si>
    <t>RE: Klaviyo EMEA - Trafficking Request - Demand Gen - Q1 2026</t>
  </si>
  <si>
    <t>Crocs - S1 - Echo - trafficking</t>
  </si>
  <si>
    <t>QA done on 30 Jan</t>
  </si>
  <si>
    <t>Ade</t>
  </si>
  <si>
    <t>https://jira.publicismedia.com/browse/TAAGPNG-1930</t>
  </si>
  <si>
    <t>February VOD 2026 Part 1 2 &amp; 3</t>
  </si>
  <si>
    <t>https://jira.publicismedia.com/browse/TAAGPNG-1932</t>
  </si>
  <si>
    <t>https://jira.publicismedia.com/browse/TAAGPNG-1934</t>
  </si>
  <si>
    <t>Sara</t>
  </si>
  <si>
    <t>RE: Trafficking Request - BN UK Vimkunya Doceree AB Testing</t>
  </si>
  <si>
    <t>Troubleshooting</t>
  </si>
  <si>
    <t>BB_GBR_CURRENT_CTV_AWARE_ALL_REACH_Reach_Brand_BRAND_NA_NA_NA_2026_FEB_PMP</t>
  </si>
  <si>
    <t>RE: Digitas x Monzo | Tagging support I CTV</t>
  </si>
  <si>
    <t>RE: RE: Digitas x Monzo | Tagging support I OLV</t>
  </si>
  <si>
    <t>RE: RE: Digitas x Monzo | Tagging support I CTV</t>
  </si>
  <si>
    <t>Katie</t>
  </si>
  <si>
    <t>RE: Crocs - S1 - Echo - trafficking</t>
  </si>
  <si>
    <t>FEB VOD 2026 Part 4</t>
  </si>
  <si>
    <t>https://jira.publicismedia.com/browse/TAAGPNG-1938</t>
  </si>
  <si>
    <t>Digitas x Monzo | Tagging support I TTD_Retargeting</t>
  </si>
  <si>
    <t>Klaviyo EMEA - Trafficking Request - DACH RTG - Growth Phase - Q1 2026</t>
  </si>
  <si>
    <t>QA done on 4 feb</t>
  </si>
  <si>
    <t>Crocs S1 - new placements to traffic</t>
  </si>
  <si>
    <t>QA done on 6th Feb</t>
  </si>
  <si>
    <t>https://jira.publicismedia.com/browse/TAAGPNG-1940</t>
  </si>
  <si>
    <t>Feb Vod Part 5</t>
  </si>
  <si>
    <t>Sai</t>
  </si>
  <si>
    <t>MK~FR_AR~DIG_HO~SPSP_BN~SPSS_LI~MLTI_CN~FY26Q3 WELLA SEBASTIAN FRANCE APEX YT SKIPPABLE_CP~3301296787_OB~AWA_CG~HCE</t>
  </si>
  <si>
    <t>WELLA | FY26Q3 WELLA SEBASTIAN FRANCE | TAG REQUEST</t>
  </si>
  <si>
    <t>MK~FR_AR~DIG_HO~SPSP_BN~SPSS_LI~MLTI_CN~FY26Q3 WELLA SEBASTIAN FRANCE APEX YT BUMPER_CP~3301296787_OB~AWA_CG~HCE</t>
  </si>
  <si>
    <t>MK~FR_AR~DIG_HO~SPSP_BN~SPSS_LI~MLTI_CN~FY26Q3 WELLA SEBASTIAN FRANCE YT MASTHEAD_CP~3301296787_OB~AWA_CG~HCE</t>
  </si>
  <si>
    <t>2026_s1_crocsdigitas_cjanthem_uk_disneyplus_vv</t>
  </si>
  <si>
    <t>2026_s1_crocsdigitas_cjanthem_de_disneyplus_vv</t>
  </si>
  <si>
    <t>BB_GBR_CURRENT_CTV_AWARE_ALL_REACH_Reach_Brand_BRAND_NA_NA_NA_2026_FEB_</t>
  </si>
  <si>
    <t>RE: Digitas x Monzo | Tagging support I TTD_Retargeting</t>
  </si>
  <si>
    <t>RE: Klaviyo EMEA - Trafficking Request - Mailchimp HTML - Q4 2025</t>
  </si>
  <si>
    <t>Tae</t>
  </si>
  <si>
    <t xml:space="preserve">RE: Klaviyo_ Mailchip_ HTM5 Issue </t>
  </si>
  <si>
    <t>MK~IT_AR~DIG_HO~WPWP_BN~WPWP_LI~MLTI_CN~FY26Q3 WELLA PRO ULTIMATE COLOR ITALY DV360 YOUTUBE_CP~3301293735_OB~AWA_CG~HCO</t>
  </si>
  <si>
    <t>RE: WELLA | FY26Q3 ULTIMATE COLOR - ITALY | TAG REQUEST</t>
  </si>
  <si>
    <t>Re-trafficking required</t>
  </si>
  <si>
    <t>QA done on 11 feb</t>
  </si>
  <si>
    <t>Re-trafficking done</t>
  </si>
  <si>
    <t>RE: URGENT - Cathay Pacific trafficking - DIG AUDIO</t>
  </si>
  <si>
    <t>Eloise</t>
  </si>
  <si>
    <t>CathayPacific_2026_Q2_ChooseCathay</t>
  </si>
  <si>
    <t>QA done on 12th Feb</t>
  </si>
  <si>
    <t>MK~UK_AR~DIG_HO~CPCP_BN~CPCP_LI~MLTI_CN~FY26Q3 WELLA NNE BOLD UK AMAZON PRIME_CP~3301297011_OB~AWA_CG~HCO</t>
  </si>
  <si>
    <t>MK~UK_AR~DIG_HO~CPCP_BN~CPCP_LI~MLTI_CN~FY26Q3 WELLA NNE BOLD UK APEX HAWK DISPLAY RTG_CP~3301297010_OB~AWA_CG~HCO</t>
  </si>
  <si>
    <t>MK~UK_AR~DIG_HO~CPCP_BN~CPCP_LI~MLTI_CN~FY26Q3 WELLA NNE BOLD UK APEX YT NON SKIPPABLE_CP~3301297010_OB~AWA_CG~HCO</t>
  </si>
  <si>
    <t>MK~UK_AR~DIG_HO~CPCP_BN~CPCP_LI~MLTI_CN~FY26Q3 WELLA NNE BOLD UK APEX YT SKIPPABLE_CP~3301297010_OB~AWA_CG~HCO</t>
  </si>
  <si>
    <t>MK~UK_AR~DIG_HO~CPCP_BN~CPCP_LI~MLTI_CN~FY26Q3 WELLA NNE BOLD UK ITV BVOD_CP~3301297011_OB~AWA_CG~HCO</t>
  </si>
  <si>
    <t>MK~UK_AR~DIG_HO~CPCP_BN~CPCP_LI~MLTI_CN~FY26Q3 WELLA NNE BOLD UK ITV PROMO_CP~3301297011_OB~AWA_CG~HCO</t>
  </si>
  <si>
    <t>MK~UK_AR~DIG_HO~CPCP_BN~CPCP_LI~MLTI_CN~FY26Q3 WELLA NNE BOLD UK APEX OGURY VIDEO_CP~3301297011_OB~AWA_CG~HCO</t>
  </si>
  <si>
    <t>CathayPacific_2026_Q1_ChooseCathay</t>
  </si>
  <si>
    <t>Choose Cathay Trafficking Request</t>
  </si>
  <si>
    <t>QA done on 16th Feb</t>
  </si>
  <si>
    <t>MK~UK_AR~DIG_HO~SPSP_BN~SPSS_LI~MLTI_CN~FY26Q3 WELLA SEBASTIAN UK APEX YT BUMPER_CP~3301290568_OB~AWA_CG~HSG</t>
  </si>
  <si>
    <t>RE: WELLA | FY26Q3 SEBASTIAN UK | TAG REQUEST</t>
  </si>
  <si>
    <t>MK~UK_AR~DIG_HO~SPSP_BN~SPSS_LI~MLTI_CN~FY26Q3 SEBASTIAN UK AMAZON TWITCH_CP~3301290568_OB~AWA_CG~HSG</t>
  </si>
  <si>
    <t>MK~DE_AR~DIG_HO~WPWP_BN~WPWP_LI~MLTI_CN~FY26Q3 WELLA PRO CARE ULTIMATE COLOR DACH AMAZON VIDEO_CP~3301297750_OB~AWA_CG~HCO</t>
  </si>
  <si>
    <t>WELLA | FY26Q3 PRO CARE ULTIMATE COLOR - DACH | TAG REQUEST</t>
  </si>
  <si>
    <t>MK~DE_AR~DIG_HO~WPWP_BN~WPWP_LI~MLTI_CN~FY26Q3 WELLA PRO CARE ULTIMATE COLOR DACH DV360 YT BUMPER_CP~3301297750_OB~AWA_CG~HCE</t>
  </si>
  <si>
    <t>MK~DE_AR~DIG_HO~WPWP_BN~WPWP_LI~MLTI_CN~FY26Q3 WELLA PRO CARE ULTIMATE COLOR DACH DV360 YT SKIPPABLE_CP~3301297750_OB~AWA_CG~HCO</t>
  </si>
  <si>
    <t>RE: WELLA | FY26Q3 WELLA SEBASTIAN FRANCE | TAG REQUEST</t>
  </si>
  <si>
    <t>QA done on 18th Feb</t>
  </si>
  <si>
    <t>Jordan</t>
  </si>
  <si>
    <t>RE: Choose Cathay Trafficking Request</t>
  </si>
  <si>
    <t>Eliose</t>
  </si>
  <si>
    <t>RE: WELLA | FY26Q3 PRO CARE ULTIMATE COLOR - DACH | TAG REQUEST</t>
  </si>
  <si>
    <t xml:space="preserve">MK~DE_AR~DIG_HO~WPWP_BN~WPWP_LI~MLTI_CN~FY26Q3 WELLA PRO CARE ULTIMATE COLOR DACH DV360 YT SKIPPABLE_CP~3301297750_OB~AWA_CG~HCO </t>
  </si>
  <si>
    <t>MK~UK_AR~DIG_HO~SPSP_BN~SPSS_LI~MLTI_CN~FY26Q3 WELLA SEBASTIAN UK YT MASTHEAD_CP~3301290568_OB~AWA_CG~HSG</t>
  </si>
  <si>
    <t>QA done on 20th Feb</t>
  </si>
  <si>
    <t>Training to Ajay by Namit</t>
  </si>
  <si>
    <t>March VOD 2026 Part 1</t>
  </si>
  <si>
    <t>https://jira.publicismedia.com/browse/TAAGPNG-1941</t>
  </si>
  <si>
    <t>QA done on 23rd Feb</t>
  </si>
  <si>
    <t>March VOD 2026 Part 2</t>
  </si>
  <si>
    <t>https://jira.publicismedia.com/browse/TAAGPNG-1944</t>
  </si>
  <si>
    <t>MK~FR_AR~DIG_HO~WPWP_BN~WPWP_LI~MLTI_CN~FY26Q3 ULTIMATE COLOR FRANCE APEX YT SKIPPABLE_CP~3301296788_OB~AWA_CG~HCO</t>
  </si>
  <si>
    <t>WELLA | FY26Q3 ULTIMATE COLOR FRANCE | TAG REQUEST</t>
  </si>
  <si>
    <t>QA done on 25 feb</t>
  </si>
  <si>
    <t>MK~FR_AR~DIG_HO~WPWP_BN~WPWP_LI~MLTI_CN~FY26Q3 ULTIMATE COLOR FRANCE APEX YT BUMPER_CP~3301296788_OB~AWA_CG~HCO</t>
  </si>
  <si>
    <t>MK~FR_AR~DIG_HO~WPWP_BN~WPWP_LI~MLTI_CN~FY26Q3 ULTIMATE COLOR FRANCE TTD COMCAST_CP~3301296788_CI~FY26Q3 ULTIMATE COLOR FRANCE TTD COMCAST_OB~AWA_CG~HCO</t>
  </si>
  <si>
    <t>RE: WELLA | FY26Q3 ULTIMATE COLOR FRANCE | TAG REQUEST</t>
  </si>
  <si>
    <t>MK~FR_AR~DIG_HO~WPWP_BN~WPWP_LI~MLTI_CN~FY26Q3 ULTIMATE COLOR FRANCE TTD TF1_CP~3301296788_CI~FY26Q3 ULTIMATE COLOR FRANCE TTD TF1_OB~AWA_CG~HCO</t>
  </si>
  <si>
    <t>DE HTML Creative Confirmation</t>
  </si>
  <si>
    <t>Shivangi</t>
  </si>
  <si>
    <t>Klaviyo EMEA - Trafficking Request - Display &amp; OLV - Q1 2026</t>
  </si>
  <si>
    <t xml:space="preserve">MK~FR_AR~DIG_HO~WPWP_BN~WPWP_LI~MLTI_CN~FY26Q3 ULTIMATE COLOR FRANCE TTD TF1_CP~3301296788_CI~FY26Q3 ULTIMATE COLOR FRANCE TTD TF1_OB~AWA_CG~HCO </t>
  </si>
  <si>
    <t>Re: Klaviyo EMEA - Trafficking Request - Display &amp; OLV - Q1 2026</t>
  </si>
  <si>
    <t>Klaviyo EMEA - Trafficking Request - Glow25 - DACH OLV - Q1 2026</t>
  </si>
  <si>
    <t>Klaviyo_2025_EMEA_Evergreen_UKI</t>
  </si>
  <si>
    <t xml:space="preserve">Klaviyo EMEA | Trafficking Request | Q1 2026 | KService | UKI </t>
  </si>
  <si>
    <t>QA Done on 3 march</t>
  </si>
  <si>
    <t xml:space="preserve">Klaviyo EMEA | Trafficking Request | Q1 2026 | Manucurist | FR </t>
  </si>
  <si>
    <t>Multiple discussion regarding tsheet and creatives</t>
  </si>
  <si>
    <t>Agency</t>
  </si>
  <si>
    <t>Digitas Townhall Feb</t>
  </si>
  <si>
    <t>Digitas Agency townhall</t>
  </si>
  <si>
    <t>Klaviyo EMEA - Trafficking Request - Demand Gen(Glow, Folk, Manucurist, Purdy)- Q1 2026</t>
  </si>
  <si>
    <t>RE: Klaviyo EMEA - Trafficking Request - MailChimp - Q1 2026</t>
  </si>
  <si>
    <t>Cathay Pacific - Spring Sale 2026 - trafficking</t>
  </si>
  <si>
    <t>MK~UK_AR~DIG_HO~SPSP_BN~SPSS_LI~MLTI_CN~FY26Q3 WELLA SEBASTIAN UK APEX YT SKIPPABLE_CP~3301290568_OB~AWA_CG~HSG</t>
  </si>
  <si>
    <t xml:space="preserve">Well 1x1 Process doc </t>
  </si>
  <si>
    <t xml:space="preserve">Shivangi </t>
  </si>
  <si>
    <t>Klaviyo EMEA - Trafficking Request - Gozney, Folk Clothing Display, Killstar, Dermalogica - Display - Q1 2026</t>
  </si>
  <si>
    <t xml:space="preserve">RE: WELLA | SITE ID LIST </t>
  </si>
  <si>
    <t>Wella Display Process doc Display</t>
  </si>
  <si>
    <t>CathayPacific_2026_Q2_SpringSale</t>
  </si>
  <si>
    <t>MK~IT_AR~DIG_HO~SPSP_BN~SPSS_LI~MLTI_CN~FY26Q3 WELLA SEBASTIAN ITALY SPOTIFY_CP~3301293672_OB~AWA_CG~HSG</t>
  </si>
  <si>
    <t>WELLA | FY26Q3 SEBASTIAN ITALY | TAG REQUEST</t>
  </si>
  <si>
    <t>MK~DE_AR~DIG_HO~CPCP_BN~CPCP_LI~CLSTR_CN~FY26Q4 COLOR STRONG DACH DV360 YT_CP~3301277872_OB~AC_CG~HCO</t>
  </si>
  <si>
    <t>WELLA | FY26Q4 COLOR STRONG DACH | TAG REQUEST</t>
  </si>
  <si>
    <t>MK~IT_AR~DIG_HO~WPWP_BN~WPWP_LI~MLTI_CN~FY26Q3 WELLA PRO ULTIMATE COLOR ITALY DV360 YT MASTHEAD_CP~3301293735_OB~AWA_CG~HCO</t>
  </si>
  <si>
    <t>QA done on 16 mar</t>
  </si>
  <si>
    <t>Klaviyo EMEA - Trafficking Request - FR Youtube Select - Q1 2026</t>
  </si>
  <si>
    <t>Wella Display Process doc Video</t>
  </si>
  <si>
    <t>Klaviyo Process Doc Creation 1X1, Display &amp; Video</t>
  </si>
  <si>
    <t>RE: Klaviyo EMEA - Trafficking Request - FR Youtube Select - Q1 2026</t>
  </si>
  <si>
    <t>RE: Cathay Pacific - Spring Sale 2026 - trafficking</t>
  </si>
  <si>
    <t>Archived the campaign and its placements</t>
  </si>
  <si>
    <t>Jessica</t>
  </si>
  <si>
    <t xml:space="preserve">Crocs S2 '26 - Trafficking </t>
  </si>
  <si>
    <t>Town Hall</t>
  </si>
  <si>
    <t>Digitas x Monzo I April_May I | Tagging support I CTV I Magnite</t>
  </si>
  <si>
    <t>Manoj</t>
  </si>
  <si>
    <t>MK~FR_AR~DIG_HO~WPWP_BN~WPWP_LI~MLTI_CN~FY26Q3 SUPERNATURAL COLOR FRANCE PROG HAWK RTG_CP~3301296739_OB~AWA_CG~HCO</t>
  </si>
  <si>
    <t>RE: WELLA | FY26Q3 SUPERNATURAL COLOR - FRANCE | TAG REQUEST</t>
  </si>
  <si>
    <t>April VOD 2026 Part 1</t>
  </si>
  <si>
    <t>https://jira.publicismedia.com/browse/TAAGPNG-1946</t>
  </si>
  <si>
    <t>QA done on 26 mar</t>
  </si>
  <si>
    <t>Klaviyo UK</t>
  </si>
  <si>
    <t xml:space="preserve">Call with Nishant &amp; Tae </t>
  </si>
  <si>
    <t xml:space="preserve">RE: Crocs S2 '26 - Trafficking </t>
  </si>
  <si>
    <t>April VOD 2026 Part 2</t>
  </si>
  <si>
    <t>https://jira.publicismedia.com/browse/TAAGPNG-1948</t>
  </si>
  <si>
    <t>Call with Jasmine &amp; Dylan</t>
  </si>
  <si>
    <t>2026_q2_crocsdigitas_classicsjibbitz_uk_disneyplus_vv</t>
  </si>
  <si>
    <t>2026_q2_crocsdigitas_classicsjibbitz_de_amazonprime_vv</t>
  </si>
  <si>
    <t>2026_q2_crocsdigitas_classicsjibbitz_fr_kargo_vv</t>
  </si>
  <si>
    <t>2026_q2_crocsdigitas_sandals_uk_amazonprime_vv</t>
  </si>
  <si>
    <t>2026_q2_crocsdigitas_sandals_de_amazonprime_vv</t>
  </si>
  <si>
    <t>2026_q2_crocsdigitas_sandals_fr_amazonprime_vv</t>
  </si>
  <si>
    <t>April VOD 2026 Part 3</t>
  </si>
  <si>
    <t>https://jira.publicismedia.com/browse/TAAGPNG-1950</t>
  </si>
  <si>
    <t>April VOD 2026 Part 4</t>
  </si>
  <si>
    <t>https://jira.publicismedia.com/browse/TAAGPNG-1952</t>
  </si>
  <si>
    <t>CathayPacific_2026_Q2_ChooseCathay_Phase2</t>
  </si>
  <si>
    <t>MK~ES_AR~DIG_HO~SPSP_BN~SPSS_LI~MLTI_CN~FY26Q3 SEBASTIAN IBERIA APEX YT_CP~3301304061_OB~AWA_SCA~HSG</t>
  </si>
  <si>
    <t>RE: WELLA | FY26Q3 SEBASTIAN - IBERIA | TAG REQUEST</t>
  </si>
  <si>
    <t>MK~ES_AR~DIG_HO~SPSP_BN~SPSP_LI~MLTI_CN~FY26Q3 SEBASTIAN IBERIA TTD SPOTIFY_CP~3301304061_CI~FY26Q3 SEBASTIAN IBERIA TTD SPOTIFY_OB~AWA_SCA~HSG</t>
  </si>
  <si>
    <t>QA done on 1 apr</t>
  </si>
  <si>
    <t>Shuvangi</t>
  </si>
  <si>
    <t>Klaviyo EMEA - Trafficking Request - Dermalogica Updated, Folk MOF &amp; BOF, Gozney BOF - Display - Q1 2026</t>
  </si>
  <si>
    <t>RE: Klaviyo EMEA - Trafficking Request - Manucurist -FR - Display - Q1 2026</t>
  </si>
  <si>
    <t>Kostas</t>
  </si>
  <si>
    <t>Klaviyo EMEA - Trafficking Request - FR - Contextual - Display &amp; Video - Q2</t>
  </si>
  <si>
    <t>Precious Williams</t>
  </si>
  <si>
    <t>Zane Khaleeque</t>
  </si>
  <si>
    <t>N/A</t>
  </si>
  <si>
    <t>Visa MS - Trafficking/Tagging Support KO</t>
  </si>
  <si>
    <t>Intro call of VISA, where Growth OS process was shared, and as of next step, they will share the Growth OS access for us to practice</t>
  </si>
  <si>
    <t>Intro call of VISA, where Growth OS process was shared, and as of next step, they will share the GO access for us to practice</t>
  </si>
  <si>
    <t>Klaviyo EMEA - Trafficking Request - Dermalogica Updated, Alessi MOF &amp; BOF, Freshly MOF &amp; MOF - ES &amp; IT - Display - Q1 2026</t>
  </si>
  <si>
    <t>Klaviyo_2025_Evergreen_EMEA_ES</t>
  </si>
  <si>
    <t xml:space="preserve">Discussion regarding setup </t>
  </si>
  <si>
    <t>Multiple calls with multiple POC</t>
  </si>
  <si>
    <t xml:space="preserve">Re: Crocs S2 '26 - Trafficking </t>
  </si>
  <si>
    <t>Process Doc Visa</t>
  </si>
  <si>
    <t>Klaviyo EMEA - Trafficking Request - DACH - Benchmark Report - Display - Q2 2026</t>
  </si>
  <si>
    <t>RE: Klaviyo EMEA - Trafficking Request - DACH - Benchmark Report - Display - Q2 2026</t>
  </si>
  <si>
    <t>Klaviyo EMEA - Trafficking Request - FR - Contextual - Display &amp; Video - Q2 2026 - English</t>
  </si>
  <si>
    <t>Klaviyo EMEA - Trafficking Request - Multiple Competitor - FR - Display &amp; Video - Q1 2026</t>
  </si>
  <si>
    <t>back and fro</t>
  </si>
  <si>
    <t>QA Done on 13 april</t>
  </si>
  <si>
    <t xml:space="preserve">Klaviyo EMEA - Trafficking Request - ES &amp; IT - Contextual &amp; Multicomp - Display </t>
  </si>
  <si>
    <t>QA Done on 14 april</t>
  </si>
  <si>
    <t>Klaviyo EMEA - Trafficking Request - Demand Gen - UKI &amp; Nordics - Display &amp; Video - Q1 2026</t>
  </si>
  <si>
    <t>Re: Klaviyo EMEA - Trafficking Request - Manucurist -FR - Display - Q1 2026</t>
  </si>
  <si>
    <t>Digitas make it workshop</t>
  </si>
  <si>
    <t>Re: Klaviyo EMEA - Trafficking Request - Dermalogica Updated, Folk MOF &amp; BOF, Gozney BOF - Display - Q1 2026</t>
  </si>
  <si>
    <t>QA Done on 20 april</t>
  </si>
  <si>
    <t>Klaviyo EMEA - Trafficking Request - Dermalogica Updated, Freshly MOF &amp; Manucurist - Display - Q1 2026</t>
  </si>
  <si>
    <t>QA done on 22 april</t>
  </si>
  <si>
    <t>May VOD 2026 Part 1</t>
  </si>
  <si>
    <t>https://jira.publicismedia.com/browse/TAAGPNG-1954</t>
  </si>
  <si>
    <t>QA done on 24h April</t>
  </si>
  <si>
    <t>Zane</t>
  </si>
  <si>
    <t>Growth OS Example</t>
  </si>
  <si>
    <t>May VOD 2026 Part 2</t>
  </si>
  <si>
    <t>https://jira.publicismedia.com/browse/TAAGPNG-1956</t>
  </si>
  <si>
    <t>Klaviyo EMEA - Global Brands - FR - DV360 - Trafficking Request</t>
  </si>
  <si>
    <t>back and fro has to retrafficked again</t>
  </si>
  <si>
    <t>Klaviyo EMEA - URL Update Request - Multiple Creatives - Display - Q1 2026</t>
  </si>
  <si>
    <t>Klaviyo EMEA - Placement Name &amp; URL Update Request - Omnichannel Video German Updated - Q1 2026</t>
  </si>
  <si>
    <t>Klaviyo_2025_EMEA_Brand_UKI</t>
  </si>
  <si>
    <t xml:space="preserve">Klaviyo EMEA - Octave - UKI - 1x1 - Trafficking Request </t>
  </si>
  <si>
    <t>Klaviyo EMEA - Creative Asset Update Request - Multiple Creatives - Display - Q1 2026</t>
  </si>
  <si>
    <t>QA done 29th April</t>
  </si>
  <si>
    <t>Visa | Traffic Manager</t>
  </si>
  <si>
    <t>Klaviyo EMEA - Global Brands - DACH - DV360 - Trafficking Request</t>
  </si>
  <si>
    <t>May VOD 2026 Part 3</t>
  </si>
  <si>
    <t>https://jira.publicismedia.com/browse/TAAGPNG-1958</t>
  </si>
  <si>
    <t>Crocs - S2 - local classics - trafficking</t>
  </si>
  <si>
    <t>CathayPacific_2026_Q2_TEQ</t>
  </si>
  <si>
    <t xml:space="preserve">Trafficking Request - TEQ Q2 </t>
  </si>
  <si>
    <t>2026_q2_crocsdigitas_classicsjibbitz_de_kargo_vv</t>
  </si>
  <si>
    <t>2026_q2_crocsdigitas_classicsjibbitz_uk_kargo_vv</t>
  </si>
  <si>
    <t>Training to Ajay for Crocs</t>
  </si>
  <si>
    <t>Base Location</t>
  </si>
  <si>
    <t>LION ID</t>
  </si>
  <si>
    <t>Main Tracker Updated (Only by MRINAL)</t>
  </si>
  <si>
    <t>ajatiwar3</t>
  </si>
  <si>
    <t xml:space="preserve">Ajay Tiwari </t>
  </si>
  <si>
    <t>PL</t>
  </si>
  <si>
    <t xml:space="preserve">Planned Leave </t>
  </si>
  <si>
    <t>Mumbai</t>
  </si>
  <si>
    <t>ganranal</t>
  </si>
  <si>
    <t>Ganesh Ranalkar</t>
  </si>
  <si>
    <t>namlalch</t>
  </si>
  <si>
    <t>Namit Lalchandani</t>
  </si>
  <si>
    <t>Adarsh Singh</t>
  </si>
  <si>
    <t>May : Monday</t>
  </si>
  <si>
    <t>May</t>
  </si>
  <si>
    <t>Monday</t>
  </si>
  <si>
    <t>May : Tuesday</t>
  </si>
  <si>
    <t>CathayPacific_2026_Q2_SummerSale</t>
  </si>
  <si>
    <t xml:space="preserve">Trafficking Request - Summer Sale FY26 </t>
  </si>
  <si>
    <t>Tuesday</t>
  </si>
  <si>
    <t>QA done on 6 may</t>
  </si>
  <si>
    <t>MK~UK_AR~DIG_HO~CPCP_BN~CPCP_LI~CLNIR_CN~FY26Q4 RTU UK APEX YT SKIPPABLE_CP~3301304217_OB~CONSI_SCA~HCE</t>
  </si>
  <si>
    <t>WELLA | FY26Q4 RTU UK | TAG REQUEST</t>
  </si>
  <si>
    <t>MK~UK_AR~DIG_HO~CPCP_BN~CPCP_LI~CLNIR_CN~FY26Q4 RTU UK APEX YT NON SKIPPABLE_CP~3301304217_OB~AWA_SCA~HCE</t>
  </si>
  <si>
    <t>May : Wednesday</t>
  </si>
  <si>
    <t>MK~UK_AR~DIG_HO~CPCP_BN~CPCP_LI~CLNIR_CN~FY26Q4 RTU UK APEX HAWK RTG_CP~3301304217_OB~AWA_SCA~HCE</t>
  </si>
  <si>
    <t>RE: WELLA | FY26Q4 RTU UK | TAG REQUEST</t>
  </si>
  <si>
    <t>Wednesday</t>
  </si>
  <si>
    <t>May : Thursday</t>
  </si>
  <si>
    <t>Crocs - S2 - C&amp;J iterations campaign trafficking</t>
  </si>
  <si>
    <t>Thursday</t>
  </si>
  <si>
    <t>QA Done on 8th May</t>
  </si>
  <si>
    <t>Klaviyo_2025_EMEA_Brand_FR</t>
  </si>
  <si>
    <t>Klaviyo EMEA - Brand - FR - YT - Trafficking Request</t>
  </si>
  <si>
    <t>Klaviyo EMEA - Brand - UKI - YT - Trafficking Request</t>
  </si>
  <si>
    <t>QA Done 2 times due to error</t>
  </si>
  <si>
    <t>May : Friday</t>
  </si>
  <si>
    <t>Laila</t>
  </si>
  <si>
    <t>Choose Cathay Trafficking</t>
  </si>
  <si>
    <t>Friday</t>
  </si>
  <si>
    <t>2026_q2_crocsdigitas_classicsjibbitz_uk_spotify_reach</t>
  </si>
  <si>
    <t>2026_q2_crocsdigitas_classicsjibbitz_de_spotify_reach</t>
  </si>
  <si>
    <t>Training to Ajay</t>
  </si>
  <si>
    <t>[TAAGVSEU-8134] Social Request: Disney AIB Campaign - Publicis Media - JIRA</t>
  </si>
  <si>
    <t>Re: Klaviyo EMEA - Brand - FR - YT - Trafficking Request</t>
  </si>
  <si>
    <t>Shubhi</t>
  </si>
  <si>
    <t>MK~UK_AR~DIG_HO~WPWP_BN~WPWP_LI~MLTI_CN~FY26Q4 SALLY SELL OUT UK HAWK RTG_CP~3301307445_OB~AWA_SCA~HCO</t>
  </si>
  <si>
    <t>WELLA | FY26-Q4 SALLY SELLOUT | TAG REQUEST</t>
  </si>
  <si>
    <t>RE: Klaviyo EMEA - Brand - UKI - YT - Trafficking Request</t>
  </si>
  <si>
    <t>Bavarian Nordics EMEA - Brand - UK - Vimkunya - Trafficking Request</t>
  </si>
  <si>
    <t>RE: Klaviyo EMEA - Trafficking Request - Dermalogica Updated, Alessi MOF &amp; BOF, Freshly MOF &amp; MOF - ES &amp; IT - Display - Q1 2026</t>
  </si>
  <si>
    <t>June VOD Part 1</t>
  </si>
  <si>
    <t>https://jira.publicismedia.com/browse/TAAGPNG-1960</t>
  </si>
  <si>
    <t>Pre QA</t>
  </si>
  <si>
    <t>QA done on 27</t>
  </si>
  <si>
    <t>June VOD Part 2</t>
  </si>
  <si>
    <t>https://jira.publicismedia.com/browse/TAAGPNG-1962</t>
  </si>
  <si>
    <t>June VOD Part 3</t>
  </si>
  <si>
    <t>https://jira.publicismedia.com/browse/TAAGPNG-1964</t>
  </si>
  <si>
    <t>June VOD Part 4</t>
  </si>
  <si>
    <t>https://jira.publicismedia.com/browse/TAAGPNG-1966</t>
  </si>
  <si>
    <t>Klaviyo EMEA - Trafficking Request - World Cup - Q2 2026</t>
  </si>
  <si>
    <t>QA done on 1 june</t>
  </si>
  <si>
    <t>Jun : Monday</t>
  </si>
  <si>
    <t>Call with POC</t>
  </si>
  <si>
    <t>Jun</t>
  </si>
  <si>
    <t>Klaviyo_2025_EMEA_Brand_DACH</t>
  </si>
  <si>
    <t>June VOD Part 5</t>
  </si>
  <si>
    <t>https://jira.publicismedia.com/browse/TAAGPNG-1968</t>
  </si>
  <si>
    <t>QA done on 2 june</t>
  </si>
  <si>
    <t>Jun : Tuesday</t>
  </si>
  <si>
    <t xml:space="preserve">RE: Trafficking Request - Summer Sale FY26 </t>
  </si>
  <si>
    <t>Jun : Wednesday</t>
  </si>
  <si>
    <t>June VOD Part 6</t>
  </si>
  <si>
    <t>https://jira.publicismedia.com/browse/TAAGPNG-1970</t>
  </si>
  <si>
    <t>June VOD Part 7</t>
  </si>
  <si>
    <t>https://jira.publicismedia.com/browse/TAAGPNG-1972</t>
  </si>
  <si>
    <t xml:space="preserve">Visa OS </t>
  </si>
  <si>
    <t>EN</t>
  </si>
  <si>
    <t xml:space="preserve">Cathay Pacific - assets to review </t>
  </si>
  <si>
    <t>FR</t>
  </si>
  <si>
    <t>CathayPacific_2026_Q2_Cargo_Programmatic</t>
  </si>
  <si>
    <t>RE: Cathay Pacific - assets to review</t>
  </si>
  <si>
    <t>QA done on 17</t>
  </si>
  <si>
    <t>Klaviyo_2025_EMEA_Evergreen_FR</t>
  </si>
  <si>
    <t>Klaviyo EMEA - Trafficking Request - AI First, Omnichannel Orchestration, Mobile - Display - Q2 2026</t>
  </si>
  <si>
    <t>QA Done on 18 june</t>
  </si>
  <si>
    <t>Jun : Thursday</t>
  </si>
  <si>
    <t>QA done on 19 june</t>
  </si>
  <si>
    <t>July VOD Part 1</t>
  </si>
  <si>
    <t>https://jira.publicismedia.com/browse/TAAGPNG-1974</t>
  </si>
  <si>
    <t>MK~RO_CN~Salt Currencycloud_FS~MS_YQ~FY26Q2Q3_CP~P130386_MT~1837389323_AC~CAFF_PCB~NA_PM~CDC_DN~DM_SP~NA_MN~VCM_U1~APEX_U2~Azerion_U3~Display</t>
  </si>
  <si>
    <t>CM360 Set Up</t>
  </si>
  <si>
    <t>July VOD Part 2</t>
  </si>
  <si>
    <t>https://jira.publicismedia.com/browse/TAAGPNG-1976</t>
  </si>
  <si>
    <t>July VOD Part 3</t>
  </si>
  <si>
    <t>https://jira.publicismedia.com/browse/TAAGPNG-1978</t>
  </si>
  <si>
    <t>Jun : Friday</t>
  </si>
  <si>
    <t>Klaviyo EMEA - URL Update Request - Saint Barth &amp; Loop Case Study- Display - Q1 2026</t>
  </si>
  <si>
    <t>Klaviyo EMEA - Trafficking Request - Placement Name Change - IT &amp; ES</t>
  </si>
  <si>
    <t>QA done on 30th June</t>
  </si>
  <si>
    <t>July VOD Part 4</t>
  </si>
  <si>
    <t>https://jira.publicismedia.com/browse/TAAGPNG-1980</t>
  </si>
  <si>
    <t>July VOD Part 5</t>
  </si>
  <si>
    <t>https://jira.publicismedia.com/browse/TAAGPNG-1982</t>
  </si>
  <si>
    <t>MK~BE_CN~Encore_FS~MS_YQ~FY26_CP~P129146_MT~1039824539_AC~CMVCS_PCB~NA_PM~XBS_DN~DM_SP~NA_MN~B2B_U1~na_U2~na_U3~na</t>
  </si>
  <si>
    <t>CM360 Setup</t>
  </si>
  <si>
    <t>Klaviyo_2025_Evergreen_EMEA_FR </t>
  </si>
  <si>
    <t>RE:  Klaviyo EMEA - Trafficking Request - Placement Name Change - UKI &amp; FR</t>
  </si>
  <si>
    <t xml:space="preserve">Klaviyo_2025_EMEA_Brand_DACH </t>
  </si>
  <si>
    <t>Klaviyo EMEA - Trafficking Request - World Cup - Hammer &amp; Humantra - DE - Display - Q2 2026</t>
  </si>
  <si>
    <t>MK~UK_CN~Blis Activation_FS~VIK_YQ~FY26Q3Q4_CP~P133663_MT~1338330521_AC~B2C_PCB~NA_PM~XBS_DN~OUT_SP~NA_MN~VCM_U1~Blis_U2~Na_U3~Na</t>
  </si>
  <si>
    <t>RE: CM360 Setup</t>
  </si>
  <si>
    <t>QA done on 1 july</t>
  </si>
  <si>
    <t>MK~UK_CN~IHG Wave 1_FS~VIK_YQ~FY26Q3Q4_CP~P135779_MT~1924349777_AC~CCBE_PCB~NA_PM~XBS_DN~DM_SP~NA_MN~YOU_U1~Na_U2~Na_U3~Na</t>
  </si>
  <si>
    <t>Jul : Wednesday</t>
  </si>
  <si>
    <t>Jul</t>
  </si>
  <si>
    <t>Jul : Friday</t>
  </si>
  <si>
    <t>Klaviyo EMEA - Trafficking Request - Prospecting - Omnichannel Whatsapp Refreshed - Q2 2026</t>
  </si>
  <si>
    <t>DCM Error</t>
  </si>
  <si>
    <t>QA done on 6th July</t>
  </si>
  <si>
    <t>Klaviyo_2025_Evergreen_EMEA_NORDICS</t>
  </si>
  <si>
    <t>Klaviyo EMEA - Trafficking Request - Demand Gen - Omnichannel Whatsapp Refreshed - Q2 2026</t>
  </si>
  <si>
    <t>QA done on 6 july</t>
  </si>
  <si>
    <t>Jul : Monday</t>
  </si>
  <si>
    <t>Retrafficking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</si>
</sst>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;@"/>
  </numFmts>
  <fonts count="44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0"/>
      <color indexed="9"/>
      <name val="Calibri"/>
      <family val="2"/>
    </font>
    <font>
      <sz val="8"/>
      <name val="Calibri"/>
      <family val="2"/>
    </font>
    <font>
      <b/>
      <sz val="10"/>
      <color indexed="52"/>
      <name val="Arial"/>
      <family val="2"/>
    </font>
    <font>
      <b/>
      <sz val="10"/>
      <color indexed="9"/>
      <name val="Arial"/>
      <family val="2"/>
    </font>
    <font>
      <b/>
      <sz val="10"/>
      <color indexed="40"/>
      <name val="Calibri"/>
      <family val="2"/>
    </font>
    <font>
      <sz val="10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000000"/>
      <name val="Calibri"/>
      <family val="2"/>
    </font>
    <font>
      <sz val="16"/>
      <color theme="7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000000"/>
      <name val="Aptos"/>
      <family val="2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10"/>
      <color rgb="FFFF000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FFFFFF"/>
      <name val="Arial"/>
      <family val="2"/>
    </font>
    <font>
      <b/>
      <sz val="10"/>
      <color theme="3"/>
      <name val="Calibri"/>
      <family val="2"/>
      <scheme val="minor"/>
    </font>
    <font>
      <sz val="10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  <charset val="1"/>
    </font>
    <font>
      <b/>
      <sz val="10"/>
      <color rgb="FF9C0006"/>
      <name val="Calibri"/>
      <family val="2"/>
      <charset val="1"/>
    </font>
    <font>
      <sz val="10"/>
      <color rgb="FF000000"/>
      <name val="Calibri"/>
      <family val="2"/>
      <charset val="1"/>
    </font>
    <font>
      <sz val="10"/>
      <color theme="1"/>
      <name val="Times New Roman"/>
      <family val="1"/>
      <charset val="1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2"/>
      <color rgb="FFFF0000"/>
      <name val="Calibri"/>
      <family val="2"/>
      <charset val="1"/>
    </font>
    <font>
      <sz val="11"/>
      <color rgb="FFFF0000"/>
      <name val="Calibri"/>
      <scheme val="minor"/>
    </font>
    <font>
      <b/>
      <sz val="10"/>
      <color rgb="FF000000"/>
      <name val="Calibri"/>
      <family val="2"/>
      <scheme val="minor"/>
    </font>
    <font>
      <sz val="10"/>
      <color rgb="FF00AAFF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FFD966"/>
        <bgColor rgb="FFFFD966"/>
      </patternFill>
    </fill>
    <fill>
      <patternFill patternType="solid">
        <fgColor rgb="FF9FC5E8"/>
        <bgColor rgb="FF9FC5E8"/>
      </patternFill>
    </fill>
    <fill>
      <patternFill patternType="solid">
        <fgColor theme="9"/>
        <bgColor rgb="FF9FC5E8"/>
      </patternFill>
    </fill>
    <fill>
      <patternFill patternType="solid">
        <fgColor rgb="FF666666"/>
        <bgColor rgb="FF666666"/>
      </patternFill>
    </fill>
    <fill>
      <patternFill patternType="solid">
        <fgColor theme="2" tint="-9.9978637043366805E-2"/>
        <bgColor rgb="FFF4CCC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rgb="FFF4CC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79998168889431442"/>
        <bgColor rgb="FFF4CCCC"/>
      </patternFill>
    </fill>
    <fill>
      <patternFill patternType="solid">
        <fgColor rgb="FFD9E1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6D9EEB"/>
        <bgColor rgb="FF6D9EEB"/>
      </patternFill>
    </fill>
    <fill>
      <patternFill patternType="solid">
        <fgColor rgb="FF757171"/>
        <bgColor rgb="FF666666"/>
      </patternFill>
    </fill>
    <fill>
      <patternFill patternType="solid">
        <fgColor rgb="FFD0CECE"/>
        <bgColor rgb="FF000000"/>
      </patternFill>
    </fill>
    <fill>
      <patternFill patternType="solid">
        <fgColor rgb="FFD0CECE"/>
        <bgColor rgb="FFF4CCCC"/>
      </patternFill>
    </fill>
    <fill>
      <patternFill patternType="solid">
        <fgColor rgb="FFF2F2F2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FFF2CC"/>
        <bgColor rgb="FFF4CCCC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</borders>
  <cellStyleXfs count="5">
    <xf numFmtId="0" fontId="0" fillId="0" borderId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/>
    <xf numFmtId="0" fontId="7" fillId="0" borderId="0"/>
  </cellStyleXfs>
  <cellXfs count="178">
    <xf numFmtId="0" fontId="0" fillId="0" borderId="0" xfId="0"/>
    <xf numFmtId="14" fontId="9" fillId="0" borderId="0" xfId="0" applyNumberFormat="1" applyFont="1"/>
    <xf numFmtId="14" fontId="0" fillId="0" borderId="0" xfId="0" applyNumberFormat="1"/>
    <xf numFmtId="0" fontId="10" fillId="0" borderId="0" xfId="0" applyFont="1"/>
    <xf numFmtId="0" fontId="11" fillId="0" borderId="0" xfId="0" applyFont="1"/>
    <xf numFmtId="0" fontId="12" fillId="2" borderId="3" xfId="0" applyFont="1" applyFill="1" applyBorder="1"/>
    <xf numFmtId="0" fontId="13" fillId="3" borderId="3" xfId="0" applyFont="1" applyFill="1" applyBorder="1"/>
    <xf numFmtId="164" fontId="0" fillId="0" borderId="0" xfId="0" applyNumberFormat="1"/>
    <xf numFmtId="0" fontId="0" fillId="0" borderId="0" xfId="0" applyAlignment="1">
      <alignment horizontal="center"/>
    </xf>
    <xf numFmtId="0" fontId="9" fillId="4" borderId="0" xfId="0" applyFont="1" applyFill="1"/>
    <xf numFmtId="0" fontId="10" fillId="5" borderId="1" xfId="0" applyFont="1" applyFill="1" applyBorder="1"/>
    <xf numFmtId="0" fontId="0" fillId="0" borderId="4" xfId="0" applyBorder="1"/>
    <xf numFmtId="0" fontId="0" fillId="0" borderId="5" xfId="0" applyBorder="1"/>
    <xf numFmtId="0" fontId="0" fillId="6" borderId="4" xfId="0" applyFill="1" applyBorder="1"/>
    <xf numFmtId="0" fontId="0" fillId="6" borderId="5" xfId="0" applyFill="1" applyBorder="1"/>
    <xf numFmtId="0" fontId="0" fillId="7" borderId="4" xfId="0" applyFill="1" applyBorder="1"/>
    <xf numFmtId="0" fontId="8" fillId="7" borderId="5" xfId="1" applyFill="1" applyBorder="1"/>
    <xf numFmtId="0" fontId="8" fillId="8" borderId="6" xfId="1" applyFill="1" applyBorder="1"/>
    <xf numFmtId="0" fontId="0" fillId="9" borderId="7" xfId="0" applyFill="1" applyBorder="1"/>
    <xf numFmtId="0" fontId="8" fillId="9" borderId="7" xfId="1" applyFill="1" applyBorder="1"/>
    <xf numFmtId="0" fontId="8" fillId="10" borderId="7" xfId="1" applyFill="1" applyBorder="1"/>
    <xf numFmtId="0" fontId="8" fillId="11" borderId="7" xfId="1" applyFill="1" applyBorder="1"/>
    <xf numFmtId="0" fontId="0" fillId="8" borderId="4" xfId="0" applyFill="1" applyBorder="1"/>
    <xf numFmtId="0" fontId="8" fillId="8" borderId="7" xfId="1" applyFill="1" applyBorder="1"/>
    <xf numFmtId="0" fontId="0" fillId="10" borderId="4" xfId="0" applyFill="1" applyBorder="1"/>
    <xf numFmtId="0" fontId="8" fillId="8" borderId="5" xfId="1" applyFill="1" applyBorder="1"/>
    <xf numFmtId="0" fontId="0" fillId="12" borderId="4" xfId="0" applyFill="1" applyBorder="1"/>
    <xf numFmtId="0" fontId="8" fillId="12" borderId="4" xfId="1" applyFill="1" applyBorder="1"/>
    <xf numFmtId="0" fontId="0" fillId="9" borderId="4" xfId="0" applyFill="1" applyBorder="1"/>
    <xf numFmtId="0" fontId="8" fillId="9" borderId="4" xfId="1" applyFill="1" applyBorder="1"/>
    <xf numFmtId="0" fontId="8" fillId="10" borderId="4" xfId="1" applyFill="1" applyBorder="1"/>
    <xf numFmtId="0" fontId="0" fillId="11" borderId="4" xfId="0" applyFill="1" applyBorder="1"/>
    <xf numFmtId="0" fontId="8" fillId="11" borderId="4" xfId="1" applyFill="1" applyBorder="1"/>
    <xf numFmtId="0" fontId="8" fillId="8" borderId="4" xfId="1" applyFill="1" applyBorder="1"/>
    <xf numFmtId="0" fontId="0" fillId="7" borderId="5" xfId="0" applyFill="1" applyBorder="1"/>
    <xf numFmtId="0" fontId="0" fillId="8" borderId="5" xfId="0" applyFill="1" applyBorder="1"/>
    <xf numFmtId="0" fontId="0" fillId="13" borderId="4" xfId="0" applyFill="1" applyBorder="1"/>
    <xf numFmtId="0" fontId="8" fillId="13" borderId="5" xfId="1" applyFill="1" applyBorder="1"/>
    <xf numFmtId="0" fontId="0" fillId="13" borderId="7" xfId="0" applyFill="1" applyBorder="1"/>
    <xf numFmtId="0" fontId="8" fillId="0" borderId="0" xfId="1"/>
    <xf numFmtId="0" fontId="14" fillId="7" borderId="4" xfId="0" applyFont="1" applyFill="1" applyBorder="1"/>
    <xf numFmtId="0" fontId="14" fillId="13" borderId="4" xfId="0" applyFont="1" applyFill="1" applyBorder="1"/>
    <xf numFmtId="0" fontId="15" fillId="0" borderId="0" xfId="0" applyFont="1"/>
    <xf numFmtId="0" fontId="16" fillId="0" borderId="0" xfId="1" applyFont="1"/>
    <xf numFmtId="0" fontId="14" fillId="4" borderId="0" xfId="0" applyFont="1" applyFill="1"/>
    <xf numFmtId="0" fontId="17" fillId="4" borderId="0" xfId="0" applyFont="1" applyFill="1"/>
    <xf numFmtId="0" fontId="0" fillId="0" borderId="7" xfId="0" applyBorder="1"/>
    <xf numFmtId="0" fontId="0" fillId="0" borderId="6" xfId="0" applyBorder="1"/>
    <xf numFmtId="0" fontId="10" fillId="0" borderId="7" xfId="0" applyFont="1" applyBorder="1"/>
    <xf numFmtId="0" fontId="10" fillId="0" borderId="4" xfId="0" applyFont="1" applyBorder="1"/>
    <xf numFmtId="0" fontId="8" fillId="0" borderId="4" xfId="1" applyFill="1" applyBorder="1"/>
    <xf numFmtId="0" fontId="0" fillId="0" borderId="0" xfId="0" applyAlignment="1">
      <alignment horizontal="left" vertical="top"/>
    </xf>
    <xf numFmtId="0" fontId="10" fillId="14" borderId="1" xfId="0" applyFont="1" applyFill="1" applyBorder="1"/>
    <xf numFmtId="0" fontId="0" fillId="15" borderId="1" xfId="0" applyFill="1" applyBorder="1" applyAlignment="1">
      <alignment horizontal="left"/>
    </xf>
    <xf numFmtId="0" fontId="10" fillId="12" borderId="1" xfId="0" applyFont="1" applyFill="1" applyBorder="1"/>
    <xf numFmtId="0" fontId="18" fillId="14" borderId="1" xfId="0" applyFont="1" applyFill="1" applyBorder="1" applyAlignment="1">
      <alignment vertical="center"/>
    </xf>
    <xf numFmtId="0" fontId="0" fillId="16" borderId="1" xfId="0" applyFill="1" applyBorder="1"/>
    <xf numFmtId="0" fontId="9" fillId="17" borderId="0" xfId="0" applyFont="1" applyFill="1"/>
    <xf numFmtId="1" fontId="19" fillId="4" borderId="0" xfId="0" applyNumberFormat="1" applyFont="1" applyFill="1" applyAlignment="1">
      <alignment horizontal="center" vertical="center"/>
    </xf>
    <xf numFmtId="0" fontId="20" fillId="4" borderId="0" xfId="0" applyFont="1" applyFill="1" applyAlignment="1">
      <alignment horizontal="right"/>
    </xf>
    <xf numFmtId="0" fontId="21" fillId="0" borderId="0" xfId="0" applyFont="1" applyAlignment="1">
      <alignment vertical="center" wrapText="1"/>
    </xf>
    <xf numFmtId="0" fontId="21" fillId="0" borderId="0" xfId="0" applyFont="1" applyAlignment="1">
      <alignment vertical="center"/>
    </xf>
    <xf numFmtId="1" fontId="22" fillId="18" borderId="0" xfId="0" applyNumberFormat="1" applyFont="1" applyFill="1" applyAlignment="1">
      <alignment horizontal="left"/>
    </xf>
    <xf numFmtId="0" fontId="23" fillId="0" borderId="0" xfId="0" applyFont="1" applyAlignment="1">
      <alignment vertical="center"/>
    </xf>
    <xf numFmtId="0" fontId="23" fillId="0" borderId="0" xfId="0" applyFont="1"/>
    <xf numFmtId="0" fontId="16" fillId="0" borderId="0" xfId="0" applyFont="1"/>
    <xf numFmtId="0" fontId="16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24" fillId="0" borderId="0" xfId="0" applyFont="1"/>
    <xf numFmtId="0" fontId="25" fillId="0" borderId="0" xfId="0" applyFont="1"/>
    <xf numFmtId="0" fontId="18" fillId="0" borderId="0" xfId="0" applyFont="1"/>
    <xf numFmtId="0" fontId="0" fillId="0" borderId="0" xfId="0" applyAlignment="1">
      <alignment wrapText="1"/>
    </xf>
    <xf numFmtId="0" fontId="28" fillId="19" borderId="0" xfId="4" applyFont="1" applyFill="1" applyAlignment="1">
      <alignment horizontal="left"/>
    </xf>
    <xf numFmtId="0" fontId="29" fillId="19" borderId="0" xfId="4" applyFont="1" applyFill="1" applyAlignment="1">
      <alignment horizontal="left"/>
    </xf>
    <xf numFmtId="0" fontId="30" fillId="19" borderId="0" xfId="4" applyFont="1" applyFill="1" applyAlignment="1">
      <alignment horizontal="left"/>
    </xf>
    <xf numFmtId="0" fontId="27" fillId="19" borderId="0" xfId="4" applyFont="1" applyFill="1" applyAlignment="1">
      <alignment horizontal="left"/>
    </xf>
    <xf numFmtId="0" fontId="28" fillId="20" borderId="0" xfId="4" applyFont="1" applyFill="1" applyAlignment="1">
      <alignment horizontal="left"/>
    </xf>
    <xf numFmtId="0" fontId="27" fillId="20" borderId="0" xfId="4" applyFont="1" applyFill="1" applyAlignment="1">
      <alignment horizontal="left"/>
    </xf>
    <xf numFmtId="0" fontId="28" fillId="21" borderId="0" xfId="4" applyFont="1" applyFill="1" applyAlignment="1">
      <alignment horizontal="left"/>
    </xf>
    <xf numFmtId="0" fontId="27" fillId="21" borderId="0" xfId="4" applyFont="1" applyFill="1" applyAlignment="1">
      <alignment horizontal="left"/>
    </xf>
    <xf numFmtId="0" fontId="27" fillId="21" borderId="0" xfId="3" applyFont="1" applyFill="1" applyAlignment="1">
      <alignment horizontal="left"/>
    </xf>
    <xf numFmtId="164" fontId="31" fillId="21" borderId="0" xfId="3" applyNumberFormat="1" applyFont="1" applyFill="1" applyAlignment="1">
      <alignment horizontal="left"/>
    </xf>
    <xf numFmtId="0" fontId="29" fillId="22" borderId="0" xfId="4" applyFont="1" applyFill="1" applyAlignment="1">
      <alignment horizontal="left"/>
    </xf>
    <xf numFmtId="0" fontId="7" fillId="0" borderId="0" xfId="4" applyAlignment="1">
      <alignment horizontal="left"/>
    </xf>
    <xf numFmtId="0" fontId="32" fillId="23" borderId="1" xfId="4" applyFont="1" applyFill="1" applyBorder="1" applyAlignment="1">
      <alignment horizontal="left"/>
    </xf>
    <xf numFmtId="16" fontId="7" fillId="5" borderId="1" xfId="4" applyNumberFormat="1" applyFill="1" applyBorder="1" applyAlignment="1">
      <alignment horizontal="left"/>
    </xf>
    <xf numFmtId="0" fontId="33" fillId="5" borderId="1" xfId="4" applyFont="1" applyFill="1" applyBorder="1" applyAlignment="1">
      <alignment horizontal="left"/>
    </xf>
    <xf numFmtId="0" fontId="7" fillId="5" borderId="1" xfId="4" applyFill="1" applyBorder="1" applyAlignment="1">
      <alignment horizontal="left"/>
    </xf>
    <xf numFmtId="164" fontId="7" fillId="5" borderId="1" xfId="4" applyNumberFormat="1" applyFill="1" applyBorder="1" applyAlignment="1">
      <alignment horizontal="left"/>
    </xf>
    <xf numFmtId="0" fontId="33" fillId="24" borderId="1" xfId="4" applyFont="1" applyFill="1" applyBorder="1" applyAlignment="1">
      <alignment horizontal="left"/>
    </xf>
    <xf numFmtId="0" fontId="7" fillId="25" borderId="1" xfId="4" applyFill="1" applyBorder="1" applyAlignment="1">
      <alignment horizontal="left"/>
    </xf>
    <xf numFmtId="0" fontId="33" fillId="25" borderId="1" xfId="4" applyFont="1" applyFill="1" applyBorder="1" applyAlignment="1">
      <alignment horizontal="left"/>
    </xf>
    <xf numFmtId="0" fontId="33" fillId="16" borderId="1" xfId="4" applyFont="1" applyFill="1" applyBorder="1" applyAlignment="1">
      <alignment horizontal="left"/>
    </xf>
    <xf numFmtId="0" fontId="33" fillId="26" borderId="1" xfId="4" applyFont="1" applyFill="1" applyBorder="1" applyAlignment="1">
      <alignment horizontal="left"/>
    </xf>
    <xf numFmtId="0" fontId="7" fillId="16" borderId="1" xfId="4" applyFill="1" applyBorder="1" applyAlignment="1">
      <alignment horizontal="left"/>
    </xf>
    <xf numFmtId="0" fontId="33" fillId="27" borderId="1" xfId="4" applyFont="1" applyFill="1" applyBorder="1" applyAlignment="1">
      <alignment horizontal="left"/>
    </xf>
    <xf numFmtId="164" fontId="33" fillId="27" borderId="1" xfId="4" applyNumberFormat="1" applyFont="1" applyFill="1" applyBorder="1" applyAlignment="1">
      <alignment horizontal="left"/>
    </xf>
    <xf numFmtId="0" fontId="33" fillId="28" borderId="1" xfId="4" applyFont="1" applyFill="1" applyBorder="1" applyAlignment="1">
      <alignment horizontal="left"/>
    </xf>
    <xf numFmtId="0" fontId="33" fillId="28" borderId="0" xfId="4" applyFont="1" applyFill="1" applyAlignment="1">
      <alignment horizontal="left"/>
    </xf>
    <xf numFmtId="164" fontId="7" fillId="0" borderId="0" xfId="4" applyNumberFormat="1" applyAlignment="1">
      <alignment horizontal="left"/>
    </xf>
    <xf numFmtId="0" fontId="7" fillId="27" borderId="1" xfId="4" applyFill="1" applyBorder="1" applyAlignment="1">
      <alignment horizontal="left"/>
    </xf>
    <xf numFmtId="164" fontId="7" fillId="27" borderId="1" xfId="4" applyNumberFormat="1" applyFill="1" applyBorder="1" applyAlignment="1">
      <alignment horizontal="left"/>
    </xf>
    <xf numFmtId="0" fontId="32" fillId="23" borderId="2" xfId="4" applyFont="1" applyFill="1" applyBorder="1" applyAlignment="1">
      <alignment horizontal="left"/>
    </xf>
    <xf numFmtId="0" fontId="7" fillId="5" borderId="2" xfId="4" applyFill="1" applyBorder="1" applyAlignment="1">
      <alignment horizontal="left"/>
    </xf>
    <xf numFmtId="0" fontId="33" fillId="5" borderId="2" xfId="4" applyFont="1" applyFill="1" applyBorder="1" applyAlignment="1">
      <alignment horizontal="left"/>
    </xf>
    <xf numFmtId="0" fontId="7" fillId="16" borderId="2" xfId="4" applyFill="1" applyBorder="1" applyAlignment="1">
      <alignment horizontal="left"/>
    </xf>
    <xf numFmtId="0" fontId="33" fillId="27" borderId="2" xfId="4" applyFont="1" applyFill="1" applyBorder="1" applyAlignment="1">
      <alignment horizontal="left"/>
    </xf>
    <xf numFmtId="0" fontId="33" fillId="28" borderId="2" xfId="4" applyFont="1" applyFill="1" applyBorder="1" applyAlignment="1">
      <alignment horizontal="left"/>
    </xf>
    <xf numFmtId="0" fontId="7" fillId="27" borderId="0" xfId="4" applyFill="1" applyAlignment="1">
      <alignment horizontal="left"/>
    </xf>
    <xf numFmtId="0" fontId="36" fillId="0" borderId="0" xfId="0" applyFont="1"/>
    <xf numFmtId="0" fontId="37" fillId="0" borderId="0" xfId="0" applyFont="1"/>
    <xf numFmtId="0" fontId="12" fillId="2" borderId="11" xfId="0" applyFont="1" applyFill="1" applyBorder="1"/>
    <xf numFmtId="0" fontId="12" fillId="2" borderId="12" xfId="0" applyFont="1" applyFill="1" applyBorder="1"/>
    <xf numFmtId="15" fontId="0" fillId="0" borderId="0" xfId="0" applyNumberFormat="1"/>
    <xf numFmtId="0" fontId="41" fillId="0" borderId="0" xfId="0" applyFont="1" applyAlignment="1">
      <alignment wrapText="1"/>
    </xf>
    <xf numFmtId="0" fontId="36" fillId="0" borderId="14" xfId="0" applyFont="1" applyBorder="1"/>
    <xf numFmtId="0" fontId="36" fillId="31" borderId="14" xfId="0" applyFont="1" applyFill="1" applyBorder="1"/>
    <xf numFmtId="0" fontId="0" fillId="14" borderId="16" xfId="0" applyFill="1" applyBorder="1"/>
    <xf numFmtId="0" fontId="34" fillId="14" borderId="4" xfId="0" applyFont="1" applyFill="1" applyBorder="1"/>
    <xf numFmtId="0" fontId="36" fillId="14" borderId="4" xfId="0" applyFont="1" applyFill="1" applyBorder="1"/>
    <xf numFmtId="0" fontId="37" fillId="14" borderId="4" xfId="0" applyFont="1" applyFill="1" applyBorder="1"/>
    <xf numFmtId="0" fontId="0" fillId="15" borderId="19" xfId="0" applyFill="1" applyBorder="1"/>
    <xf numFmtId="0" fontId="34" fillId="15" borderId="20" xfId="0" applyFont="1" applyFill="1" applyBorder="1" applyAlignment="1">
      <alignment horizontal="left" vertical="center"/>
    </xf>
    <xf numFmtId="0" fontId="36" fillId="15" borderId="20" xfId="0" applyFont="1" applyFill="1" applyBorder="1" applyAlignment="1">
      <alignment horizontal="left" vertical="center"/>
    </xf>
    <xf numFmtId="0" fontId="0" fillId="15" borderId="21" xfId="0" applyFill="1" applyBorder="1" applyAlignment="1">
      <alignment wrapText="1"/>
    </xf>
    <xf numFmtId="0" fontId="36" fillId="15" borderId="20" xfId="0" applyFont="1" applyFill="1" applyBorder="1" applyAlignment="1">
      <alignment vertical="center"/>
    </xf>
    <xf numFmtId="0" fontId="26" fillId="0" borderId="13" xfId="0" applyFont="1" applyBorder="1"/>
    <xf numFmtId="0" fontId="26" fillId="0" borderId="15" xfId="0" applyFont="1" applyBorder="1"/>
    <xf numFmtId="0" fontId="26" fillId="0" borderId="22" xfId="0" applyFont="1" applyBorder="1"/>
    <xf numFmtId="0" fontId="36" fillId="0" borderId="23" xfId="0" applyFont="1" applyBorder="1"/>
    <xf numFmtId="0" fontId="36" fillId="31" borderId="23" xfId="0" applyFont="1" applyFill="1" applyBorder="1"/>
    <xf numFmtId="0" fontId="26" fillId="0" borderId="24" xfId="0" applyFont="1" applyBorder="1"/>
    <xf numFmtId="0" fontId="34" fillId="29" borderId="25" xfId="0" applyFont="1" applyFill="1" applyBorder="1"/>
    <xf numFmtId="0" fontId="34" fillId="29" borderId="26" xfId="0" applyFont="1" applyFill="1" applyBorder="1"/>
    <xf numFmtId="0" fontId="35" fillId="30" borderId="26" xfId="0" applyFont="1" applyFill="1" applyBorder="1"/>
    <xf numFmtId="0" fontId="34" fillId="29" borderId="17" xfId="0" applyFont="1" applyFill="1" applyBorder="1"/>
    <xf numFmtId="0" fontId="0" fillId="14" borderId="5" xfId="0" applyFill="1" applyBorder="1"/>
    <xf numFmtId="0" fontId="0" fillId="14" borderId="5" xfId="0" applyFill="1" applyBorder="1" applyAlignment="1">
      <alignment wrapText="1"/>
    </xf>
    <xf numFmtId="0" fontId="8" fillId="15" borderId="18" xfId="1" applyFill="1" applyBorder="1" applyAlignment="1">
      <alignment wrapText="1"/>
    </xf>
    <xf numFmtId="0" fontId="8" fillId="14" borderId="27" xfId="1" applyFill="1" applyBorder="1"/>
    <xf numFmtId="0" fontId="8" fillId="14" borderId="27" xfId="1" applyFill="1" applyBorder="1" applyAlignment="1">
      <alignment wrapText="1"/>
    </xf>
    <xf numFmtId="0" fontId="0" fillId="14" borderId="28" xfId="0" applyFill="1" applyBorder="1"/>
    <xf numFmtId="0" fontId="34" fillId="14" borderId="7" xfId="0" applyFont="1" applyFill="1" applyBorder="1"/>
    <xf numFmtId="0" fontId="36" fillId="14" borderId="7" xfId="0" applyFont="1" applyFill="1" applyBorder="1"/>
    <xf numFmtId="0" fontId="0" fillId="14" borderId="6" xfId="0" applyFill="1" applyBorder="1" applyAlignment="1">
      <alignment wrapText="1"/>
    </xf>
    <xf numFmtId="0" fontId="8" fillId="14" borderId="29" xfId="1" applyFill="1" applyBorder="1" applyAlignment="1">
      <alignment wrapText="1"/>
    </xf>
    <xf numFmtId="0" fontId="34" fillId="29" borderId="19" xfId="0" applyFont="1" applyFill="1" applyBorder="1"/>
    <xf numFmtId="0" fontId="34" fillId="29" borderId="20" xfId="0" applyFont="1" applyFill="1" applyBorder="1"/>
    <xf numFmtId="0" fontId="35" fillId="30" borderId="20" xfId="0" applyFont="1" applyFill="1" applyBorder="1"/>
    <xf numFmtId="0" fontId="34" fillId="29" borderId="21" xfId="0" applyFont="1" applyFill="1" applyBorder="1"/>
    <xf numFmtId="0" fontId="8" fillId="5" borderId="1" xfId="1" applyFill="1" applyBorder="1" applyAlignment="1">
      <alignment horizontal="left"/>
    </xf>
    <xf numFmtId="0" fontId="42" fillId="0" borderId="0" xfId="4" applyFont="1" applyAlignment="1">
      <alignment horizontal="left"/>
    </xf>
    <xf numFmtId="0" fontId="0" fillId="14" borderId="30" xfId="0" applyFill="1" applyBorder="1"/>
    <xf numFmtId="0" fontId="34" fillId="14" borderId="31" xfId="0" applyFont="1" applyFill="1" applyBorder="1"/>
    <xf numFmtId="0" fontId="37" fillId="14" borderId="31" xfId="0" applyFont="1" applyFill="1" applyBorder="1"/>
    <xf numFmtId="0" fontId="36" fillId="14" borderId="31" xfId="0" applyFont="1" applyFill="1" applyBorder="1"/>
    <xf numFmtId="0" fontId="0" fillId="14" borderId="32" xfId="0" applyFill="1" applyBorder="1"/>
    <xf numFmtId="0" fontId="28" fillId="23" borderId="1" xfId="4" applyFont="1" applyFill="1" applyBorder="1" applyAlignment="1">
      <alignment horizontal="left"/>
    </xf>
    <xf numFmtId="0" fontId="7" fillId="5" borderId="1" xfId="4" applyFill="1" applyBorder="1" applyAlignment="1">
      <alignment horizontal="left" vertical="top"/>
    </xf>
    <xf numFmtId="0" fontId="43" fillId="33" borderId="0" xfId="0" applyFont="1" applyFill="1" applyAlignment="1">
      <alignment horizontal="left"/>
    </xf>
    <xf numFmtId="16" fontId="7" fillId="34" borderId="0" xfId="0" applyNumberFormat="1" applyFont="1" applyFill="1" applyAlignment="1">
      <alignment horizontal="left"/>
    </xf>
    <xf numFmtId="0" fontId="7" fillId="32" borderId="0" xfId="0" applyFont="1" applyFill="1" applyAlignment="1">
      <alignment horizontal="left"/>
    </xf>
    <xf numFmtId="0" fontId="7" fillId="34" borderId="0" xfId="0" applyFont="1" applyFill="1" applyAlignment="1">
      <alignment horizontal="left"/>
    </xf>
    <xf numFmtId="0" fontId="7" fillId="35" borderId="0" xfId="0" applyFont="1" applyFill="1" applyAlignment="1">
      <alignment horizontal="left"/>
    </xf>
    <xf numFmtId="0" fontId="7" fillId="36" borderId="0" xfId="0" applyFont="1" applyFill="1" applyAlignment="1">
      <alignment horizontal="left"/>
    </xf>
    <xf numFmtId="0" fontId="7" fillId="37" borderId="0" xfId="0" applyFont="1" applyFill="1" applyAlignment="1">
      <alignment horizontal="left"/>
    </xf>
    <xf numFmtId="0" fontId="7" fillId="38" borderId="0" xfId="0" applyFont="1" applyFill="1" applyAlignment="1">
      <alignment horizontal="left"/>
    </xf>
    <xf numFmtId="0" fontId="38" fillId="4" borderId="0" xfId="0" applyFont="1" applyFill="1" applyAlignment="1">
      <alignment horizontal="center"/>
    </xf>
    <xf numFmtId="0" fontId="10" fillId="13" borderId="8" xfId="0" applyFont="1" applyFill="1" applyBorder="1" applyAlignment="1">
      <alignment horizontal="center"/>
    </xf>
    <xf numFmtId="0" fontId="10" fillId="13" borderId="5" xfId="0" applyFont="1" applyFill="1" applyBorder="1" applyAlignment="1">
      <alignment horizontal="center"/>
    </xf>
    <xf numFmtId="0" fontId="10" fillId="13" borderId="9" xfId="0" applyFont="1" applyFill="1" applyBorder="1" applyAlignment="1">
      <alignment horizontal="center"/>
    </xf>
    <xf numFmtId="0" fontId="10" fillId="13" borderId="10" xfId="0" applyFont="1" applyFill="1" applyBorder="1" applyAlignment="1">
      <alignment horizontal="center"/>
    </xf>
    <xf numFmtId="0" fontId="39" fillId="0" borderId="0" xfId="0" applyFont="1" applyAlignment="1">
      <alignment horizontal="left"/>
    </xf>
    <xf numFmtId="0" fontId="40" fillId="0" borderId="0" xfId="0" applyFont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5">
    <cellStyle name="Hyperlink" xfId="1" builtinId="8"/>
    <cellStyle name="Hyperlink 2" xfId="2" xr:uid="{52CD773E-89CE-421A-94D4-848EFFE8FECE}"/>
    <cellStyle name="Normal" xfId="0" builtinId="0"/>
    <cellStyle name="Normal 2" xfId="3" xr:uid="{0B6DDE20-B989-4D16-8C19-212B0A067346}"/>
    <cellStyle name="Normal 2 2" xfId="4" xr:uid="{6E20E929-8689-4393-839A-CD5EE7D75BFD}"/>
  </cellStyles>
  <dxfs count="126"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B7E1CD"/>
          <bgColor rgb="FFB7E1CD"/>
        </patternFill>
      </fill>
    </dxf>
    <dxf>
      <font>
        <color rgb="FFFF0000"/>
      </font>
    </dxf>
    <dxf>
      <font>
        <color rgb="FF434343"/>
      </font>
      <fill>
        <patternFill patternType="solid">
          <bgColor theme="2" tint="-0.499984740745262"/>
        </patternFill>
      </fill>
    </dxf>
    <dxf>
      <font>
        <color rgb="FF434343"/>
      </font>
      <fill>
        <patternFill patternType="solid">
          <bgColor theme="2" tint="-0.499984740745262"/>
        </patternFill>
      </fill>
    </dxf>
    <dxf>
      <font>
        <color rgb="FF00FF00"/>
      </font>
      <fill>
        <patternFill patternType="solid">
          <bgColor theme="2" tint="-0.499984740745262"/>
        </patternFill>
      </fill>
    </dxf>
    <dxf>
      <font>
        <color rgb="FF00FFFF"/>
      </font>
      <fill>
        <patternFill patternType="solid">
          <bgColor theme="2" tint="-0.499984740745262"/>
        </patternFill>
      </fill>
    </dxf>
    <dxf>
      <font>
        <color rgb="FFFFFF00"/>
      </font>
      <fill>
        <patternFill patternType="solid">
          <bgColor theme="2" tint="-0.499984740745262"/>
        </patternFill>
      </fill>
    </dxf>
    <dxf>
      <font>
        <color rgb="FFF6B26B"/>
      </font>
      <fill>
        <patternFill patternType="solid">
          <bgColor theme="2" tint="-0.499984740745262"/>
        </patternFill>
      </fill>
    </dxf>
    <dxf>
      <font>
        <color rgb="FF00AAFF"/>
      </font>
      <fill>
        <patternFill patternType="solid">
          <bgColor theme="2" tint="-0.499984740745262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B7E1CD"/>
          <bgColor rgb="FFB7E1CD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0.39994506668294322"/>
      </font>
      <fill>
        <patternFill>
          <bgColor theme="2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0.39994506668294322"/>
      </font>
      <fill>
        <patternFill>
          <bgColor theme="2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0.39994506668294322"/>
      </font>
      <fill>
        <patternFill>
          <bgColor theme="2" tint="-0.24994659260841701"/>
        </patternFill>
      </fill>
    </dxf>
    <dxf>
      <font>
        <color theme="7" tint="0.39994506668294322"/>
      </font>
      <fill>
        <patternFill>
          <bgColor theme="2" tint="-0.24994659260841701"/>
        </patternFill>
      </fill>
    </dxf>
    <dxf>
      <font>
        <color theme="7" tint="0.39994506668294322"/>
      </font>
      <fill>
        <patternFill>
          <bgColor theme="2" tint="-0.24994659260841701"/>
        </patternFill>
      </fill>
    </dxf>
    <dxf>
      <font>
        <color theme="7" tint="0.39994506668294322"/>
      </font>
      <fill>
        <patternFill>
          <bgColor theme="2" tint="-0.24994659260841701"/>
        </patternFill>
      </fill>
    </dxf>
    <dxf>
      <font>
        <color theme="7" tint="0.39994506668294322"/>
      </font>
      <fill>
        <patternFill>
          <bgColor theme="2" tint="-0.24994659260841701"/>
        </patternFill>
      </fill>
    </dxf>
    <dxf>
      <font>
        <color rgb="FF434343"/>
      </font>
      <fill>
        <patternFill patternType="solid">
          <bgColor theme="2" tint="-0.499984740745262"/>
        </patternFill>
      </fill>
    </dxf>
    <dxf>
      <font>
        <color rgb="FF434343"/>
      </font>
      <fill>
        <patternFill patternType="solid">
          <bgColor theme="2" tint="-0.499984740745262"/>
        </patternFill>
      </fill>
    </dxf>
    <dxf>
      <font>
        <color rgb="FF00FF00"/>
      </font>
      <fill>
        <patternFill patternType="solid">
          <bgColor theme="2" tint="-0.499984740745262"/>
        </patternFill>
      </fill>
    </dxf>
    <dxf>
      <font>
        <color rgb="FF00FFFF"/>
      </font>
      <fill>
        <patternFill patternType="solid">
          <bgColor theme="2" tint="-0.499984740745262"/>
        </patternFill>
      </fill>
    </dxf>
    <dxf>
      <font>
        <color rgb="FFFFFF00"/>
      </font>
      <fill>
        <patternFill patternType="solid">
          <bgColor theme="2" tint="-0.499984740745262"/>
        </patternFill>
      </fill>
    </dxf>
    <dxf>
      <font>
        <color rgb="FFF6B26B"/>
      </font>
      <fill>
        <patternFill patternType="solid">
          <bgColor theme="2" tint="-0.499984740745262"/>
        </patternFill>
      </fill>
    </dxf>
    <dxf>
      <font>
        <color rgb="FF00AAFF"/>
      </font>
      <fill>
        <patternFill patternType="solid">
          <bgColor theme="2" tint="-0.499984740745262"/>
        </patternFill>
      </fill>
    </dxf>
    <dxf>
      <font>
        <color theme="7" tint="0.39994506668294322"/>
      </font>
      <fill>
        <patternFill>
          <bgColor theme="2" tint="-0.24994659260841701"/>
        </patternFill>
      </fill>
    </dxf>
    <dxf>
      <font>
        <color rgb="FF434343"/>
      </font>
      <fill>
        <patternFill patternType="solid">
          <bgColor theme="2" tint="-0.499984740745262"/>
        </patternFill>
      </fill>
    </dxf>
    <dxf>
      <font>
        <color rgb="FF434343"/>
      </font>
      <fill>
        <patternFill patternType="solid">
          <bgColor theme="2" tint="-0.499984740745262"/>
        </patternFill>
      </fill>
    </dxf>
    <dxf>
      <font>
        <color rgb="FF00FF00"/>
      </font>
      <fill>
        <patternFill patternType="solid">
          <bgColor theme="2" tint="-0.499984740745262"/>
        </patternFill>
      </fill>
    </dxf>
    <dxf>
      <font>
        <color rgb="FF00FFFF"/>
      </font>
      <fill>
        <patternFill patternType="solid">
          <bgColor theme="2" tint="-0.499984740745262"/>
        </patternFill>
      </fill>
    </dxf>
    <dxf>
      <font>
        <color rgb="FFFFFF00"/>
      </font>
      <fill>
        <patternFill patternType="solid">
          <bgColor theme="2" tint="-0.499984740745262"/>
        </patternFill>
      </fill>
    </dxf>
    <dxf>
      <font>
        <color rgb="FFF6B26B"/>
      </font>
      <fill>
        <patternFill patternType="solid">
          <bgColor theme="2" tint="-0.499984740745262"/>
        </patternFill>
      </fill>
    </dxf>
    <dxf>
      <font>
        <color rgb="FF00AAFF"/>
      </font>
      <fill>
        <patternFill patternType="solid">
          <bgColor theme="2" tint="-0.499984740745262"/>
        </patternFill>
      </fill>
    </dxf>
    <dxf>
      <fill>
        <patternFill patternType="solid">
          <fgColor rgb="FFE06666"/>
          <bgColor rgb="FFE06666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ont>
        <color rgb="FFFF0000"/>
      </font>
    </dxf>
    <dxf>
      <font>
        <color rgb="FFFF0000"/>
      </font>
    </dxf>
    <dxf>
      <font>
        <color theme="7" tint="0.39994506668294322"/>
      </font>
      <fill>
        <patternFill>
          <bgColor theme="2" tint="-0.24994659260841701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B7E1CD"/>
          <bgColor rgb="FFB7E1CD"/>
        </patternFill>
      </fill>
    </dxf>
    <dxf>
      <font>
        <color rgb="FF434343"/>
      </font>
      <fill>
        <patternFill patternType="solid">
          <bgColor theme="2" tint="-0.499984740745262"/>
        </patternFill>
      </fill>
    </dxf>
    <dxf>
      <font>
        <color rgb="FF434343"/>
      </font>
      <fill>
        <patternFill patternType="solid">
          <bgColor theme="2" tint="-0.499984740745262"/>
        </patternFill>
      </fill>
    </dxf>
    <dxf>
      <font>
        <color rgb="FF00FF00"/>
      </font>
      <fill>
        <patternFill patternType="solid">
          <bgColor theme="2" tint="-0.499984740745262"/>
        </patternFill>
      </fill>
    </dxf>
    <dxf>
      <font>
        <color rgb="FF00FFFF"/>
      </font>
      <fill>
        <patternFill patternType="solid">
          <bgColor theme="2" tint="-0.499984740745262"/>
        </patternFill>
      </fill>
    </dxf>
    <dxf>
      <font>
        <color rgb="FFFFFF00"/>
      </font>
      <fill>
        <patternFill patternType="solid">
          <bgColor theme="2" tint="-0.499984740745262"/>
        </patternFill>
      </fill>
    </dxf>
    <dxf>
      <font>
        <color rgb="FFF6B26B"/>
      </font>
      <fill>
        <patternFill patternType="solid">
          <bgColor theme="2" tint="-0.499984740745262"/>
        </patternFill>
      </fill>
    </dxf>
    <dxf>
      <font>
        <color rgb="FF00AAFF"/>
      </font>
      <fill>
        <patternFill patternType="solid">
          <bgColor theme="2" tint="-0.499984740745262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left" relativeIndent="-1"/>
    </dxf>
    <dxf>
      <numFmt numFmtId="0" formatCode="General"/>
      <alignment horizontal="left" relativeIndent="-1"/>
    </dxf>
    <dxf>
      <alignment horizontal="left" relativeIndent="-1"/>
    </dxf>
    <dxf>
      <numFmt numFmtId="164" formatCode="[$-409]d\-mmm;@"/>
      <alignment horizontal="left" relativeIndent="-1"/>
    </dxf>
    <dxf>
      <alignment horizontal="left" relativeIndent="-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solid">
          <fgColor rgb="FFF4CCCC"/>
          <bgColor theme="8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solid">
          <fgColor rgb="FFF4CCCC"/>
          <bgColor theme="8" tint="0.79998168889431442"/>
        </patternFill>
      </fill>
      <alignment horizontal="left" relativeIndent="-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solid">
          <fgColor rgb="FFF4CCCC"/>
          <bgColor theme="8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rgb="FFF4CCCC"/>
          <bgColor theme="8" tint="0.79998168889431442"/>
        </patternFill>
      </fill>
      <alignment horizontal="left" relativeIndent="-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solid">
          <fgColor rgb="FFF4CCCC"/>
          <bgColor theme="8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rgb="FFF4CCCC"/>
          <bgColor theme="8" tint="0.79998168889431442"/>
        </patternFill>
      </fill>
      <alignment horizontal="left" relativeIndent="-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[$-409]d\-mmm;@"/>
      <fill>
        <patternFill patternType="solid">
          <fgColor indexed="64"/>
          <bgColor theme="8" tint="0.79998168889431442"/>
        </patternFill>
      </fill>
      <alignment horizontal="left" relativeIndent="-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left" relativeIndent="-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theme="7" tint="0.79998168889431442"/>
        </patternFill>
      </fill>
      <alignment horizontal="left" relativeIndent="-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theme="7" tint="0.79998168889431442"/>
        </patternFill>
      </fill>
      <alignment horizontal="left" relativeIndent="-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solid">
          <fgColor rgb="FFF4CCCC"/>
          <bgColor theme="7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rgb="FFF4CCCC"/>
          <bgColor theme="7" tint="0.79998168889431442"/>
        </patternFill>
      </fill>
      <alignment horizontal="left" relativeIndent="-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relativeIndent="-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relativeIndent="-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theme="0" tint="-4.9989318521683403E-2"/>
        </patternFill>
      </fill>
      <alignment horizontal="left" relativeIndent="-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theme="0" tint="-4.9989318521683403E-2"/>
        </patternFill>
      </fill>
      <alignment horizontal="left" relativeIndent="-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theme="2" tint="-9.9978637043366805E-2"/>
        </patternFill>
      </fill>
      <alignment horizontal="left" relativeIndent="-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solid">
          <fgColor rgb="FFF4CCCC"/>
          <bgColor theme="2" tint="-9.9978637043366805E-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rgb="FFF4CCCC"/>
          <bgColor theme="2" tint="-9.9978637043366805E-2"/>
        </patternFill>
      </fill>
      <alignment horizontal="left" relativeIndent="-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theme="2" tint="-9.9978637043366805E-2"/>
        </patternFill>
      </fill>
      <alignment horizontal="left" relativeIndent="-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164" formatCode="[$-409]d\-mmm;@"/>
      <fill>
        <patternFill patternType="solid">
          <fgColor indexed="64"/>
          <bgColor theme="2" tint="-9.9978637043366805E-2"/>
        </patternFill>
      </fill>
      <alignment horizontal="left" relativeIndent="-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theme="2" tint="-9.9978637043366805E-2"/>
        </patternFill>
      </fill>
      <alignment horizontal="left" relativeIndent="-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theme="2" tint="-9.9978637043366805E-2"/>
        </patternFill>
      </fill>
      <alignment horizontal="left" relativeIndent="-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theme="2" tint="-9.9978637043366805E-2"/>
        </patternFill>
      </fill>
      <alignment horizontal="left" relativeIndent="-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left" relativeIndent="-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left" relativeIndent="-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theme="2" tint="-9.9978637043366805E-2"/>
        </patternFill>
      </fill>
      <alignment horizontal="left" relativeIndent="-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left" relativeIndent="-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left" relativeIndent="-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theme="2" tint="-9.9978637043366805E-2"/>
        </patternFill>
      </fill>
      <alignment horizontal="left" relativeIndent="-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left" relativeIndent="-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theme="2" tint="-9.9978637043366805E-2"/>
        </patternFill>
      </fill>
      <alignment horizontal="left" relativeIndent="-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Calibri"/>
        <family val="2"/>
        <scheme val="minor"/>
      </font>
      <numFmt numFmtId="0" formatCode="General"/>
      <fill>
        <patternFill patternType="solid">
          <fgColor rgb="FF666666"/>
          <bgColor rgb="FF666666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Calibri"/>
        <family val="2"/>
        <scheme val="minor"/>
      </font>
      <fill>
        <patternFill patternType="solid">
          <fgColor rgb="FF666666"/>
          <bgColor rgb="FF666666"/>
        </patternFill>
      </fill>
      <alignment horizontal="left" relativeIndent="-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relativeIndent="-1"/>
    </dxf>
    <dxf>
      <border outline="0">
        <bottom style="thin">
          <color indexed="64"/>
        </bottom>
      </border>
    </dxf>
    <dxf>
      <alignment horizontal="left" relativeIndent="-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Calibri"/>
        <family val="2"/>
        <scheme val="minor"/>
      </font>
      <fill>
        <patternFill patternType="solid">
          <fgColor rgb="FF9FC5E8"/>
          <bgColor rgb="FF9FC5E8"/>
        </patternFill>
      </fill>
      <alignment horizontal="left" relativeIndent="-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E1CAEB-CDE0-475A-8F4D-3FC3485C37AB}" name="DigitasUKAdOp_26Team" displayName="DigitasUKAdOp_26Team" ref="A1:AG1588" headerRowDxfId="125" dataDxfId="124" totalsRowDxfId="122" tableBorderDxfId="123" headerRowCellStyle="Normal 2 2">
  <autoFilter ref="A1:AG1588" xr:uid="{1CE1CAEB-CDE0-475A-8F4D-3FC3485C37A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</autoFilter>
  <tableColumns count="33">
    <tableColumn id="1" xr3:uid="{00000000-0010-0000-0100-000001000000}" name="Month: Day" totalsRowLabel="Total" dataDxfId="121" totalsRowDxfId="120" dataCellStyle="Normal 2 2"/>
    <tableColumn id="2" xr3:uid="{00000000-0010-0000-0100-000002000000}" name="Date" dataDxfId="119" totalsRowDxfId="118" dataCellStyle="Normal 2 2"/>
    <tableColumn id="3" xr3:uid="{00000000-0010-0000-0100-000003000000}" name="Client" dataDxfId="117" totalsRowDxfId="116" dataCellStyle="Normal 2 2"/>
    <tableColumn id="4" xr3:uid="{00000000-0010-0000-0100-000004000000}" name="Sent By" dataDxfId="115" totalsRowDxfId="114" dataCellStyle="Normal 2 2"/>
    <tableColumn id="5" xr3:uid="{00000000-0010-0000-0100-000005000000}" name="Camapign Type" dataDxfId="113" totalsRowDxfId="112" dataCellStyle="Normal 2 2"/>
    <tableColumn id="6" xr3:uid="{00000000-0010-0000-0100-000006000000}" name="CM360 Campaign Name" dataDxfId="111" dataCellStyle="Normal 2 2"/>
    <tableColumn id="7" xr3:uid="{00000000-0010-0000-0100-000007000000}" name="Email Subject Line" dataDxfId="110" totalsRowDxfId="109" dataCellStyle="Normal 2 2"/>
    <tableColumn id="8" xr3:uid="{00000000-0010-0000-0100-000008000000}" name="Request Type" dataDxfId="108" totalsRowDxfId="107" dataCellStyle="Normal 2 2"/>
    <tableColumn id="9" xr3:uid="{00000000-0010-0000-0100-000009000000}" name="Trafficker" dataDxfId="106" totalsRowDxfId="105" dataCellStyle="Normal 2 2"/>
    <tableColumn id="10" xr3:uid="{00000000-0010-0000-0100-00000A000000}" name="Placement Count" dataDxfId="104" totalsRowDxfId="103" dataCellStyle="Normal 2 2"/>
    <tableColumn id="30" xr3:uid="{00000000-0010-0000-0100-00001E000000}" name="Creative Count" dataDxfId="102" totalsRowDxfId="101" dataCellStyle="Normal 2 2"/>
    <tableColumn id="31" xr3:uid="{00000000-0010-0000-0100-00001F000000}" name="Ad Count" dataDxfId="100" totalsRowDxfId="99" dataCellStyle="Normal 2 2"/>
    <tableColumn id="11" xr3:uid="{00000000-0010-0000-0100-00000B000000}" name="Live date" dataDxfId="98" totalsRowDxfId="97" dataCellStyle="Normal 2 2"/>
    <tableColumn id="12" xr3:uid="{00000000-0010-0000-0100-00000C000000}" name="Trafficking Time" dataDxfId="96" totalsRowDxfId="95" dataCellStyle="Normal 2 2"/>
    <tableColumn id="13" xr3:uid="{00000000-0010-0000-0100-00000D000000}" name="Trafficking Status" dataDxfId="94" totalsRowDxfId="93" dataCellStyle="Normal 2 2"/>
    <tableColumn id="14" xr3:uid="{00000000-0010-0000-0100-00000E000000}" name="Trafficking Note" dataDxfId="92" totalsRowDxfId="91" dataCellStyle="Normal 2 2"/>
    <tableColumn id="15" xr3:uid="{00000000-0010-0000-0100-00000F000000}" name="Trafficking week No" dataDxfId="90" totalsRowDxfId="89" dataCellStyle="Normal 2 2"/>
    <tableColumn id="16" xr3:uid="{00000000-0010-0000-0100-000010000000}" name="Trafficking Month" dataDxfId="88" totalsRowDxfId="87" dataCellStyle="Normal 2 2"/>
    <tableColumn id="17" xr3:uid="{00000000-0010-0000-0100-000011000000}" name="Trafficking Day" dataDxfId="86" totalsRowDxfId="85" dataCellStyle="Normal 2 2"/>
    <tableColumn id="18" xr3:uid="{00000000-0010-0000-0100-000012000000}" name="QA Person" dataDxfId="84" totalsRowDxfId="83" dataCellStyle="Normal 2 2"/>
    <tableColumn id="19" xr3:uid="{00000000-0010-0000-0100-000013000000}" name="QA Status" dataDxfId="82" totalsRowDxfId="81" dataCellStyle="Normal 2 2"/>
    <tableColumn id="20" xr3:uid="{00000000-0010-0000-0100-000014000000}" name="QA Note" dataDxfId="80" totalsRowDxfId="79" dataCellStyle="Normal 2 2"/>
    <tableColumn id="21" xr3:uid="{00000000-0010-0000-0100-000015000000}" name="QA Time" dataDxfId="78" totalsRowDxfId="77" dataCellStyle="Normal 2 2"/>
    <tableColumn id="22" xr3:uid="{00000000-0010-0000-0100-000016000000}" name="Post live QA Person" dataDxfId="76" totalsRowDxfId="75" dataCellStyle="Normal 2 2"/>
    <tableColumn id="23" xr3:uid="{00000000-0010-0000-0100-000017000000}" name="Post live QA date" dataDxfId="74" totalsRowDxfId="73" dataCellStyle="Normal 2 2"/>
    <tableColumn id="24" xr3:uid="{00000000-0010-0000-0100-000018000000}" name="Post live QA status" dataDxfId="72" totalsRowDxfId="71" dataCellStyle="Normal 2 2"/>
    <tableColumn id="25" xr3:uid="{00000000-0010-0000-0100-000019000000}" name="Email Subject Line2" totalsRowFunction="count" dataDxfId="70" totalsRowDxfId="69" dataCellStyle="Normal 2 2"/>
    <tableColumn id="36" xr3:uid="{00000000-0010-0000-0100-000024000000}" name="Post live QA Week" dataDxfId="68" totalsRowDxfId="67" dataCellStyle="Normal 2 2"/>
    <tableColumn id="26" xr3:uid="{00000000-0010-0000-0100-00001A000000}" name="Time for Post live QA" dataDxfId="66" dataCellStyle="Normal 2 2"/>
    <tableColumn id="27" xr3:uid="{00000000-0010-0000-0100-00001B000000}" name="Date of Post live QA" dataDxfId="65" dataCellStyle="Normal 2 2"/>
    <tableColumn id="28" xr3:uid="{00000000-0010-0000-0100-00001C000000}" name="Post live QA Note" dataDxfId="64" dataCellStyle="Normal 2 2"/>
    <tableColumn id="32" xr3:uid="{00000000-0010-0000-0100-000020000000}" name="Post Live QA Week Day" dataDxfId="63" dataCellStyle="Normal 2 2"/>
    <tableColumn id="29" xr3:uid="{00000000-0010-0000-0100-00001D000000}" name="Post live QA Month Date" dataDxfId="62" dataCellStyle="Normal 2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:x:/g/personal/bhachint2_publicisgroupe_net/EZJpQfGG8_NEsP2RW8iqc5EBO23TQSO9R-NixjsM1yd1cg?e=Iqiqsm" TargetMode="External"/><Relationship Id="rId13" Type="http://schemas.openxmlformats.org/officeDocument/2006/relationships/hyperlink" Target="https://crocsconnect.sharepoint.com/sites/MasterGlobalMarketingFolder" TargetMode="External"/><Relationship Id="rId3" Type="http://schemas.openxmlformats.org/officeDocument/2006/relationships/hyperlink" Target="https://crocsconnect.sharepoint.com/sites/MasterGlobalMarketingFolder/Shared%20Documents/Forms/AllItems.aspx?ga=1&amp;id=%2Fsites%2FMasterGlobalMarketingFolder%2FShared%20Documents%2FDigitas%2FTrafficking%20Sheets%2FAPAC%2FIndia%2FIndia%20Adobe%202024&amp;viewid=05bb0cbd%2D56a0%2D4e76%2Dac78%2Df91f83d5b95f" TargetMode="External"/><Relationship Id="rId7" Type="http://schemas.openxmlformats.org/officeDocument/2006/relationships/hyperlink" Target="../../_layouts/15/stream.aspx?id=%2Fpersonal%2Fmrichoub%5Fpublicisgroupe%5Fnet%2FDocuments%2FEMEA%20Elezabeth%20Ad%20Ops%2FCrocs%2FCrocs%20Trafficking%20recap%2D20231128%5F173644%2DMeeting%20Recording%2Emp4&amp;referrer=StreamWebApp%2EWeb&amp;referrerScenario=AddressBarCopied%2Eview" TargetMode="External"/><Relationship Id="rId12" Type="http://schemas.openxmlformats.org/officeDocument/2006/relationships/hyperlink" Target="https://publicisgroupe.sharepoint.com/:v:/s/Crocs-GlobalTeam/EeAE_2vyge1OoaMEhlgK_lcBhAZfJL0-1-FQeLVjkouw1w?nav=eyJyZWZlcnJhbEluZm8iOnsicmVmZXJyYWxBcHAiOiJTdHJlYW1XZWJBcHAiLCJyZWZlcnJhbFZpZXciOiJTaGFyZURpYWxvZy1MaW5rIiwicmVmZXJyYWxBcHBQbGF0Zm9ybSI6IldlYiIsInJlZmVycmFsTW9kZSI6InZpZXcifX0%3D&amp;e=w7bkrK" TargetMode="External"/><Relationship Id="rId2" Type="http://schemas.openxmlformats.org/officeDocument/2006/relationships/hyperlink" Target="https://crocsconnect.sharepoint.com/sites/MasterGlobalMarketingFolder/Shared%20Documents/Forms/AllItems.aspx?ga=1&amp;id=%2Fsites%2FMasterGlobalMarketingFolder%2FShared%20Documents%2FDigitas%2FTrafficking%20Sheets%2FAPAC%2FChina%2F2024&amp;viewid=05bb0cbd%2D56a0%2D4e76%2Dac78%2Df91f83d5b95f" TargetMode="External"/><Relationship Id="rId1" Type="http://schemas.openxmlformats.org/officeDocument/2006/relationships/hyperlink" Target="../../../../:v:/g/personal/mrichoub_publicisgroupe_net/ESYTqHDDPvJKgyqB46iwldoBZQfkYksG1v6jpz-ufU4M4w" TargetMode="External"/><Relationship Id="rId6" Type="http://schemas.openxmlformats.org/officeDocument/2006/relationships/hyperlink" Target="https://crocsconnect.sharepoint.com/sites/MasterGlobalMarketingFolder/Shared%20Documents/Forms/AllItems.aspx?ga=1&amp;id=%2Fsites%2FMasterGlobalMarketingFolder%2FShared%20Documents%2FDigitas%2FTrafficking%20Sheets%2FEMEA%2F2024&amp;viewid=05bb0cbd%2D56a0%2D4e76%2Dac78%2Df91f83d5b95f" TargetMode="External"/><Relationship Id="rId11" Type="http://schemas.openxmlformats.org/officeDocument/2006/relationships/hyperlink" Target="https://publicisgroupe.sharepoint.com/:x:/s/Crocs-GlobalTeam/EfZ5Z297I_ZKjMNcVKNoc2cBM01vWN41e06nP7g8Gv_UTQ?e=TeOiR6" TargetMode="External"/><Relationship Id="rId5" Type="http://schemas.openxmlformats.org/officeDocument/2006/relationships/hyperlink" Target="https://crocsconnect.sharepoint.com/sites/MasterGlobalMarketingFolder/Shared%20Documents/Forms/AllItems.aspx?ga=1&amp;id=%2Fsites%2FMasterGlobalMarketingFolder%2FShared%20Documents%2FDigitas%2FTrafficking%20Sheets%2FAPAC%2FKorea%2F2024&amp;viewid=05bb0cbd%2D56a0%2D4e76%2Dac78%2Df91f83d5b95f" TargetMode="External"/><Relationship Id="rId15" Type="http://schemas.openxmlformats.org/officeDocument/2006/relationships/printerSettings" Target="../printerSettings/printerSettings2.bin"/><Relationship Id="rId10" Type="http://schemas.openxmlformats.org/officeDocument/2006/relationships/hyperlink" Target="https://publicisgroupe.sharepoint.com/:p:/s/Crocs-GlobalTeam/EVtMGt2GRr9Psw6Ts5FrfhwB2sG5JG0r3UxqJfpHPkPr-w?e=XYeBfd" TargetMode="External"/><Relationship Id="rId4" Type="http://schemas.openxmlformats.org/officeDocument/2006/relationships/hyperlink" Target="https://crocsconnect.sharepoint.com/sites/MasterGlobalMarketingFolder/Shared%20Documents/Forms/AllItems.aspx?ga=1&amp;id=%2Fsites%2FMasterGlobalMarketingFolder%2FShared%20Documents%2FDigitas%2FTrafficking%20Sheets%2FAPAC%2FJapan%2F2024&amp;viewid=05bb0cbd%2D56a0%2D4e76%2Dac78%2Df91f83d5b95f" TargetMode="External"/><Relationship Id="rId9" Type="http://schemas.openxmlformats.org/officeDocument/2006/relationships/hyperlink" Target="../../../../:x:/g/personal/bhachint2_publicisgroupe_net/EYY3Xrl2cBJIuA98GalHxKUBRbZPDCQQVfYbzVqZDVqN5Q?e=NqjfIe" TargetMode="External"/><Relationship Id="rId14" Type="http://schemas.openxmlformats.org/officeDocument/2006/relationships/hyperlink" Target="../../../../:p:/r/personal/mrichoub_publicisgroupe_net/_layouts/15/Doc.aspx?sourcedoc=%7B315F843B-90DD-41E3-A6C7-F0358A4880E6%7D&amp;file=Crocs%20-%20trafficking%20process%20Presentation.pptx&amp;action=edit&amp;mobileredirect=true" TargetMode="Externa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nicholas.kwilecki@starcomww.com" TargetMode="External"/><Relationship Id="rId21" Type="http://schemas.openxmlformats.org/officeDocument/2006/relationships/hyperlink" Target="mailto:maria.tomprou@publicismedia.com" TargetMode="External"/><Relationship Id="rId34" Type="http://schemas.openxmlformats.org/officeDocument/2006/relationships/hyperlink" Target="mailto:pranit.surve@sparkfoundryww.com" TargetMode="External"/><Relationship Id="rId42" Type="http://schemas.openxmlformats.org/officeDocument/2006/relationships/hyperlink" Target="mailto:vandita.mohta@publicismedia.com" TargetMode="External"/><Relationship Id="rId47" Type="http://schemas.openxmlformats.org/officeDocument/2006/relationships/hyperlink" Target="mailto:elliot.preston@publicismedia.com" TargetMode="External"/><Relationship Id="rId50" Type="http://schemas.openxmlformats.org/officeDocument/2006/relationships/hyperlink" Target="mailto:laurie.oriordan@digitas.com" TargetMode="External"/><Relationship Id="rId55" Type="http://schemas.openxmlformats.org/officeDocument/2006/relationships/hyperlink" Target="mailto:mohammed.younus@publicismedia.com" TargetMode="External"/><Relationship Id="rId63" Type="http://schemas.openxmlformats.org/officeDocument/2006/relationships/hyperlink" Target="mailto:toby.morris@epsilon.com" TargetMode="External"/><Relationship Id="rId7" Type="http://schemas.openxmlformats.org/officeDocument/2006/relationships/hyperlink" Target="mailto:charis.wong@starcomww.com" TargetMode="External"/><Relationship Id="rId2" Type="http://schemas.openxmlformats.org/officeDocument/2006/relationships/hyperlink" Target="mailto:mitchelle.ezeiruoma@performics.com" TargetMode="External"/><Relationship Id="rId16" Type="http://schemas.openxmlformats.org/officeDocument/2006/relationships/hyperlink" Target="mailto:franco.passuellodarosa@publicismedia.com" TargetMode="External"/><Relationship Id="rId29" Type="http://schemas.openxmlformats.org/officeDocument/2006/relationships/hyperlink" Target="mailto:james.dunn@performics.com" TargetMode="External"/><Relationship Id="rId11" Type="http://schemas.openxmlformats.org/officeDocument/2006/relationships/hyperlink" Target="mailto:melissa.edmunds@starcomww.com" TargetMode="External"/><Relationship Id="rId24" Type="http://schemas.openxmlformats.org/officeDocument/2006/relationships/hyperlink" Target="mailto:samsung_display_team_smg_team_gbr@groups.publicisgroupe.net" TargetMode="External"/><Relationship Id="rId32" Type="http://schemas.openxmlformats.org/officeDocument/2006/relationships/hyperlink" Target="mailto:banah.kayyali@publicismedia.com" TargetMode="External"/><Relationship Id="rId37" Type="http://schemas.openxmlformats.org/officeDocument/2006/relationships/hyperlink" Target="mailto:samar.binqamar@publicismedia.com" TargetMode="External"/><Relationship Id="rId40" Type="http://schemas.openxmlformats.org/officeDocument/2006/relationships/hyperlink" Target="mailto:rishav.pandey@publicismedia.com" TargetMode="External"/><Relationship Id="rId45" Type="http://schemas.openxmlformats.org/officeDocument/2006/relationships/hyperlink" Target="mailto:prasoon.garg@publicismedia.com" TargetMode="External"/><Relationship Id="rId53" Type="http://schemas.openxmlformats.org/officeDocument/2006/relationships/hyperlink" Target="mailto:lalia.sissoko@digitas.com" TargetMode="External"/><Relationship Id="rId58" Type="http://schemas.openxmlformats.org/officeDocument/2006/relationships/hyperlink" Target="mailto:laurie.oriordan@digitas.com" TargetMode="External"/><Relationship Id="rId66" Type="http://schemas.openxmlformats.org/officeDocument/2006/relationships/hyperlink" Target="mailto:mandi.vanderveen@digitas.com" TargetMode="External"/><Relationship Id="rId5" Type="http://schemas.openxmlformats.org/officeDocument/2006/relationships/hyperlink" Target="mailto:alyssa.aningalan@starcomww.com" TargetMode="External"/><Relationship Id="rId61" Type="http://schemas.openxmlformats.org/officeDocument/2006/relationships/hyperlink" Target="mailto:shridhar.methar@publicismedia.com" TargetMode="External"/><Relationship Id="rId19" Type="http://schemas.openxmlformats.org/officeDocument/2006/relationships/hyperlink" Target="mailto:ed.hughes@starcomww.com" TargetMode="External"/><Relationship Id="rId14" Type="http://schemas.openxmlformats.org/officeDocument/2006/relationships/hyperlink" Target="mailto:vivian.tram@digitas.com" TargetMode="External"/><Relationship Id="rId22" Type="http://schemas.openxmlformats.org/officeDocument/2006/relationships/hyperlink" Target="mailto:migena.sadikaj@starcomww.com" TargetMode="External"/><Relationship Id="rId27" Type="http://schemas.openxmlformats.org/officeDocument/2006/relationships/hyperlink" Target="mailto:samsunguk.gdd.ind@performics.convonix.com" TargetMode="External"/><Relationship Id="rId30" Type="http://schemas.openxmlformats.org/officeDocument/2006/relationships/hyperlink" Target="mailto:darja.koenig@starcomww.com" TargetMode="External"/><Relationship Id="rId35" Type="http://schemas.openxmlformats.org/officeDocument/2006/relationships/hyperlink" Target="mailto:amy.hooper@publicismedia.com" TargetMode="External"/><Relationship Id="rId43" Type="http://schemas.openxmlformats.org/officeDocument/2006/relationships/hyperlink" Target="mailto:kvishwanath.akilesh@publicismedia.com" TargetMode="External"/><Relationship Id="rId48" Type="http://schemas.openxmlformats.org/officeDocument/2006/relationships/hyperlink" Target="mailto:martina.urbani@digitas.com" TargetMode="External"/><Relationship Id="rId56" Type="http://schemas.openxmlformats.org/officeDocument/2006/relationships/hyperlink" Target="mailto:laurie.oriordan@digitas.com" TargetMode="External"/><Relationship Id="rId64" Type="http://schemas.openxmlformats.org/officeDocument/2006/relationships/hyperlink" Target="mailto:millie.ruddy@digitas.com" TargetMode="External"/><Relationship Id="rId8" Type="http://schemas.openxmlformats.org/officeDocument/2006/relationships/hyperlink" Target="mailto:tucker.homan@digitas.com" TargetMode="External"/><Relationship Id="rId51" Type="http://schemas.openxmlformats.org/officeDocument/2006/relationships/hyperlink" Target="mailto:anush.mittal@publicismedia.com" TargetMode="External"/><Relationship Id="rId3" Type="http://schemas.openxmlformats.org/officeDocument/2006/relationships/hyperlink" Target="mailto:sophie.roff@publicismedia.com" TargetMode="External"/><Relationship Id="rId12" Type="http://schemas.openxmlformats.org/officeDocument/2006/relationships/hyperlink" Target="mailto:jozi.lenart@starcomww.com" TargetMode="External"/><Relationship Id="rId17" Type="http://schemas.openxmlformats.org/officeDocument/2006/relationships/hyperlink" Target="mailto:liam.salhotra@performics.com" TargetMode="External"/><Relationship Id="rId25" Type="http://schemas.openxmlformats.org/officeDocument/2006/relationships/hyperlink" Target="mailto:sky.premsuk@publicismedia.com" TargetMode="External"/><Relationship Id="rId33" Type="http://schemas.openxmlformats.org/officeDocument/2006/relationships/hyperlink" Target="mailto:sirine.baghdadi@sparkfoundryww.com" TargetMode="External"/><Relationship Id="rId38" Type="http://schemas.openxmlformats.org/officeDocument/2006/relationships/hyperlink" Target="mailto:muskan.khare@publicismedia.com" TargetMode="External"/><Relationship Id="rId46" Type="http://schemas.openxmlformats.org/officeDocument/2006/relationships/hyperlink" Target="mailto:aishwarya.shinde@publicismedia.com" TargetMode="External"/><Relationship Id="rId59" Type="http://schemas.openxmlformats.org/officeDocument/2006/relationships/hyperlink" Target="mailto:shivani.kainth@digitas.com" TargetMode="External"/><Relationship Id="rId20" Type="http://schemas.openxmlformats.org/officeDocument/2006/relationships/hyperlink" Target="mailto:maximillian.sage@starcomww.com" TargetMode="External"/><Relationship Id="rId41" Type="http://schemas.openxmlformats.org/officeDocument/2006/relationships/hyperlink" Target="mailto:nancy@publicismedia.com" TargetMode="External"/><Relationship Id="rId54" Type="http://schemas.openxmlformats.org/officeDocument/2006/relationships/hyperlink" Target="mailto:monica.ciobanu@digitas.com" TargetMode="External"/><Relationship Id="rId62" Type="http://schemas.openxmlformats.org/officeDocument/2006/relationships/hyperlink" Target="mailto:elliot.preston@publicismedia.com" TargetMode="External"/><Relationship Id="rId1" Type="http://schemas.openxmlformats.org/officeDocument/2006/relationships/hyperlink" Target="mailto:mohit.saxena@publicis.com" TargetMode="External"/><Relationship Id="rId6" Type="http://schemas.openxmlformats.org/officeDocument/2006/relationships/hyperlink" Target="mailto:anup.patil@publicisgroupe.com" TargetMode="External"/><Relationship Id="rId15" Type="http://schemas.openxmlformats.org/officeDocument/2006/relationships/hyperlink" Target="mailto:michael.efthymiou@digitas.com" TargetMode="External"/><Relationship Id="rId23" Type="http://schemas.openxmlformats.org/officeDocument/2006/relationships/hyperlink" Target="mailto:hazel.kearney@starcomww.com" TargetMode="External"/><Relationship Id="rId28" Type="http://schemas.openxmlformats.org/officeDocument/2006/relationships/hyperlink" Target="mailto:bharat.devanaboyana@publicismedia.com" TargetMode="External"/><Relationship Id="rId36" Type="http://schemas.openxmlformats.org/officeDocument/2006/relationships/hyperlink" Target="mailto:lara.quinn@digitas.com" TargetMode="External"/><Relationship Id="rId49" Type="http://schemas.openxmlformats.org/officeDocument/2006/relationships/hyperlink" Target="mailto:laurie.oriordan@digitas.com" TargetMode="External"/><Relationship Id="rId57" Type="http://schemas.openxmlformats.org/officeDocument/2006/relationships/hyperlink" Target="mailto:monica.ciobanu@digitas.com" TargetMode="External"/><Relationship Id="rId10" Type="http://schemas.openxmlformats.org/officeDocument/2006/relationships/hyperlink" Target="mailto:hiruni.gunasekara@starcomww.com" TargetMode="External"/><Relationship Id="rId31" Type="http://schemas.openxmlformats.org/officeDocument/2006/relationships/hyperlink" Target="mailto:ranjit.nair@starcomww.com" TargetMode="External"/><Relationship Id="rId44" Type="http://schemas.openxmlformats.org/officeDocument/2006/relationships/hyperlink" Target="mailto:karan.shelar@publicismedia.com" TargetMode="External"/><Relationship Id="rId52" Type="http://schemas.openxmlformats.org/officeDocument/2006/relationships/hyperlink" Target="mailto:tazz.mkukuma@digitas.com" TargetMode="External"/><Relationship Id="rId60" Type="http://schemas.openxmlformats.org/officeDocument/2006/relationships/hyperlink" Target="mailto:garima.dewan@publicismedia.com" TargetMode="External"/><Relationship Id="rId65" Type="http://schemas.openxmlformats.org/officeDocument/2006/relationships/hyperlink" Target="mailto:jeremy.breeden@publicismedia.com" TargetMode="External"/><Relationship Id="rId4" Type="http://schemas.openxmlformats.org/officeDocument/2006/relationships/hyperlink" Target="mailto:sara.sjogren@performics.com" TargetMode="External"/><Relationship Id="rId9" Type="http://schemas.openxmlformats.org/officeDocument/2006/relationships/hyperlink" Target="mailto:arti.srivastava@publicismedia.com" TargetMode="External"/><Relationship Id="rId13" Type="http://schemas.openxmlformats.org/officeDocument/2006/relationships/hyperlink" Target="mailto:ellis.aston@performics.com" TargetMode="External"/><Relationship Id="rId18" Type="http://schemas.openxmlformats.org/officeDocument/2006/relationships/hyperlink" Target="mailto:alice.betterton@starcomww.com" TargetMode="External"/><Relationship Id="rId39" Type="http://schemas.openxmlformats.org/officeDocument/2006/relationships/hyperlink" Target="mailto:jyoti.tiwary@publicismedia.co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mrinal.choubey@publicismedia.com" TargetMode="External"/><Relationship Id="rId3" Type="http://schemas.openxmlformats.org/officeDocument/2006/relationships/hyperlink" Target="mailto:sahil.mirza@publicismedia.com" TargetMode="External"/><Relationship Id="rId7" Type="http://schemas.openxmlformats.org/officeDocument/2006/relationships/hyperlink" Target="mailto:ganesh.ranalkar@publicismedia.com" TargetMode="External"/><Relationship Id="rId2" Type="http://schemas.openxmlformats.org/officeDocument/2006/relationships/hyperlink" Target="mailto:adarsh.singh@publicismedia.com" TargetMode="External"/><Relationship Id="rId1" Type="http://schemas.openxmlformats.org/officeDocument/2006/relationships/hyperlink" Target="mailto:adopsindia_digitasuk@publicismedia.com" TargetMode="External"/><Relationship Id="rId6" Type="http://schemas.openxmlformats.org/officeDocument/2006/relationships/hyperlink" Target="mailto:utsav.gulati@publicismedia.com" TargetMode="External"/><Relationship Id="rId5" Type="http://schemas.openxmlformats.org/officeDocument/2006/relationships/hyperlink" Target="mailto:bhavya.chinthamani@publicismedia.com" TargetMode="External"/><Relationship Id="rId10" Type="http://schemas.openxmlformats.org/officeDocument/2006/relationships/printerSettings" Target="../printerSettings/printerSettings3.bin"/><Relationship Id="rId4" Type="http://schemas.openxmlformats.org/officeDocument/2006/relationships/hyperlink" Target="mailto:mohammad.rafath@publicismedia.com" TargetMode="External"/><Relationship Id="rId9" Type="http://schemas.openxmlformats.org/officeDocument/2006/relationships/hyperlink" Target="mailto:namit.lalchandani@publicismedia.com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mailto:gaurav.hole@publicismedia.com;%20joseph.greenlees@digitas.com;%20ben.annang@digitas.com" TargetMode="External"/><Relationship Id="rId7" Type="http://schemas.openxmlformats.org/officeDocument/2006/relationships/hyperlink" Target="mailto:kiran.kurup@publicismedia.com;%20tae.kim@digitas.com" TargetMode="External"/><Relationship Id="rId2" Type="http://schemas.openxmlformats.org/officeDocument/2006/relationships/hyperlink" Target="mailto:george.tsang@publicismedia.com;%20ade.davis-lawal@publicismedia.com" TargetMode="External"/><Relationship Id="rId1" Type="http://schemas.openxmlformats.org/officeDocument/2006/relationships/hyperlink" Target="mailto:ben.annang@digitas.com" TargetMode="External"/><Relationship Id="rId6" Type="http://schemas.openxmlformats.org/officeDocument/2006/relationships/hyperlink" Target="mailto:tazz.mkukuma@digitas.com" TargetMode="External"/><Relationship Id="rId5" Type="http://schemas.openxmlformats.org/officeDocument/2006/relationships/hyperlink" Target="mailto:elliot.preston@publicismedia.com;%20ellis.williams@digitas.com;%20hailey.studley@digitas.com;%20dominic.jay@digitas.com" TargetMode="External"/><Relationship Id="rId4" Type="http://schemas.openxmlformats.org/officeDocument/2006/relationships/hyperlink" Target="mailto:elliot.preston@publicismedia.com" TargetMode="Externa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https://jira.publicismedia.com/browse/TAAGPNG-1950" TargetMode="External"/><Relationship Id="rId18" Type="http://schemas.openxmlformats.org/officeDocument/2006/relationships/hyperlink" Target="https://jira.publicismedia.com/browse/TAAGPNG-1958" TargetMode="External"/><Relationship Id="rId26" Type="http://schemas.openxmlformats.org/officeDocument/2006/relationships/hyperlink" Target="https://jira.publicismedia.com/browse/TAAGVSEU-8134" TargetMode="External"/><Relationship Id="rId39" Type="http://schemas.openxmlformats.org/officeDocument/2006/relationships/hyperlink" Target="https://jira.publicismedia.com/browse/TAAGPNG-1974" TargetMode="External"/><Relationship Id="rId21" Type="http://schemas.openxmlformats.org/officeDocument/2006/relationships/hyperlink" Target="https://jira.publicismedia.com/browse/TAAGVSEU-8134" TargetMode="External"/><Relationship Id="rId34" Type="http://schemas.openxmlformats.org/officeDocument/2006/relationships/hyperlink" Target="https://jira.publicismedia.com/browse/TAAGPNG-1964" TargetMode="External"/><Relationship Id="rId42" Type="http://schemas.openxmlformats.org/officeDocument/2006/relationships/hyperlink" Target="https://jira.publicismedia.com/browse/TAAGPNG-1978" TargetMode="External"/><Relationship Id="rId7" Type="http://schemas.openxmlformats.org/officeDocument/2006/relationships/hyperlink" Target="https://jira.publicismedia.com/browse/TAAGPNG-1940" TargetMode="External"/><Relationship Id="rId2" Type="http://schemas.openxmlformats.org/officeDocument/2006/relationships/hyperlink" Target="https://jira.publicismedia.com/browse/TAAGPNG-1930" TargetMode="External"/><Relationship Id="rId16" Type="http://schemas.openxmlformats.org/officeDocument/2006/relationships/hyperlink" Target="https://jira.publicismedia.com/browse/TAAGPNG-1956" TargetMode="External"/><Relationship Id="rId29" Type="http://schemas.openxmlformats.org/officeDocument/2006/relationships/hyperlink" Target="https://jira.publicismedia.com/browse/TAAGVSEU-8134" TargetMode="External"/><Relationship Id="rId1" Type="http://schemas.openxmlformats.org/officeDocument/2006/relationships/hyperlink" Target="https://jira.publicismedia.com/browse/TAAGPNG-1930" TargetMode="External"/><Relationship Id="rId6" Type="http://schemas.openxmlformats.org/officeDocument/2006/relationships/hyperlink" Target="https://jira.publicismedia.com/browse/TAAGPNG-1938" TargetMode="External"/><Relationship Id="rId11" Type="http://schemas.openxmlformats.org/officeDocument/2006/relationships/hyperlink" Target="https://jira.publicismedia.com/browse/TAAGPNG-1946" TargetMode="External"/><Relationship Id="rId24" Type="http://schemas.openxmlformats.org/officeDocument/2006/relationships/hyperlink" Target="https://jira.publicismedia.com/browse/TAAGVSEU-8134" TargetMode="External"/><Relationship Id="rId32" Type="http://schemas.openxmlformats.org/officeDocument/2006/relationships/hyperlink" Target="https://jira.publicismedia.com/browse/TAAGPNG-1960" TargetMode="External"/><Relationship Id="rId37" Type="http://schemas.openxmlformats.org/officeDocument/2006/relationships/hyperlink" Target="https://jira.publicismedia.com/browse/TAAGPNG-1970" TargetMode="External"/><Relationship Id="rId40" Type="http://schemas.openxmlformats.org/officeDocument/2006/relationships/hyperlink" Target="https://jira.publicismedia.com/browse/TAAGPNG-1974" TargetMode="External"/><Relationship Id="rId45" Type="http://schemas.openxmlformats.org/officeDocument/2006/relationships/printerSettings" Target="../printerSettings/printerSettings5.bin"/><Relationship Id="rId5" Type="http://schemas.openxmlformats.org/officeDocument/2006/relationships/hyperlink" Target="https://jira.publicismedia.com/browse/TAAGPNG-1938" TargetMode="External"/><Relationship Id="rId15" Type="http://schemas.openxmlformats.org/officeDocument/2006/relationships/hyperlink" Target="https://jira.publicismedia.com/browse/TAAGPNG-1954" TargetMode="External"/><Relationship Id="rId23" Type="http://schemas.openxmlformats.org/officeDocument/2006/relationships/hyperlink" Target="https://jira.publicismedia.com/browse/TAAGVSEU-8134" TargetMode="External"/><Relationship Id="rId28" Type="http://schemas.openxmlformats.org/officeDocument/2006/relationships/hyperlink" Target="https://jira.publicismedia.com/browse/TAAGVSEU-8134" TargetMode="External"/><Relationship Id="rId36" Type="http://schemas.openxmlformats.org/officeDocument/2006/relationships/hyperlink" Target="https://jira.publicismedia.com/browse/TAAGPNG-1968" TargetMode="External"/><Relationship Id="rId10" Type="http://schemas.openxmlformats.org/officeDocument/2006/relationships/hyperlink" Target="https://jira.publicismedia.com/browse/TAAGPNG-1946" TargetMode="External"/><Relationship Id="rId19" Type="http://schemas.openxmlformats.org/officeDocument/2006/relationships/hyperlink" Target="https://jira.publicismedia.com/browse/TAAGPNG-1958" TargetMode="External"/><Relationship Id="rId31" Type="http://schemas.openxmlformats.org/officeDocument/2006/relationships/hyperlink" Target="https://jira.publicismedia.com/browse/TAAGPNG-1960" TargetMode="External"/><Relationship Id="rId44" Type="http://schemas.openxmlformats.org/officeDocument/2006/relationships/hyperlink" Target="https://jira.publicismedia.com/browse/TAAGPNG-1982" TargetMode="External"/><Relationship Id="rId4" Type="http://schemas.openxmlformats.org/officeDocument/2006/relationships/hyperlink" Target="https://jira.publicismedia.com/browse/TAAGPNG-1934" TargetMode="External"/><Relationship Id="rId9" Type="http://schemas.openxmlformats.org/officeDocument/2006/relationships/hyperlink" Target="https://jira.publicismedia.com/browse/TAAGPNG-1944" TargetMode="External"/><Relationship Id="rId14" Type="http://schemas.openxmlformats.org/officeDocument/2006/relationships/hyperlink" Target="https://jira.publicismedia.com/browse/TAAGPNG-1952" TargetMode="External"/><Relationship Id="rId22" Type="http://schemas.openxmlformats.org/officeDocument/2006/relationships/hyperlink" Target="https://jira.publicismedia.com/browse/TAAGVSEU-8134" TargetMode="External"/><Relationship Id="rId27" Type="http://schemas.openxmlformats.org/officeDocument/2006/relationships/hyperlink" Target="https://jira.publicismedia.com/browse/TAAGVSEU-8134" TargetMode="External"/><Relationship Id="rId30" Type="http://schemas.openxmlformats.org/officeDocument/2006/relationships/hyperlink" Target="https://jira.publicismedia.com/browse/TAAGPNG-1960" TargetMode="External"/><Relationship Id="rId35" Type="http://schemas.openxmlformats.org/officeDocument/2006/relationships/hyperlink" Target="https://jira.publicismedia.com/browse/TAAGPNG-1966" TargetMode="External"/><Relationship Id="rId43" Type="http://schemas.openxmlformats.org/officeDocument/2006/relationships/hyperlink" Target="https://jira.publicismedia.com/browse/TAAGPNG-1980" TargetMode="External"/><Relationship Id="rId8" Type="http://schemas.openxmlformats.org/officeDocument/2006/relationships/hyperlink" Target="https://jira.publicismedia.com/browse/TAAGPNG-1941" TargetMode="External"/><Relationship Id="rId3" Type="http://schemas.openxmlformats.org/officeDocument/2006/relationships/hyperlink" Target="https://jira.publicismedia.com/browse/TAAGPNG-1932" TargetMode="External"/><Relationship Id="rId12" Type="http://schemas.openxmlformats.org/officeDocument/2006/relationships/hyperlink" Target="https://jira.publicismedia.com/browse/TAAGPNG-1948" TargetMode="External"/><Relationship Id="rId17" Type="http://schemas.openxmlformats.org/officeDocument/2006/relationships/hyperlink" Target="https://jira.publicismedia.com/browse/TAAGPNG-1954" TargetMode="External"/><Relationship Id="rId25" Type="http://schemas.openxmlformats.org/officeDocument/2006/relationships/hyperlink" Target="https://jira.publicismedia.com/browse/TAAGVSEU-8134" TargetMode="External"/><Relationship Id="rId33" Type="http://schemas.openxmlformats.org/officeDocument/2006/relationships/hyperlink" Target="https://jira.publicismedia.com/browse/TAAGPNG-1962" TargetMode="External"/><Relationship Id="rId38" Type="http://schemas.openxmlformats.org/officeDocument/2006/relationships/hyperlink" Target="https://jira.publicismedia.com/browse/TAAGPNG-1972" TargetMode="External"/><Relationship Id="rId46" Type="http://schemas.openxmlformats.org/officeDocument/2006/relationships/table" Target="../tables/table1.xml"/><Relationship Id="rId20" Type="http://schemas.openxmlformats.org/officeDocument/2006/relationships/hyperlink" Target="https://jira.publicismedia.com/browse/TAAGPNG-1954" TargetMode="External"/><Relationship Id="rId41" Type="http://schemas.openxmlformats.org/officeDocument/2006/relationships/hyperlink" Target="https://jira.publicismedia.com/browse/TAAGPNG-197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530B6-70BC-4561-AB3F-408240F8EC86}">
  <sheetPr codeName="Sheet8"/>
  <dimension ref="A1:T4"/>
  <sheetViews>
    <sheetView workbookViewId="0">
      <selection activeCell="H14" sqref="H14"/>
    </sheetView>
  </sheetViews>
  <sheetFormatPr defaultRowHeight="14.5" x14ac:dyDescent="0.35"/>
  <cols>
    <col min="1" max="1" width="21.7265625" customWidth="1"/>
    <col min="2" max="2" width="11.453125" customWidth="1"/>
    <col min="3" max="3" width="15.453125" bestFit="1" customWidth="1"/>
    <col min="7" max="7" width="29.26953125" bestFit="1" customWidth="1"/>
    <col min="8" max="8" width="10.54296875" style="7" customWidth="1"/>
    <col min="9" max="9" width="13.26953125" style="8" customWidth="1"/>
    <col min="10" max="10" width="17.453125" bestFit="1" customWidth="1"/>
    <col min="13" max="13" width="20.26953125" bestFit="1" customWidth="1"/>
    <col min="14" max="14" width="10.26953125" bestFit="1" customWidth="1"/>
    <col min="15" max="15" width="14.26953125" bestFit="1" customWidth="1"/>
    <col min="16" max="16" width="18.26953125" bestFit="1" customWidth="1"/>
    <col min="17" max="17" width="10.7265625" bestFit="1" customWidth="1"/>
    <col min="18" max="18" width="11.54296875" bestFit="1" customWidth="1"/>
    <col min="19" max="19" width="9.7265625" bestFit="1" customWidth="1"/>
    <col min="20" max="20" width="17.26953125" bestFit="1" customWidth="1"/>
  </cols>
  <sheetData>
    <row r="1" spans="1:20" x14ac:dyDescent="0.35">
      <c r="A1" s="168" t="s">
        <v>0</v>
      </c>
      <c r="B1" s="168"/>
      <c r="C1" s="168"/>
      <c r="F1" s="4"/>
      <c r="G1" s="9" t="s">
        <v>1</v>
      </c>
      <c r="H1"/>
      <c r="I1" s="1">
        <f ca="1">TODAY()</f>
        <v>46217</v>
      </c>
      <c r="J1" s="2"/>
    </row>
    <row r="2" spans="1:20" x14ac:dyDescent="0.35">
      <c r="A2" s="10" t="s">
        <v>2</v>
      </c>
      <c r="B2" s="10" t="s">
        <v>3</v>
      </c>
      <c r="C2" s="10" t="s">
        <v>4</v>
      </c>
      <c r="F2" s="4"/>
      <c r="G2" s="6" t="s">
        <v>5</v>
      </c>
      <c r="H2" s="5" t="s">
        <v>6</v>
      </c>
      <c r="I2" s="5" t="s">
        <v>7</v>
      </c>
      <c r="J2" s="5" t="s">
        <v>8</v>
      </c>
    </row>
    <row r="3" spans="1:20" x14ac:dyDescent="0.35">
      <c r="A3" t="e">
        <f t="array" ref="A3">_xlfn._xlws.FILTER(#REF!,#REF!&lt;&gt;"","")</f>
        <v>#REF!</v>
      </c>
      <c r="F3" s="4"/>
      <c r="G3" s="4" t="e">
        <f t="array" aca="1" ref="G3" ca="1">_xlfn._xlws.FILTER(#REF!,(#REF!&gt;'Leave Analysis'!I1)*(#REF!&lt;=I1+7),"")</f>
        <v>#REF!</v>
      </c>
      <c r="M3" t="e">
        <f t="array" ref="M3">#REF!</f>
        <v>#REF!</v>
      </c>
      <c r="O3" s="45"/>
      <c r="P3" s="45"/>
      <c r="Q3" s="45"/>
      <c r="R3" s="45"/>
      <c r="S3" s="45"/>
      <c r="T3" s="45"/>
    </row>
    <row r="4" spans="1:20" x14ac:dyDescent="0.35">
      <c r="F4" s="4"/>
      <c r="G4" s="4"/>
      <c r="O4" s="44"/>
      <c r="P4" s="44"/>
      <c r="Q4" s="44"/>
      <c r="R4" s="44"/>
      <c r="S4" s="44"/>
      <c r="T4" s="44"/>
    </row>
  </sheetData>
  <mergeCells count="1">
    <mergeCell ref="A1:C1"/>
  </mergeCells>
  <conditionalFormatting sqref="C2">
    <cfRule type="duplicateValues" dxfId="61" priority="2"/>
  </conditionalFormatting>
  <conditionalFormatting sqref="D2">
    <cfRule type="duplicateValues" dxfId="60" priority="4"/>
  </conditionalFormatting>
  <conditionalFormatting sqref="G2:J2">
    <cfRule type="expression" dxfId="59" priority="1">
      <formula>K2="Not applied"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66D95-1E06-42E9-A4DA-F1296F3A0189}">
  <sheetPr codeName="Sheet5"/>
  <dimension ref="A1:AI30"/>
  <sheetViews>
    <sheetView zoomScale="70" zoomScaleNormal="70" workbookViewId="0">
      <selection activeCell="A9" sqref="A9"/>
    </sheetView>
  </sheetViews>
  <sheetFormatPr defaultRowHeight="14.5" x14ac:dyDescent="0.35"/>
  <cols>
    <col min="1" max="1" width="48.54296875" customWidth="1"/>
    <col min="2" max="2" width="23.7265625" customWidth="1"/>
    <col min="3" max="3" width="17" customWidth="1"/>
    <col min="4" max="4" width="16.26953125" customWidth="1"/>
    <col min="6" max="6" width="21.26953125" customWidth="1"/>
    <col min="7" max="7" width="15.453125" customWidth="1"/>
    <col min="8" max="8" width="27.7265625" bestFit="1" customWidth="1"/>
    <col min="9" max="9" width="15.26953125" customWidth="1"/>
    <col min="10" max="10" width="79.54296875" customWidth="1"/>
    <col min="11" max="11" width="17.26953125" bestFit="1" customWidth="1"/>
    <col min="12" max="12" width="8.7265625" customWidth="1"/>
    <col min="35" max="35" width="8.7265625" style="7" customWidth="1"/>
  </cols>
  <sheetData>
    <row r="1" spans="1:8" x14ac:dyDescent="0.35">
      <c r="A1" s="3" t="s">
        <v>9</v>
      </c>
      <c r="C1" s="3" t="s">
        <v>10</v>
      </c>
      <c r="D1" s="3" t="s">
        <v>11</v>
      </c>
      <c r="H1" s="3" t="s">
        <v>12</v>
      </c>
    </row>
    <row r="2" spans="1:8" x14ac:dyDescent="0.35">
      <c r="A2" t="s">
        <v>13</v>
      </c>
      <c r="B2" s="39" t="s">
        <v>14</v>
      </c>
      <c r="H2" t="s">
        <v>15</v>
      </c>
    </row>
    <row r="3" spans="1:8" x14ac:dyDescent="0.35">
      <c r="A3" t="s">
        <v>16</v>
      </c>
      <c r="B3" s="39" t="s">
        <v>17</v>
      </c>
      <c r="H3" t="s">
        <v>18</v>
      </c>
    </row>
    <row r="4" spans="1:8" x14ac:dyDescent="0.35">
      <c r="A4" t="s">
        <v>19</v>
      </c>
      <c r="B4" s="39" t="s">
        <v>20</v>
      </c>
      <c r="H4" t="s">
        <v>21</v>
      </c>
    </row>
    <row r="5" spans="1:8" x14ac:dyDescent="0.35">
      <c r="A5" s="42" t="s">
        <v>22</v>
      </c>
      <c r="B5" s="39" t="s">
        <v>23</v>
      </c>
    </row>
    <row r="6" spans="1:8" x14ac:dyDescent="0.35">
      <c r="B6" s="39" t="s">
        <v>24</v>
      </c>
    </row>
    <row r="7" spans="1:8" x14ac:dyDescent="0.35">
      <c r="B7" s="39" t="s">
        <v>25</v>
      </c>
    </row>
    <row r="8" spans="1:8" x14ac:dyDescent="0.35">
      <c r="B8" s="39" t="s">
        <v>26</v>
      </c>
    </row>
    <row r="9" spans="1:8" x14ac:dyDescent="0.35">
      <c r="A9" t="s">
        <v>27</v>
      </c>
      <c r="B9" s="39" t="s">
        <v>28</v>
      </c>
    </row>
    <row r="10" spans="1:8" x14ac:dyDescent="0.35">
      <c r="A10" t="s">
        <v>29</v>
      </c>
      <c r="B10" s="39" t="s">
        <v>30</v>
      </c>
    </row>
    <row r="11" spans="1:8" x14ac:dyDescent="0.35">
      <c r="A11" t="s">
        <v>31</v>
      </c>
      <c r="B11" s="39" t="s">
        <v>32</v>
      </c>
    </row>
    <row r="12" spans="1:8" x14ac:dyDescent="0.35">
      <c r="A12" t="s">
        <v>33</v>
      </c>
      <c r="B12" s="39" t="s">
        <v>34</v>
      </c>
    </row>
    <row r="13" spans="1:8" x14ac:dyDescent="0.35">
      <c r="A13" t="s">
        <v>35</v>
      </c>
    </row>
    <row r="14" spans="1:8" x14ac:dyDescent="0.35">
      <c r="A14" t="s">
        <v>36</v>
      </c>
      <c r="B14" s="39" t="s">
        <v>37</v>
      </c>
    </row>
    <row r="15" spans="1:8" ht="28.5" customHeight="1" x14ac:dyDescent="0.35">
      <c r="A15" t="s">
        <v>38</v>
      </c>
      <c r="B15" s="39" t="s">
        <v>39</v>
      </c>
    </row>
    <row r="16" spans="1:8" ht="43.5" customHeight="1" x14ac:dyDescent="0.35">
      <c r="A16" s="43" t="s">
        <v>40</v>
      </c>
    </row>
    <row r="17" spans="6:6" ht="28.5" customHeight="1" x14ac:dyDescent="0.35"/>
    <row r="18" spans="6:6" x14ac:dyDescent="0.35">
      <c r="F18" s="72"/>
    </row>
    <row r="20" spans="6:6" x14ac:dyDescent="0.35">
      <c r="F20" t="s">
        <v>15</v>
      </c>
    </row>
    <row r="21" spans="6:6" x14ac:dyDescent="0.35">
      <c r="F21" t="s">
        <v>18</v>
      </c>
    </row>
    <row r="22" spans="6:6" x14ac:dyDescent="0.35">
      <c r="F22" t="s">
        <v>21</v>
      </c>
    </row>
    <row r="29" spans="6:6" ht="14.65" customHeight="1" x14ac:dyDescent="0.35"/>
    <row r="30" spans="6:6" ht="17.649999999999999" customHeight="1" x14ac:dyDescent="0.35"/>
  </sheetData>
  <hyperlinks>
    <hyperlink ref="B2" r:id="rId1" xr:uid="{7AA7067C-A2ED-450F-A008-714ADD565805}"/>
    <hyperlink ref="B5" r:id="rId2" xr:uid="{A09CCA23-DA91-4ABC-A1EE-4E61252A6114}"/>
    <hyperlink ref="B6" r:id="rId3" xr:uid="{1E73980C-4375-4B32-9794-BA6E65B330FE}"/>
    <hyperlink ref="B7" r:id="rId4" xr:uid="{CCAA32AE-F557-4BE3-B44F-CBCFBF77F2E8}"/>
    <hyperlink ref="B8" r:id="rId5" xr:uid="{D413FE99-5FF5-4ADF-A745-73FE972F70C9}"/>
    <hyperlink ref="B9" r:id="rId6" xr:uid="{00E6830B-D086-4FDB-BBD8-F72A6EF96841}"/>
    <hyperlink ref="B3" r:id="rId7" display="https://publicisgroupe-my.sharepoint.com/personal/mrichoub_publicisgroupe_net/_layouts/15/stream.aspx?id=%2Fpersonal%2Fmrichoub%5Fpublicisgroupe%5Fnet%2FDocuments%2FEMEA%20Elezabeth%20Ad%20Ops%2FCrocs%2FCrocs%20Trafficking%20recap%2D20231128%5F173644%2DMeeting%20Recording%2Emp4&amp;referrer=StreamWebApp%2EWeb&amp;referrerScenario=AddressBarCopied%2Eview" xr:uid="{0C4FAEC5-BDA9-4624-9680-672BFA6EDBE2}"/>
    <hyperlink ref="B15" r:id="rId8" xr:uid="{C46D5C72-AB26-47BF-8F4D-9D30829AE47B}"/>
    <hyperlink ref="B14" r:id="rId9" xr:uid="{5663CAAB-D5FA-4712-AD4E-22E58FAE9D54}"/>
    <hyperlink ref="B12" r:id="rId10" xr:uid="{7B3F12F8-A578-47F4-8341-7B4CE0BFC718}"/>
    <hyperlink ref="B10" r:id="rId11" xr:uid="{55AAE7BC-B908-45A2-B045-FB1891AD8254}"/>
    <hyperlink ref="B4" r:id="rId12" xr:uid="{59441085-9D0A-45A5-92BC-C4AE4519C7A3}"/>
    <hyperlink ref="A16" r:id="rId13" display="DPT - Master Global Marketing Folder" xr:uid="{29182251-1AC5-47F0-81F6-85BB8A1B046B}"/>
    <hyperlink ref="B11" r:id="rId14" xr:uid="{AD15789B-CDAE-456B-9BD3-D8821FB1B320}"/>
  </hyperlinks>
  <pageMargins left="0.7" right="0.7" top="0.75" bottom="0.75" header="0.3" footer="0.3"/>
  <pageSetup paperSize="9" orientation="portrait" verticalDpi="0" r:id="rId1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5CACA-D1C0-495B-BF9C-75900FBDA486}">
  <sheetPr codeName="Sheet2"/>
  <dimension ref="A1:P41"/>
  <sheetViews>
    <sheetView topLeftCell="C1" zoomScale="78" zoomScaleNormal="78" workbookViewId="0">
      <selection activeCell="D3" sqref="D3"/>
    </sheetView>
  </sheetViews>
  <sheetFormatPr defaultRowHeight="15" customHeight="1" x14ac:dyDescent="0.35"/>
  <cols>
    <col min="1" max="1" width="18.453125" hidden="1" customWidth="1"/>
    <col min="2" max="2" width="62.26953125" hidden="1" customWidth="1"/>
    <col min="3" max="3" width="15" customWidth="1"/>
    <col min="4" max="4" width="40.54296875" bestFit="1" customWidth="1"/>
    <col min="5" max="6" width="27.7265625" customWidth="1"/>
    <col min="7" max="7" width="35.453125" customWidth="1"/>
    <col min="8" max="8" width="50.7265625" customWidth="1"/>
    <col min="9" max="9" width="15.7265625" customWidth="1"/>
    <col min="10" max="10" width="31" bestFit="1" customWidth="1"/>
    <col min="11" max="11" width="15.7265625" customWidth="1"/>
    <col min="12" max="12" width="31.7265625" bestFit="1" customWidth="1"/>
    <col min="13" max="13" width="17.26953125" customWidth="1"/>
    <col min="14" max="14" width="37.7265625" bestFit="1" customWidth="1"/>
    <col min="15" max="15" width="15.7265625" customWidth="1"/>
    <col min="16" max="16" width="34.453125" bestFit="1" customWidth="1"/>
  </cols>
  <sheetData>
    <row r="1" spans="1:16" ht="14.5" customHeight="1" x14ac:dyDescent="0.35">
      <c r="A1" s="169" t="s">
        <v>41</v>
      </c>
      <c r="B1" s="169"/>
      <c r="C1" s="169" t="s">
        <v>42</v>
      </c>
      <c r="D1" s="169"/>
      <c r="E1" s="170" t="s">
        <v>43</v>
      </c>
      <c r="F1" s="171"/>
      <c r="G1" s="171"/>
      <c r="H1" s="172"/>
      <c r="I1" s="169" t="s">
        <v>44</v>
      </c>
      <c r="J1" s="169"/>
      <c r="K1" s="169" t="s">
        <v>45</v>
      </c>
      <c r="L1" s="169"/>
      <c r="M1" s="169" t="s">
        <v>46</v>
      </c>
      <c r="N1" s="169"/>
      <c r="O1" s="169" t="s">
        <v>47</v>
      </c>
      <c r="P1" s="169"/>
    </row>
    <row r="2" spans="1:16" ht="14.5" x14ac:dyDescent="0.35">
      <c r="A2" s="13" t="s">
        <v>48</v>
      </c>
      <c r="B2" s="14" t="s">
        <v>49</v>
      </c>
      <c r="C2" s="13" t="s">
        <v>48</v>
      </c>
      <c r="D2" s="13" t="s">
        <v>49</v>
      </c>
      <c r="E2" s="13" t="s">
        <v>50</v>
      </c>
      <c r="F2" s="13" t="s">
        <v>49</v>
      </c>
      <c r="G2" s="13" t="s">
        <v>51</v>
      </c>
      <c r="H2" s="13" t="s">
        <v>49</v>
      </c>
      <c r="I2" s="13" t="s">
        <v>48</v>
      </c>
      <c r="J2" s="13" t="s">
        <v>49</v>
      </c>
      <c r="K2" s="13" t="s">
        <v>48</v>
      </c>
      <c r="L2" s="13" t="s">
        <v>49</v>
      </c>
      <c r="M2" s="13" t="s">
        <v>48</v>
      </c>
      <c r="N2" s="13" t="s">
        <v>49</v>
      </c>
      <c r="O2" s="13" t="s">
        <v>48</v>
      </c>
      <c r="P2" s="13" t="s">
        <v>49</v>
      </c>
    </row>
    <row r="3" spans="1:16" ht="14.5" x14ac:dyDescent="0.35">
      <c r="A3" s="11"/>
      <c r="B3" s="12"/>
      <c r="C3" s="46"/>
      <c r="D3" s="47"/>
      <c r="E3" s="48" t="s">
        <v>52</v>
      </c>
      <c r="F3" s="46"/>
      <c r="G3" s="48" t="s">
        <v>53</v>
      </c>
      <c r="I3" s="46"/>
      <c r="J3" s="46"/>
      <c r="K3" s="46"/>
      <c r="L3" s="46"/>
      <c r="M3" s="46"/>
      <c r="N3" s="46"/>
      <c r="O3" s="11"/>
      <c r="P3" s="46"/>
    </row>
    <row r="4" spans="1:16" ht="14.5" x14ac:dyDescent="0.35">
      <c r="A4" s="40" t="s">
        <v>54</v>
      </c>
      <c r="B4" s="16" t="s">
        <v>55</v>
      </c>
      <c r="C4" s="38" t="s">
        <v>56</v>
      </c>
      <c r="D4" s="17" t="s">
        <v>57</v>
      </c>
      <c r="E4" s="26" t="s">
        <v>58</v>
      </c>
      <c r="F4" s="27" t="s">
        <v>59</v>
      </c>
      <c r="G4" s="26" t="s">
        <v>60</v>
      </c>
      <c r="H4" s="27" t="s">
        <v>61</v>
      </c>
      <c r="I4" s="18" t="s">
        <v>62</v>
      </c>
      <c r="J4" s="19" t="s">
        <v>63</v>
      </c>
      <c r="K4" s="38" t="s">
        <v>64</v>
      </c>
      <c r="L4" s="20" t="s">
        <v>65</v>
      </c>
      <c r="M4" s="38" t="s">
        <v>66</v>
      </c>
      <c r="N4" s="21" t="s">
        <v>67</v>
      </c>
      <c r="O4" s="22" t="s">
        <v>64</v>
      </c>
      <c r="P4" s="23" t="s">
        <v>65</v>
      </c>
    </row>
    <row r="5" spans="1:16" ht="14.5" x14ac:dyDescent="0.35">
      <c r="A5" s="41" t="s">
        <v>68</v>
      </c>
      <c r="B5" s="16" t="s">
        <v>69</v>
      </c>
      <c r="C5" s="22" t="s">
        <v>70</v>
      </c>
      <c r="D5" s="25" t="s">
        <v>71</v>
      </c>
      <c r="E5" s="26" t="s">
        <v>72</v>
      </c>
      <c r="F5" s="27" t="s">
        <v>73</v>
      </c>
      <c r="G5" s="26" t="s">
        <v>74</v>
      </c>
      <c r="H5" s="27" t="s">
        <v>75</v>
      </c>
      <c r="I5" s="36" t="s">
        <v>64</v>
      </c>
      <c r="J5" s="29" t="s">
        <v>65</v>
      </c>
      <c r="K5" s="24" t="s">
        <v>76</v>
      </c>
      <c r="L5" s="30" t="s">
        <v>77</v>
      </c>
      <c r="M5" s="36" t="s">
        <v>64</v>
      </c>
      <c r="N5" s="32" t="s">
        <v>65</v>
      </c>
      <c r="O5" s="22" t="s">
        <v>66</v>
      </c>
      <c r="P5" s="33" t="s">
        <v>67</v>
      </c>
    </row>
    <row r="6" spans="1:16" ht="14.5" x14ac:dyDescent="0.35">
      <c r="A6" s="40" t="s">
        <v>78</v>
      </c>
      <c r="B6" s="16" t="s">
        <v>79</v>
      </c>
      <c r="C6" s="36" t="s">
        <v>80</v>
      </c>
      <c r="D6" s="25" t="s">
        <v>81</v>
      </c>
      <c r="E6" s="26" t="s">
        <v>82</v>
      </c>
      <c r="F6" s="26"/>
      <c r="G6" s="26" t="s">
        <v>83</v>
      </c>
      <c r="H6" s="27" t="s">
        <v>84</v>
      </c>
      <c r="I6" s="28" t="s">
        <v>85</v>
      </c>
      <c r="J6" s="29" t="s">
        <v>86</v>
      </c>
      <c r="K6" s="36" t="s">
        <v>87</v>
      </c>
      <c r="L6" s="30" t="s">
        <v>88</v>
      </c>
      <c r="M6" s="31" t="s">
        <v>89</v>
      </c>
      <c r="N6" s="32" t="s">
        <v>90</v>
      </c>
      <c r="O6" s="22" t="s">
        <v>91</v>
      </c>
      <c r="P6" s="33" t="s">
        <v>92</v>
      </c>
    </row>
    <row r="7" spans="1:16" ht="14.5" x14ac:dyDescent="0.35">
      <c r="A7" s="15" t="s">
        <v>93</v>
      </c>
      <c r="B7" s="16" t="s">
        <v>94</v>
      </c>
      <c r="C7" s="36" t="s">
        <v>95</v>
      </c>
      <c r="D7" s="25" t="s">
        <v>96</v>
      </c>
      <c r="E7" s="27"/>
      <c r="F7" s="27"/>
      <c r="G7" s="27"/>
      <c r="H7" s="27"/>
      <c r="I7" s="28"/>
      <c r="J7" s="28"/>
      <c r="K7" s="24" t="s">
        <v>97</v>
      </c>
      <c r="L7" s="30" t="s">
        <v>98</v>
      </c>
      <c r="M7" s="31"/>
      <c r="N7" s="31"/>
      <c r="O7" s="22" t="s">
        <v>99</v>
      </c>
      <c r="P7" s="33" t="s">
        <v>100</v>
      </c>
    </row>
    <row r="8" spans="1:16" ht="14.5" x14ac:dyDescent="0.35">
      <c r="A8" s="15" t="s">
        <v>101</v>
      </c>
      <c r="B8" s="16" t="s">
        <v>102</v>
      </c>
      <c r="C8" s="36" t="s">
        <v>103</v>
      </c>
      <c r="D8" s="25" t="s">
        <v>104</v>
      </c>
      <c r="E8" s="49" t="s">
        <v>105</v>
      </c>
      <c r="F8" s="46"/>
      <c r="G8" s="48" t="s">
        <v>106</v>
      </c>
      <c r="H8" s="50"/>
      <c r="I8" s="28"/>
      <c r="J8" s="28"/>
      <c r="K8" s="24"/>
      <c r="L8" s="24"/>
      <c r="M8" s="31"/>
      <c r="N8" s="31"/>
      <c r="O8" s="22" t="s">
        <v>107</v>
      </c>
      <c r="P8" s="33" t="s">
        <v>108</v>
      </c>
    </row>
    <row r="9" spans="1:16" ht="14.5" x14ac:dyDescent="0.35">
      <c r="A9" s="36" t="s">
        <v>109</v>
      </c>
      <c r="B9" s="16" t="s">
        <v>110</v>
      </c>
      <c r="C9" s="22" t="s">
        <v>111</v>
      </c>
      <c r="D9" s="25" t="s">
        <v>112</v>
      </c>
      <c r="E9" s="26" t="s">
        <v>113</v>
      </c>
      <c r="F9" s="27" t="s">
        <v>114</v>
      </c>
      <c r="G9" s="26" t="s">
        <v>115</v>
      </c>
      <c r="H9" s="27" t="s">
        <v>88</v>
      </c>
      <c r="I9" s="28"/>
      <c r="J9" s="28"/>
      <c r="K9" s="24"/>
      <c r="L9" s="24"/>
      <c r="M9" s="31"/>
      <c r="N9" s="31"/>
      <c r="O9" s="22" t="s">
        <v>87</v>
      </c>
      <c r="P9" s="33" t="s">
        <v>88</v>
      </c>
    </row>
    <row r="10" spans="1:16" ht="14.5" x14ac:dyDescent="0.35">
      <c r="A10" s="40" t="s">
        <v>116</v>
      </c>
      <c r="B10" s="16" t="s">
        <v>117</v>
      </c>
      <c r="C10" s="22" t="s">
        <v>118</v>
      </c>
      <c r="D10" s="25" t="s">
        <v>119</v>
      </c>
      <c r="E10" s="26" t="s">
        <v>120</v>
      </c>
      <c r="F10" s="27" t="s">
        <v>121</v>
      </c>
      <c r="G10" s="26" t="s">
        <v>122</v>
      </c>
      <c r="H10" s="27" t="s">
        <v>123</v>
      </c>
      <c r="I10" s="28"/>
      <c r="J10" s="28"/>
      <c r="K10" s="24"/>
      <c r="L10" s="24"/>
      <c r="M10" s="31"/>
      <c r="N10" s="31"/>
      <c r="O10" s="22" t="s">
        <v>124</v>
      </c>
      <c r="P10" s="33" t="s">
        <v>125</v>
      </c>
    </row>
    <row r="11" spans="1:16" ht="14.5" x14ac:dyDescent="0.35">
      <c r="A11" s="40" t="s">
        <v>126</v>
      </c>
      <c r="B11" s="16" t="s">
        <v>127</v>
      </c>
      <c r="C11" s="22" t="s">
        <v>128</v>
      </c>
      <c r="D11" s="25" t="s">
        <v>129</v>
      </c>
      <c r="E11" s="26"/>
      <c r="F11" s="26"/>
      <c r="G11" s="26"/>
      <c r="H11" s="27"/>
      <c r="I11" s="28"/>
      <c r="J11" s="28"/>
      <c r="K11" s="24"/>
      <c r="L11" s="24"/>
      <c r="M11" s="31"/>
      <c r="N11" s="31"/>
      <c r="O11" s="22"/>
      <c r="P11" s="22"/>
    </row>
    <row r="12" spans="1:16" ht="14.5" x14ac:dyDescent="0.35">
      <c r="A12" s="15" t="s">
        <v>130</v>
      </c>
      <c r="B12" s="16" t="s">
        <v>131</v>
      </c>
      <c r="C12" s="36" t="s">
        <v>132</v>
      </c>
      <c r="D12" s="25" t="s">
        <v>133</v>
      </c>
      <c r="E12" s="49" t="s">
        <v>134</v>
      </c>
      <c r="F12" s="11"/>
      <c r="G12" s="49" t="s">
        <v>135</v>
      </c>
      <c r="I12" s="28"/>
      <c r="J12" s="28"/>
      <c r="K12" s="24"/>
      <c r="L12" s="24"/>
      <c r="M12" s="31"/>
      <c r="N12" s="31"/>
      <c r="O12" s="22"/>
      <c r="P12" s="22"/>
    </row>
    <row r="13" spans="1:16" ht="15" hidden="1" customHeight="1" x14ac:dyDescent="0.35">
      <c r="A13" s="15" t="s">
        <v>136</v>
      </c>
      <c r="B13" s="34"/>
      <c r="C13" s="22"/>
      <c r="D13" s="35"/>
      <c r="E13" s="26"/>
      <c r="F13" s="26"/>
      <c r="G13" s="11" t="s">
        <v>135</v>
      </c>
      <c r="I13" s="28"/>
      <c r="J13" s="28"/>
      <c r="K13" s="24"/>
      <c r="L13" s="24"/>
      <c r="M13" s="31"/>
      <c r="N13" s="31"/>
      <c r="O13" s="22"/>
      <c r="P13" s="22"/>
    </row>
    <row r="14" spans="1:16" ht="14.5" x14ac:dyDescent="0.35">
      <c r="A14" s="36" t="s">
        <v>137</v>
      </c>
      <c r="B14" s="16" t="s">
        <v>138</v>
      </c>
      <c r="C14" s="36" t="s">
        <v>139</v>
      </c>
      <c r="D14" s="25" t="s">
        <v>140</v>
      </c>
      <c r="E14" s="26" t="s">
        <v>141</v>
      </c>
      <c r="F14" s="27" t="s">
        <v>142</v>
      </c>
      <c r="G14" s="26" t="s">
        <v>143</v>
      </c>
      <c r="H14" s="27" t="s">
        <v>144</v>
      </c>
      <c r="I14" s="28"/>
      <c r="J14" s="28"/>
      <c r="K14" s="24"/>
      <c r="L14" s="24"/>
      <c r="M14" s="31"/>
      <c r="N14" s="31"/>
      <c r="O14" s="22"/>
      <c r="P14" s="22"/>
    </row>
    <row r="15" spans="1:16" ht="14.5" x14ac:dyDescent="0.35">
      <c r="A15" s="15" t="s">
        <v>145</v>
      </c>
      <c r="B15" s="16" t="s">
        <v>146</v>
      </c>
      <c r="C15" s="22" t="s">
        <v>147</v>
      </c>
      <c r="D15" s="25" t="s">
        <v>148</v>
      </c>
      <c r="E15" s="26" t="s">
        <v>149</v>
      </c>
      <c r="F15" s="27" t="s">
        <v>150</v>
      </c>
      <c r="G15" s="26" t="s">
        <v>151</v>
      </c>
      <c r="H15" s="27" t="s">
        <v>152</v>
      </c>
      <c r="I15" s="28"/>
      <c r="J15" s="28"/>
      <c r="K15" s="24"/>
      <c r="L15" s="24"/>
      <c r="M15" s="31"/>
      <c r="N15" s="31"/>
      <c r="O15" s="22"/>
      <c r="P15" s="22"/>
    </row>
    <row r="16" spans="1:16" ht="14.5" x14ac:dyDescent="0.35">
      <c r="A16" s="15" t="s">
        <v>153</v>
      </c>
      <c r="B16" s="16" t="s">
        <v>154</v>
      </c>
      <c r="C16" s="22" t="s">
        <v>155</v>
      </c>
      <c r="D16" s="25" t="s">
        <v>156</v>
      </c>
      <c r="E16" s="27"/>
      <c r="F16" s="27"/>
      <c r="G16" s="27"/>
      <c r="H16" s="27"/>
      <c r="I16" s="28"/>
      <c r="J16" s="28"/>
      <c r="K16" s="24"/>
      <c r="L16" s="24"/>
      <c r="M16" s="31"/>
      <c r="N16" s="31"/>
      <c r="O16" s="22"/>
      <c r="P16" s="22"/>
    </row>
    <row r="17" spans="1:16" ht="14.5" x14ac:dyDescent="0.35">
      <c r="A17" s="15" t="s">
        <v>157</v>
      </c>
      <c r="B17" s="16" t="s">
        <v>158</v>
      </c>
      <c r="C17" s="22" t="s">
        <v>159</v>
      </c>
      <c r="D17" s="25" t="s">
        <v>160</v>
      </c>
      <c r="E17" s="27"/>
      <c r="F17" s="27"/>
      <c r="G17" s="27"/>
      <c r="H17" s="27"/>
      <c r="I17" s="28"/>
      <c r="J17" s="28"/>
      <c r="K17" s="24"/>
      <c r="L17" s="24"/>
      <c r="M17" s="31"/>
      <c r="N17" s="31"/>
      <c r="O17" s="22"/>
      <c r="P17" s="22"/>
    </row>
    <row r="18" spans="1:16" ht="14.5" x14ac:dyDescent="0.35">
      <c r="A18" s="15" t="s">
        <v>161</v>
      </c>
      <c r="B18" s="16" t="s">
        <v>162</v>
      </c>
      <c r="C18" s="22" t="s">
        <v>163</v>
      </c>
      <c r="D18" s="25" t="s">
        <v>164</v>
      </c>
      <c r="E18" s="27"/>
      <c r="F18" s="27"/>
      <c r="G18" s="27"/>
      <c r="H18" s="27"/>
      <c r="I18" s="28"/>
      <c r="J18" s="28"/>
      <c r="K18" s="24"/>
      <c r="L18" s="24"/>
      <c r="M18" s="31"/>
      <c r="N18" s="31"/>
      <c r="O18" s="22"/>
      <c r="P18" s="22"/>
    </row>
    <row r="19" spans="1:16" ht="14.5" x14ac:dyDescent="0.35">
      <c r="A19" s="36" t="s">
        <v>165</v>
      </c>
      <c r="B19" s="16" t="s">
        <v>166</v>
      </c>
      <c r="C19" s="22" t="s">
        <v>167</v>
      </c>
      <c r="D19" s="25" t="s">
        <v>168</v>
      </c>
      <c r="E19" s="26"/>
      <c r="F19" s="26"/>
      <c r="G19" s="26"/>
      <c r="H19" s="27"/>
      <c r="I19" s="28"/>
      <c r="J19" s="28"/>
      <c r="K19" s="24"/>
      <c r="L19" s="24"/>
      <c r="M19" s="31"/>
      <c r="N19" s="31"/>
      <c r="O19" s="22"/>
      <c r="P19" s="22"/>
    </row>
    <row r="20" spans="1:16" ht="14.5" x14ac:dyDescent="0.35">
      <c r="A20" s="36" t="s">
        <v>169</v>
      </c>
      <c r="B20" s="16" t="s">
        <v>170</v>
      </c>
      <c r="C20" s="22" t="s">
        <v>171</v>
      </c>
      <c r="D20" s="25" t="s">
        <v>172</v>
      </c>
      <c r="E20" s="26"/>
      <c r="F20" s="26"/>
      <c r="G20" s="26"/>
      <c r="H20" s="26"/>
      <c r="I20" s="28"/>
      <c r="J20" s="28"/>
      <c r="K20" s="24"/>
      <c r="L20" s="24"/>
      <c r="M20" s="31"/>
      <c r="N20" s="31"/>
      <c r="O20" s="22"/>
      <c r="P20" s="22"/>
    </row>
    <row r="21" spans="1:16" ht="14.5" x14ac:dyDescent="0.35">
      <c r="A21" s="15" t="s">
        <v>173</v>
      </c>
      <c r="B21" s="16" t="s">
        <v>174</v>
      </c>
      <c r="C21" s="22" t="s">
        <v>175</v>
      </c>
      <c r="D21" s="25" t="s">
        <v>176</v>
      </c>
      <c r="E21" s="26"/>
      <c r="F21" s="26"/>
      <c r="G21" s="26"/>
      <c r="H21" s="26"/>
      <c r="I21" s="28"/>
      <c r="J21" s="28"/>
      <c r="K21" s="24"/>
      <c r="L21" s="24"/>
      <c r="M21" s="31"/>
      <c r="N21" s="31"/>
      <c r="O21" s="22"/>
      <c r="P21" s="22"/>
    </row>
    <row r="22" spans="1:16" ht="14.5" x14ac:dyDescent="0.35">
      <c r="A22" s="15" t="s">
        <v>177</v>
      </c>
      <c r="B22" s="16" t="s">
        <v>178</v>
      </c>
      <c r="C22" s="36" t="s">
        <v>179</v>
      </c>
      <c r="D22" s="25" t="s">
        <v>180</v>
      </c>
      <c r="E22" s="26"/>
      <c r="F22" s="26"/>
      <c r="G22" s="26"/>
      <c r="H22" s="26"/>
      <c r="I22" s="28"/>
      <c r="J22" s="28"/>
      <c r="K22" s="24"/>
      <c r="L22" s="24"/>
      <c r="M22" s="31"/>
      <c r="N22" s="31"/>
      <c r="O22" s="22"/>
      <c r="P22" s="22"/>
    </row>
    <row r="23" spans="1:16" ht="14.5" x14ac:dyDescent="0.35">
      <c r="A23" s="40" t="s">
        <v>181</v>
      </c>
      <c r="B23" s="16" t="s">
        <v>182</v>
      </c>
      <c r="C23" s="22"/>
      <c r="D23" s="35"/>
      <c r="E23" s="26"/>
      <c r="F23" s="26"/>
      <c r="G23" s="26"/>
      <c r="H23" s="26"/>
      <c r="I23" s="28"/>
      <c r="J23" s="28"/>
      <c r="K23" s="24"/>
      <c r="L23" s="24"/>
      <c r="M23" s="31"/>
      <c r="N23" s="31"/>
      <c r="O23" s="22"/>
      <c r="P23" s="22"/>
    </row>
    <row r="24" spans="1:16" ht="14.5" x14ac:dyDescent="0.35">
      <c r="A24" s="15" t="s">
        <v>183</v>
      </c>
      <c r="B24" s="16" t="s">
        <v>184</v>
      </c>
      <c r="C24" s="22"/>
      <c r="D24" s="35"/>
      <c r="E24" s="26"/>
      <c r="F24" s="26"/>
      <c r="G24" s="26"/>
      <c r="H24" s="26"/>
      <c r="I24" s="28"/>
      <c r="J24" s="28"/>
      <c r="K24" s="24"/>
      <c r="L24" s="24"/>
      <c r="M24" s="31"/>
      <c r="N24" s="31"/>
      <c r="O24" s="22"/>
      <c r="P24" s="22"/>
    </row>
    <row r="25" spans="1:16" ht="14.5" x14ac:dyDescent="0.35">
      <c r="A25" s="15" t="s">
        <v>185</v>
      </c>
      <c r="B25" s="16" t="s">
        <v>186</v>
      </c>
      <c r="C25" s="22"/>
      <c r="D25" s="35"/>
      <c r="E25" s="49" t="s">
        <v>187</v>
      </c>
      <c r="F25" s="11"/>
      <c r="G25" s="11"/>
      <c r="H25" s="26"/>
      <c r="I25" s="28"/>
      <c r="J25" s="28"/>
      <c r="K25" s="24"/>
      <c r="L25" s="24"/>
      <c r="M25" s="31"/>
      <c r="N25" s="31"/>
      <c r="O25" s="22"/>
      <c r="P25" s="22"/>
    </row>
    <row r="26" spans="1:16" ht="14.5" x14ac:dyDescent="0.35">
      <c r="A26" s="15" t="s">
        <v>188</v>
      </c>
      <c r="B26" s="16" t="s">
        <v>189</v>
      </c>
      <c r="C26" s="22"/>
      <c r="D26" s="35"/>
      <c r="E26" s="26" t="s">
        <v>190</v>
      </c>
      <c r="F26" s="26" t="s">
        <v>191</v>
      </c>
      <c r="G26" s="26"/>
      <c r="H26" s="26"/>
      <c r="I26" s="28"/>
      <c r="J26" s="28"/>
      <c r="K26" s="24"/>
      <c r="L26" s="24"/>
      <c r="M26" s="31"/>
      <c r="N26" s="31"/>
      <c r="O26" s="22"/>
      <c r="P26" s="22"/>
    </row>
    <row r="27" spans="1:16" ht="14.5" x14ac:dyDescent="0.35">
      <c r="A27" s="15" t="s">
        <v>192</v>
      </c>
      <c r="B27" s="16" t="s">
        <v>193</v>
      </c>
      <c r="C27" s="22"/>
      <c r="D27" s="35"/>
      <c r="E27" s="26" t="s">
        <v>194</v>
      </c>
      <c r="F27" s="26" t="s">
        <v>195</v>
      </c>
      <c r="G27" s="26"/>
      <c r="H27" s="26"/>
      <c r="I27" s="28"/>
      <c r="J27" s="28"/>
      <c r="K27" s="24"/>
      <c r="L27" s="24"/>
      <c r="M27" s="31"/>
      <c r="N27" s="31"/>
      <c r="O27" s="22"/>
      <c r="P27" s="22"/>
    </row>
    <row r="28" spans="1:16" ht="14.5" x14ac:dyDescent="0.35">
      <c r="A28" s="15" t="s">
        <v>196</v>
      </c>
      <c r="B28" s="16" t="s">
        <v>197</v>
      </c>
      <c r="C28" s="22"/>
      <c r="D28" s="35"/>
      <c r="E28" s="26"/>
      <c r="F28" s="26"/>
      <c r="G28" s="26"/>
      <c r="H28" s="26"/>
      <c r="I28" s="28"/>
      <c r="J28" s="28"/>
      <c r="K28" s="24"/>
      <c r="L28" s="24"/>
      <c r="M28" s="31"/>
      <c r="N28" s="31"/>
      <c r="O28" s="22"/>
      <c r="P28" s="22"/>
    </row>
    <row r="29" spans="1:16" ht="14.5" x14ac:dyDescent="0.35">
      <c r="A29" s="15" t="s">
        <v>198</v>
      </c>
      <c r="B29" s="16" t="s">
        <v>199</v>
      </c>
      <c r="C29" s="22"/>
      <c r="D29" s="35"/>
      <c r="E29" s="26"/>
      <c r="F29" s="26"/>
      <c r="G29" s="26"/>
      <c r="H29" s="26"/>
      <c r="I29" s="28"/>
      <c r="J29" s="28"/>
      <c r="K29" s="24"/>
      <c r="L29" s="24"/>
      <c r="M29" s="31"/>
      <c r="N29" s="31"/>
      <c r="O29" s="22"/>
      <c r="P29" s="22"/>
    </row>
    <row r="30" spans="1:16" ht="14.5" x14ac:dyDescent="0.35">
      <c r="A30" s="15" t="s">
        <v>200</v>
      </c>
      <c r="B30" s="16" t="s">
        <v>201</v>
      </c>
      <c r="C30" s="22"/>
      <c r="D30" s="35"/>
      <c r="E30" s="26"/>
      <c r="F30" s="26"/>
      <c r="G30" s="26"/>
      <c r="H30" s="26"/>
      <c r="I30" s="28"/>
      <c r="J30" s="28"/>
      <c r="K30" s="24"/>
      <c r="L30" s="24"/>
      <c r="M30" s="31"/>
      <c r="N30" s="31"/>
      <c r="O30" s="22"/>
      <c r="P30" s="22"/>
    </row>
    <row r="31" spans="1:16" ht="14.5" x14ac:dyDescent="0.35">
      <c r="A31" s="15" t="s">
        <v>202</v>
      </c>
      <c r="B31" s="16" t="s">
        <v>203</v>
      </c>
      <c r="C31" s="22"/>
      <c r="D31" s="35"/>
      <c r="E31" s="26"/>
      <c r="F31" s="26"/>
      <c r="G31" s="26"/>
      <c r="H31" s="26"/>
      <c r="I31" s="28"/>
      <c r="J31" s="28"/>
      <c r="K31" s="24"/>
      <c r="L31" s="24"/>
      <c r="M31" s="31"/>
      <c r="N31" s="31"/>
      <c r="O31" s="22"/>
      <c r="P31" s="22"/>
    </row>
    <row r="32" spans="1:16" ht="14.5" x14ac:dyDescent="0.35">
      <c r="A32" s="36" t="s">
        <v>204</v>
      </c>
      <c r="B32" s="37" t="s">
        <v>205</v>
      </c>
      <c r="C32" s="22"/>
      <c r="D32" s="35"/>
      <c r="E32" s="26"/>
      <c r="F32" s="26"/>
      <c r="G32" s="26"/>
      <c r="H32" s="26"/>
      <c r="I32" s="28"/>
      <c r="J32" s="28"/>
      <c r="K32" s="24"/>
      <c r="L32" s="24"/>
      <c r="M32" s="31"/>
      <c r="N32" s="31"/>
      <c r="O32" s="22"/>
      <c r="P32" s="22"/>
    </row>
    <row r="33" spans="1:16" ht="14.5" x14ac:dyDescent="0.35">
      <c r="A33" s="15"/>
      <c r="B33" s="34"/>
      <c r="C33" s="22"/>
      <c r="D33" s="35"/>
      <c r="E33" s="26"/>
      <c r="F33" s="26"/>
      <c r="G33" s="26"/>
      <c r="H33" s="26"/>
      <c r="I33" s="28"/>
      <c r="J33" s="28"/>
      <c r="K33" s="24"/>
      <c r="L33" s="24"/>
      <c r="M33" s="31"/>
      <c r="N33" s="31"/>
      <c r="O33" s="22"/>
      <c r="P33" s="22"/>
    </row>
    <row r="34" spans="1:16" ht="14.5" x14ac:dyDescent="0.35">
      <c r="A34" s="15"/>
      <c r="B34" s="34"/>
      <c r="C34" s="22"/>
      <c r="D34" s="35"/>
      <c r="E34" s="26"/>
      <c r="F34" s="26"/>
      <c r="G34" s="26"/>
      <c r="H34" s="26"/>
      <c r="I34" s="28"/>
      <c r="J34" s="28"/>
      <c r="K34" s="24"/>
      <c r="L34" s="24"/>
      <c r="M34" s="31"/>
      <c r="N34" s="31"/>
      <c r="O34" s="22"/>
      <c r="P34" s="22"/>
    </row>
    <row r="35" spans="1:16" ht="14.5" x14ac:dyDescent="0.35">
      <c r="A35" s="15"/>
      <c r="B35" s="34"/>
      <c r="C35" s="22"/>
      <c r="D35" s="35"/>
      <c r="E35" s="26"/>
      <c r="F35" s="26"/>
      <c r="G35" s="26"/>
      <c r="H35" s="26"/>
      <c r="I35" s="28"/>
      <c r="J35" s="28"/>
      <c r="K35" s="24"/>
      <c r="L35" s="24"/>
      <c r="M35" s="31"/>
      <c r="N35" s="31"/>
      <c r="O35" s="22"/>
      <c r="P35" s="22"/>
    </row>
    <row r="38" spans="1:16" ht="14.5" x14ac:dyDescent="0.35">
      <c r="A38" t="s">
        <v>54</v>
      </c>
      <c r="B38" t="s">
        <v>55</v>
      </c>
    </row>
    <row r="39" spans="1:16" ht="14.5" x14ac:dyDescent="0.35">
      <c r="A39" t="s">
        <v>78</v>
      </c>
      <c r="B39" t="s">
        <v>79</v>
      </c>
    </row>
    <row r="40" spans="1:16" ht="14.5" x14ac:dyDescent="0.35">
      <c r="A40" t="s">
        <v>126</v>
      </c>
      <c r="B40" t="s">
        <v>127</v>
      </c>
    </row>
    <row r="41" spans="1:16" ht="14.5" x14ac:dyDescent="0.35">
      <c r="A41" t="s">
        <v>181</v>
      </c>
      <c r="B41" t="s">
        <v>182</v>
      </c>
    </row>
  </sheetData>
  <mergeCells count="7">
    <mergeCell ref="M1:N1"/>
    <mergeCell ref="O1:P1"/>
    <mergeCell ref="A1:B1"/>
    <mergeCell ref="C1:D1"/>
    <mergeCell ref="E1:H1"/>
    <mergeCell ref="I1:J1"/>
    <mergeCell ref="K1:L1"/>
  </mergeCells>
  <hyperlinks>
    <hyperlink ref="B28" r:id="rId1" xr:uid="{D3E7DC94-03DA-46CD-9A58-D7BA36009D4F}"/>
    <hyperlink ref="B16" r:id="rId2" xr:uid="{4C5895CA-6088-44DB-84FA-8BF74DEEB6C6}"/>
    <hyperlink ref="B17" r:id="rId3" xr:uid="{6BC246A3-DDF0-45F9-9022-FD6D60F00CC2}"/>
    <hyperlink ref="B18" r:id="rId4" xr:uid="{AB4CADA0-3E0B-4BDA-8BEB-4FCE38077CA7}"/>
    <hyperlink ref="B21" r:id="rId5" xr:uid="{91EAA90A-EE49-4C62-8EE2-F9C4CA0D404D}"/>
    <hyperlink ref="B29" r:id="rId6" xr:uid="{BA3D6CC3-0900-4EF1-92C2-3B3415919C50}"/>
    <hyperlink ref="B22" r:id="rId7" xr:uid="{931126DB-970B-4569-A75E-34F912EF59DC}"/>
    <hyperlink ref="B23" r:id="rId8" xr:uid="{8617E2C1-6BB8-4D43-BAD9-8E1C8E986E78}"/>
    <hyperlink ref="B30" r:id="rId9" xr:uid="{3A9A11AF-93E4-48B7-9594-68BFE852239B}"/>
    <hyperlink ref="B15" r:id="rId10" xr:uid="{675D99EF-C817-4E3E-8FAF-8EFEE20377B4}"/>
    <hyperlink ref="B11" r:id="rId11" xr:uid="{FE5D8624-0607-43CA-8869-D47000FCB0DD}"/>
    <hyperlink ref="B12" r:id="rId12" xr:uid="{D388D962-70A0-4FDF-B974-B3A1BC48CEFF}"/>
    <hyperlink ref="B5" r:id="rId13" xr:uid="{AD386479-DD0A-4307-B07F-E2407D26E3D7}"/>
    <hyperlink ref="D10" r:id="rId14" xr:uid="{037B39CA-7FFD-49C4-A1B4-28CF0A75103D}"/>
    <hyperlink ref="D9" r:id="rId15" xr:uid="{13C75C74-B2EF-4876-AD51-67EF8C82C1C9}"/>
    <hyperlink ref="D8" r:id="rId16" xr:uid="{10B7AFA9-929A-4366-B74E-0851218294D3}"/>
    <hyperlink ref="B10" r:id="rId17" xr:uid="{2B7CB85D-4131-425F-977C-C130CC938A99}"/>
    <hyperlink ref="B7" r:id="rId18" xr:uid="{3E1D9DCF-1A24-4A31-B1E1-CD32FD39823D}"/>
    <hyperlink ref="B9" r:id="rId19" xr:uid="{E5DC14AE-D8F4-4CC2-A6B5-FAAE60412270}"/>
    <hyperlink ref="B8" r:id="rId20" xr:uid="{C864703F-F108-4498-AB51-86B76BE4CE69}"/>
    <hyperlink ref="B6" r:id="rId21" xr:uid="{D26EF21C-B7B9-4CD4-B522-6E61AD552334}"/>
    <hyperlink ref="B4" r:id="rId22" xr:uid="{F790C067-53ED-43BA-8208-22A4B0FF8053}"/>
    <hyperlink ref="B14" r:id="rId23" xr:uid="{16DA40B3-58CE-4848-A0E2-86541711848C}"/>
    <hyperlink ref="B26" r:id="rId24" xr:uid="{8107DF52-F9FC-4B5D-9C14-E9727BB1E360}"/>
    <hyperlink ref="B19" r:id="rId25" xr:uid="{35C2618E-DB81-4667-AE32-4C2F17D6988B}"/>
    <hyperlink ref="B24" r:id="rId26" xr:uid="{2CF12C33-5EE2-4113-B340-0823B9814471}"/>
    <hyperlink ref="B27" r:id="rId27" xr:uid="{4EB937E4-0076-4115-A11A-C1543A1C1354}"/>
    <hyperlink ref="B31" r:id="rId28" xr:uid="{F3554942-95D7-4EC5-BA77-DC2368EB82A1}"/>
    <hyperlink ref="B20" r:id="rId29" xr:uid="{08EA183C-0D34-44D5-8C42-36A47A69AEE8}"/>
    <hyperlink ref="B25" r:id="rId30" xr:uid="{87DEA969-BD84-49E9-9747-D1D5DE1B38FD}"/>
    <hyperlink ref="B32" r:id="rId31" xr:uid="{FD7634D4-101D-4359-BD7D-EEFEBE6FF4BB}"/>
    <hyperlink ref="D4" r:id="rId32" xr:uid="{FE632A66-4A00-4B65-9325-AADDD8916658}"/>
    <hyperlink ref="D5" r:id="rId33" xr:uid="{27029770-6A30-4E1B-9785-26307FEFB34F}"/>
    <hyperlink ref="D11" r:id="rId34" xr:uid="{BE16483B-D19E-4E10-A9E3-8C95F003B475}"/>
    <hyperlink ref="D6" r:id="rId35" xr:uid="{19101C89-E268-4A92-A1BC-77CABBB31EAD}"/>
    <hyperlink ref="D7" r:id="rId36" xr:uid="{A37DD514-8E05-46A8-B33A-4168E53ED222}"/>
    <hyperlink ref="D21" r:id="rId37" xr:uid="{FCBF8690-66A3-48BB-8F67-599E30ECC12D}"/>
    <hyperlink ref="D14" r:id="rId38" xr:uid="{B3AC7ADE-43CE-4D15-8D46-2D754B382F7B}"/>
    <hyperlink ref="D12" r:id="rId39" xr:uid="{53301EC8-81C6-43B7-B6E0-4C9794924455}"/>
    <hyperlink ref="D22" r:id="rId40" xr:uid="{9B96AD11-7BE1-44B0-898A-729C07132860}"/>
    <hyperlink ref="D15" r:id="rId41" xr:uid="{FF8B84B7-BCC5-4A7B-9F78-9670569F7EBB}"/>
    <hyperlink ref="D18" r:id="rId42" xr:uid="{F0C876DE-3210-4704-AC3A-351DFFDFBD6E}"/>
    <hyperlink ref="D20" r:id="rId43" xr:uid="{44000DE6-A37A-485B-81DB-638879D325A6}"/>
    <hyperlink ref="D17" r:id="rId44" xr:uid="{B640F785-3CF0-45BE-A7D8-B20BDBBC23A5}"/>
    <hyperlink ref="D19" r:id="rId45" xr:uid="{43FDA1EA-47CB-409D-9435-B777D2223E7E}"/>
    <hyperlink ref="D16" r:id="rId46" xr:uid="{ED63C6A0-D1D8-4C9A-B15C-047738F65B75}"/>
    <hyperlink ref="L6" r:id="rId47" xr:uid="{037F4AF1-912F-49BE-9A26-C61AE55CF0D9}"/>
    <hyperlink ref="J4" r:id="rId48" xr:uid="{EA650CC7-BD7D-4A59-B2EE-7202680ECACB}"/>
    <hyperlink ref="J5" r:id="rId49" xr:uid="{A4C225EE-A53B-4BC4-9E55-CC2E5D6E1C48}"/>
    <hyperlink ref="L4" r:id="rId50" xr:uid="{E6C44DFB-966C-49A2-A1E8-4944C62ADBD2}"/>
    <hyperlink ref="J6" r:id="rId51" xr:uid="{B420A3C2-6064-42D4-B75E-82A4D8DFC927}"/>
    <hyperlink ref="L5" r:id="rId52" xr:uid="{20082B39-4E89-4607-8448-B4887C693AA9}"/>
    <hyperlink ref="L7" r:id="rId53" xr:uid="{14B7D928-0AA6-4444-AC54-B24257EFEDE3}"/>
    <hyperlink ref="N4" r:id="rId54" xr:uid="{F7E831C0-2FDF-436E-97A6-10A3C2E967F5}"/>
    <hyperlink ref="N6" r:id="rId55" xr:uid="{F5562653-C246-4127-93D8-92A4F824408B}"/>
    <hyperlink ref="N5" r:id="rId56" xr:uid="{88E3DD9C-8192-4A5B-AACD-60F8450DCD32}"/>
    <hyperlink ref="P5" r:id="rId57" xr:uid="{A291D4E6-5468-4E6B-95B1-AA628D179184}"/>
    <hyperlink ref="P4" r:id="rId58" xr:uid="{F1A5E932-5306-4009-9EFF-F2B47805FE4E}"/>
    <hyperlink ref="P6" r:id="rId59" xr:uid="{B5A9AE33-9280-4B5A-8F7F-6FF723F1D9F2}"/>
    <hyperlink ref="P7" r:id="rId60" xr:uid="{23ECA60D-0FC4-4D6E-8732-E13825302792}"/>
    <hyperlink ref="P8" r:id="rId61" xr:uid="{6AF8561D-BA36-42FE-A466-45F697C352F9}"/>
    <hyperlink ref="P9" r:id="rId62" xr:uid="{756CF666-ACEB-4E90-9286-9404995DE5D0}"/>
    <hyperlink ref="P10" r:id="rId63" xr:uid="{D0CBA484-CC98-41F2-BE47-666B3DFE7998}"/>
    <hyperlink ref="F26" r:id="rId64" xr:uid="{AC1E014E-FC60-42C0-A035-E7E99EFA52FF}"/>
    <hyperlink ref="F27" r:id="rId65" xr:uid="{12C84914-01F6-4551-ABBE-66C8A76B0A5A}"/>
    <hyperlink ref="F14" r:id="rId66" xr:uid="{CD004C96-FC43-4B50-ADC9-2B62C7812BFE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17AFD-F086-4EBF-8837-84F7F2F2ED54}">
  <sheetPr codeName="Sheet9"/>
  <dimension ref="A1:AF46"/>
  <sheetViews>
    <sheetView topLeftCell="A10" zoomScale="70" zoomScaleNormal="70" workbookViewId="0">
      <selection activeCell="B16" sqref="B16"/>
    </sheetView>
  </sheetViews>
  <sheetFormatPr defaultRowHeight="14.5" x14ac:dyDescent="0.35"/>
  <cols>
    <col min="1" max="1" width="51.26953125" customWidth="1"/>
    <col min="2" max="2" width="119" bestFit="1" customWidth="1"/>
    <col min="3" max="3" width="14.54296875" customWidth="1"/>
    <col min="4" max="4" width="15" customWidth="1"/>
    <col min="5" max="5" width="15.54296875" customWidth="1"/>
    <col min="7" max="7" width="64.54296875" bestFit="1" customWidth="1"/>
    <col min="10" max="10" width="11.26953125" bestFit="1" customWidth="1"/>
    <col min="12" max="12" width="20" bestFit="1" customWidth="1"/>
    <col min="16" max="16" width="14.54296875" bestFit="1" customWidth="1"/>
  </cols>
  <sheetData>
    <row r="1" spans="1:32" ht="21" x14ac:dyDescent="0.5">
      <c r="A1" s="59" t="s">
        <v>206</v>
      </c>
      <c r="B1" s="58">
        <v>893</v>
      </c>
      <c r="E1" s="3" t="s">
        <v>207</v>
      </c>
      <c r="F1">
        <v>0</v>
      </c>
      <c r="G1" t="e">
        <f>VLOOKUP(F1,$W$2:$X$11,2,FALSE)</f>
        <v>#N/A</v>
      </c>
      <c r="J1" s="3"/>
      <c r="L1" s="64" t="s">
        <v>208</v>
      </c>
      <c r="M1" s="51"/>
      <c r="N1" s="3"/>
      <c r="O1" s="63" t="s">
        <v>209</v>
      </c>
      <c r="P1" s="63"/>
      <c r="Q1" s="65"/>
    </row>
    <row r="2" spans="1:32" ht="18.649999999999999" customHeight="1" x14ac:dyDescent="0.35">
      <c r="A2" s="51" t="str">
        <f>_xlfn.CONCAT("Hi ",F1, ",",CHAR(10),"Please QA the below shared campaign details,",CHAR(10),"and confirm the QA points for the same",CHAR(10))</f>
        <v xml:space="preserve">Hi 0,
Please QA the below shared campaign details,
and confirm the QA points for the same
</v>
      </c>
      <c r="E2" s="3" t="s">
        <v>210</v>
      </c>
      <c r="F2">
        <v>0</v>
      </c>
      <c r="G2" t="e">
        <f>VLOOKUP(F2,$W$2:$X$11,2,FALSE)</f>
        <v>#N/A</v>
      </c>
      <c r="J2" s="3"/>
      <c r="L2" s="65" t="s">
        <v>211</v>
      </c>
      <c r="M2" s="51"/>
      <c r="O2" s="66"/>
      <c r="P2" s="66"/>
      <c r="Q2" s="64" t="s">
        <v>212</v>
      </c>
      <c r="W2" t="s">
        <v>213</v>
      </c>
      <c r="X2" s="39" t="s">
        <v>214</v>
      </c>
      <c r="AF2" t="s">
        <v>215</v>
      </c>
    </row>
    <row r="3" spans="1:32" x14ac:dyDescent="0.35">
      <c r="E3" s="3" t="s">
        <v>216</v>
      </c>
      <c r="F3" t="s">
        <v>217</v>
      </c>
      <c r="G3" s="39" t="s">
        <v>218</v>
      </c>
      <c r="J3" s="3"/>
      <c r="L3" s="68" t="s">
        <v>219</v>
      </c>
      <c r="M3" s="51"/>
      <c r="O3" s="67">
        <v>1</v>
      </c>
      <c r="P3" s="67" t="s">
        <v>220</v>
      </c>
      <c r="Q3" s="66" t="s">
        <v>221</v>
      </c>
      <c r="W3" t="s">
        <v>222</v>
      </c>
      <c r="X3" s="39" t="s">
        <v>223</v>
      </c>
      <c r="AE3" t="s">
        <v>224</v>
      </c>
      <c r="AF3">
        <f>MATCH(AF2,EmailSub,1)</f>
        <v>136</v>
      </c>
    </row>
    <row r="4" spans="1:32" x14ac:dyDescent="0.35">
      <c r="E4" s="3" t="s">
        <v>225</v>
      </c>
      <c r="F4" t="s">
        <v>217</v>
      </c>
      <c r="G4" t="s">
        <v>226</v>
      </c>
      <c r="J4" s="3"/>
      <c r="L4" s="65" t="s">
        <v>227</v>
      </c>
      <c r="O4" s="67">
        <v>2</v>
      </c>
      <c r="P4" s="67" t="s">
        <v>220</v>
      </c>
      <c r="Q4" s="66" t="s">
        <v>228</v>
      </c>
      <c r="W4" t="s">
        <v>229</v>
      </c>
      <c r="X4" s="39" t="s">
        <v>230</v>
      </c>
    </row>
    <row r="5" spans="1:32" x14ac:dyDescent="0.35">
      <c r="F5" s="51"/>
      <c r="L5" s="65" t="s">
        <v>231</v>
      </c>
      <c r="O5" s="67">
        <v>3</v>
      </c>
      <c r="P5" s="67" t="s">
        <v>220</v>
      </c>
      <c r="Q5" s="66" t="s">
        <v>232</v>
      </c>
      <c r="W5" t="s">
        <v>233</v>
      </c>
      <c r="X5" s="39" t="s">
        <v>234</v>
      </c>
    </row>
    <row r="6" spans="1:32" x14ac:dyDescent="0.35">
      <c r="E6" s="39"/>
      <c r="F6" s="51"/>
      <c r="L6" s="65" t="s">
        <v>235</v>
      </c>
      <c r="O6" s="67">
        <v>4</v>
      </c>
      <c r="P6" s="67" t="s">
        <v>220</v>
      </c>
      <c r="Q6" s="66" t="s">
        <v>236</v>
      </c>
      <c r="W6" t="s">
        <v>237</v>
      </c>
      <c r="X6" s="39" t="s">
        <v>238</v>
      </c>
    </row>
    <row r="7" spans="1:32" x14ac:dyDescent="0.35">
      <c r="F7" s="51"/>
      <c r="L7" s="65" t="s">
        <v>239</v>
      </c>
      <c r="O7" s="67">
        <v>5</v>
      </c>
      <c r="P7" s="67" t="s">
        <v>220</v>
      </c>
      <c r="Q7" s="66" t="s">
        <v>240</v>
      </c>
      <c r="W7" t="s">
        <v>241</v>
      </c>
      <c r="X7" s="39" t="s">
        <v>242</v>
      </c>
    </row>
    <row r="8" spans="1:32" x14ac:dyDescent="0.35">
      <c r="E8" s="173" t="s">
        <v>243</v>
      </c>
      <c r="F8" s="173"/>
      <c r="G8" s="173"/>
      <c r="H8" s="173"/>
      <c r="I8" s="173"/>
      <c r="J8" s="173"/>
      <c r="L8" t="s">
        <v>244</v>
      </c>
      <c r="O8" s="67">
        <v>6</v>
      </c>
      <c r="P8" s="67" t="s">
        <v>220</v>
      </c>
      <c r="Q8" s="66" t="s">
        <v>245</v>
      </c>
      <c r="W8" t="s">
        <v>246</v>
      </c>
      <c r="X8" s="39" t="s">
        <v>247</v>
      </c>
    </row>
    <row r="9" spans="1:32" x14ac:dyDescent="0.35">
      <c r="A9" s="57" t="s">
        <v>206</v>
      </c>
      <c r="B9" s="62">
        <v>889</v>
      </c>
      <c r="E9" t="s">
        <v>248</v>
      </c>
      <c r="F9" s="51"/>
      <c r="O9" s="67">
        <v>7</v>
      </c>
      <c r="P9" s="67" t="s">
        <v>220</v>
      </c>
      <c r="Q9" s="66" t="s">
        <v>249</v>
      </c>
      <c r="W9" t="s">
        <v>250</v>
      </c>
      <c r="X9" s="39" t="s">
        <v>251</v>
      </c>
    </row>
    <row r="10" spans="1:32" ht="15.75" customHeight="1" x14ac:dyDescent="0.35">
      <c r="A10" s="52" t="s">
        <v>252</v>
      </c>
      <c r="B10" s="53" t="s">
        <v>253</v>
      </c>
      <c r="E10" t="s">
        <v>254</v>
      </c>
      <c r="O10" s="67">
        <v>8</v>
      </c>
      <c r="P10" s="67" t="s">
        <v>220</v>
      </c>
      <c r="Q10" s="66" t="s">
        <v>255</v>
      </c>
    </row>
    <row r="11" spans="1:32" x14ac:dyDescent="0.35">
      <c r="A11" s="52" t="s">
        <v>256</v>
      </c>
      <c r="B11" s="53"/>
      <c r="E11" t="s">
        <v>257</v>
      </c>
      <c r="F11" s="51"/>
      <c r="O11" s="67">
        <v>9</v>
      </c>
      <c r="P11" s="67" t="s">
        <v>220</v>
      </c>
      <c r="Q11" s="66" t="s">
        <v>258</v>
      </c>
    </row>
    <row r="12" spans="1:32" x14ac:dyDescent="0.35">
      <c r="A12" s="52" t="s">
        <v>259</v>
      </c>
      <c r="B12" s="53">
        <v>120</v>
      </c>
      <c r="E12" s="3" t="s">
        <v>260</v>
      </c>
      <c r="F12" s="51"/>
      <c r="O12" s="67">
        <v>10</v>
      </c>
      <c r="P12" s="67" t="s">
        <v>220</v>
      </c>
      <c r="Q12" s="66" t="s">
        <v>261</v>
      </c>
    </row>
    <row r="13" spans="1:32" x14ac:dyDescent="0.35">
      <c r="A13" s="52" t="s">
        <v>262</v>
      </c>
      <c r="B13" s="53">
        <v>120</v>
      </c>
      <c r="E13" s="3" t="s">
        <v>263</v>
      </c>
      <c r="F13" s="51"/>
      <c r="O13" s="67">
        <v>11</v>
      </c>
      <c r="P13" s="67" t="s">
        <v>220</v>
      </c>
      <c r="Q13" s="66" t="s">
        <v>264</v>
      </c>
    </row>
    <row r="14" spans="1:32" x14ac:dyDescent="0.35">
      <c r="A14" s="52" t="s">
        <v>265</v>
      </c>
      <c r="B14" s="53">
        <v>120</v>
      </c>
      <c r="E14" s="3" t="s">
        <v>266</v>
      </c>
      <c r="F14" s="51"/>
      <c r="O14" s="67">
        <v>12</v>
      </c>
      <c r="P14" s="67" t="s">
        <v>220</v>
      </c>
      <c r="Q14" s="66" t="s">
        <v>267</v>
      </c>
    </row>
    <row r="15" spans="1:32" x14ac:dyDescent="0.35">
      <c r="A15" s="52" t="s">
        <v>268</v>
      </c>
      <c r="B15" s="53" t="s">
        <v>269</v>
      </c>
      <c r="E15" s="3" t="s">
        <v>270</v>
      </c>
      <c r="F15" s="51"/>
      <c r="O15" s="67">
        <v>13</v>
      </c>
      <c r="P15" s="67" t="s">
        <v>220</v>
      </c>
      <c r="Q15" s="66" t="s">
        <v>271</v>
      </c>
    </row>
    <row r="16" spans="1:32" x14ac:dyDescent="0.35">
      <c r="A16" s="52" t="s">
        <v>272</v>
      </c>
      <c r="B16" s="53" t="s">
        <v>211</v>
      </c>
      <c r="E16" t="s">
        <v>273</v>
      </c>
      <c r="F16" s="51"/>
      <c r="O16" s="67">
        <v>14</v>
      </c>
      <c r="P16" s="67" t="s">
        <v>220</v>
      </c>
      <c r="Q16" s="66" t="s">
        <v>274</v>
      </c>
    </row>
    <row r="17" spans="1:17" ht="27.65" customHeight="1" x14ac:dyDescent="0.35">
      <c r="A17" s="60" t="str">
        <f>IF(B16="HTML5","HTML5 creatives have been checked in HTML5 Validator","")</f>
        <v/>
      </c>
      <c r="B17" s="61" t="str">
        <f>IF(A17="HTML5 creatives have been checked in HTML5 Validator","YES","")</f>
        <v/>
      </c>
      <c r="F17" s="51"/>
      <c r="O17" s="67">
        <v>15</v>
      </c>
      <c r="P17" s="67" t="s">
        <v>220</v>
      </c>
      <c r="Q17" s="66" t="s">
        <v>275</v>
      </c>
    </row>
    <row r="18" spans="1:17" x14ac:dyDescent="0.35">
      <c r="F18" s="51"/>
      <c r="O18" s="67">
        <v>16</v>
      </c>
      <c r="P18" s="67" t="s">
        <v>220</v>
      </c>
      <c r="Q18" s="66" t="s">
        <v>276</v>
      </c>
    </row>
    <row r="19" spans="1:17" x14ac:dyDescent="0.35">
      <c r="A19" s="54" t="s">
        <v>212</v>
      </c>
      <c r="B19" s="54" t="s">
        <v>277</v>
      </c>
      <c r="F19" s="51"/>
      <c r="O19" s="67">
        <v>17</v>
      </c>
      <c r="P19" s="67" t="s">
        <v>220</v>
      </c>
      <c r="Q19" s="66" t="s">
        <v>278</v>
      </c>
    </row>
    <row r="20" spans="1:17" x14ac:dyDescent="0.35">
      <c r="A20" s="55" t="str">
        <f t="array" ref="A20:A46">IF(B16="Floodlight",_xlfn._xlws.FILTER(Q3:Q50,(P3:P50=B16)),IF(B16="Trafficking Sheet",_xlfn._xlws.FILTER(Q3:Q50,(P3:P50=B16)),_xlfn._xlws.FILTER(Q3:Q50,(P3:P50=B16)+(P3:P50="General"),"")))</f>
        <v>All the placements were unique, no duplicate placements</v>
      </c>
      <c r="B20" s="56"/>
      <c r="F20" s="51"/>
      <c r="O20" s="67">
        <v>18</v>
      </c>
      <c r="P20" s="67" t="s">
        <v>220</v>
      </c>
      <c r="Q20" s="66" t="s">
        <v>279</v>
      </c>
    </row>
    <row r="21" spans="1:17" x14ac:dyDescent="0.35">
      <c r="A21" s="55" t="str">
        <v>Campaign name is as per trafficking sheet</v>
      </c>
      <c r="B21" s="56"/>
      <c r="F21" s="51"/>
      <c r="O21" s="67">
        <v>19</v>
      </c>
      <c r="P21" s="67" t="s">
        <v>220</v>
      </c>
      <c r="Q21" s="66" t="s">
        <v>280</v>
      </c>
    </row>
    <row r="22" spans="1:17" x14ac:dyDescent="0.35">
      <c r="A22" s="55" t="str">
        <v>Associated to correct Advertiser name</v>
      </c>
      <c r="B22" s="56"/>
      <c r="F22" s="51"/>
      <c r="O22" s="67">
        <v>20</v>
      </c>
      <c r="P22" s="67" t="s">
        <v>220</v>
      </c>
      <c r="Q22" s="66" t="s">
        <v>281</v>
      </c>
    </row>
    <row r="23" spans="1:17" x14ac:dyDescent="0.35">
      <c r="A23" s="55" t="str">
        <v>Campaign Date Range is as per trafficking sheet</v>
      </c>
      <c r="B23" s="56"/>
      <c r="F23" s="51"/>
      <c r="G23" t="s">
        <v>282</v>
      </c>
      <c r="O23" s="67">
        <v>21</v>
      </c>
      <c r="P23" s="67" t="s">
        <v>211</v>
      </c>
      <c r="Q23" s="66" t="s">
        <v>283</v>
      </c>
    </row>
    <row r="24" spans="1:17" x14ac:dyDescent="0.35">
      <c r="A24" s="55" t="str">
        <v>Default Landing Page as per trafficking sheet</v>
      </c>
      <c r="B24" s="56"/>
      <c r="F24" s="51"/>
      <c r="O24" s="67">
        <v>22</v>
      </c>
      <c r="P24" s="67" t="s">
        <v>211</v>
      </c>
      <c r="Q24" s="66" t="s">
        <v>284</v>
      </c>
    </row>
    <row r="25" spans="1:17" x14ac:dyDescent="0.35">
      <c r="A25" s="55" t="str">
        <v>Impressions/Click Event Tags status</v>
      </c>
      <c r="B25" s="56"/>
      <c r="F25" s="51"/>
      <c r="O25" s="67">
        <v>23</v>
      </c>
      <c r="P25" s="67" t="s">
        <v>211</v>
      </c>
      <c r="Q25" s="66" t="s">
        <v>285</v>
      </c>
    </row>
    <row r="26" spans="1:17" x14ac:dyDescent="0.35">
      <c r="A26" s="55" t="str">
        <v>All Placements are Active</v>
      </c>
      <c r="B26" s="56"/>
      <c r="O26" s="67">
        <v>24</v>
      </c>
      <c r="P26" s="67" t="s">
        <v>211</v>
      </c>
      <c r="Q26" s="66" t="s">
        <v>284</v>
      </c>
    </row>
    <row r="27" spans="1:17" x14ac:dyDescent="0.35">
      <c r="A27" s="55" t="str">
        <v>All placement trafficked as per Trafficking sheet</v>
      </c>
      <c r="B27" s="56"/>
      <c r="O27" s="67">
        <v>25</v>
      </c>
      <c r="P27" s="67" t="s">
        <v>211</v>
      </c>
      <c r="Q27" s="66" t="s">
        <v>286</v>
      </c>
    </row>
    <row r="28" spans="1:17" x14ac:dyDescent="0.35">
      <c r="A28" s="55" t="str">
        <v>All placement trafficked under correct dimension</v>
      </c>
      <c r="B28" s="56"/>
      <c r="O28" s="67">
        <v>26</v>
      </c>
      <c r="P28" s="67" t="s">
        <v>219</v>
      </c>
      <c r="Q28" s="66" t="s">
        <v>287</v>
      </c>
    </row>
    <row r="29" spans="1:17" x14ac:dyDescent="0.35">
      <c r="A29" s="55" t="str">
        <v>Placement date range as per Trafficking sheet</v>
      </c>
      <c r="B29" s="56"/>
      <c r="O29" s="67">
        <v>27</v>
      </c>
      <c r="P29" s="67" t="s">
        <v>219</v>
      </c>
      <c r="Q29" s="66" t="s">
        <v>288</v>
      </c>
    </row>
    <row r="30" spans="1:17" x14ac:dyDescent="0.35">
      <c r="A30" s="55" t="str">
        <v>Ad associated with correct Placements</v>
      </c>
      <c r="B30" s="56"/>
      <c r="O30" s="67">
        <v>28</v>
      </c>
      <c r="P30" s="67" t="s">
        <v>227</v>
      </c>
      <c r="Q30" s="66" t="s">
        <v>289</v>
      </c>
    </row>
    <row r="31" spans="1:17" x14ac:dyDescent="0.35">
      <c r="A31" s="55" t="str">
        <v>Cost structure enable, if Yes it should be asper trafficking sheet</v>
      </c>
      <c r="B31" s="56"/>
      <c r="O31" s="67">
        <v>29</v>
      </c>
      <c r="P31" s="65" t="s">
        <v>235</v>
      </c>
      <c r="Q31" s="66" t="s">
        <v>290</v>
      </c>
    </row>
    <row r="32" spans="1:17" x14ac:dyDescent="0.35">
      <c r="A32" s="55" t="str">
        <v>Auto wrapping Enabled</v>
      </c>
      <c r="B32" s="56"/>
      <c r="O32" s="67">
        <v>30</v>
      </c>
      <c r="P32" s="67" t="s">
        <v>239</v>
      </c>
      <c r="Q32" s="66" t="s">
        <v>291</v>
      </c>
    </row>
    <row r="33" spans="1:17" x14ac:dyDescent="0.35">
      <c r="A33" s="55" t="str">
        <v>All Ads are Active</v>
      </c>
      <c r="B33" s="56"/>
      <c r="O33" s="67">
        <v>31</v>
      </c>
      <c r="P33" s="67" t="s">
        <v>239</v>
      </c>
      <c r="Q33" s="66" t="s">
        <v>292</v>
      </c>
    </row>
    <row r="34" spans="1:17" x14ac:dyDescent="0.35">
      <c r="A34" s="55" t="str">
        <v>All Default Ads are active</v>
      </c>
      <c r="B34" s="56"/>
      <c r="O34" s="67">
        <v>32</v>
      </c>
      <c r="P34" s="67" t="s">
        <v>239</v>
      </c>
      <c r="Q34" s="66" t="s">
        <v>293</v>
      </c>
    </row>
    <row r="35" spans="1:17" x14ac:dyDescent="0.35">
      <c r="A35" s="55" t="str">
        <v>Ad Start date is today's date and End Date placement end date</v>
      </c>
      <c r="B35" s="56"/>
      <c r="O35" s="67">
        <v>33</v>
      </c>
      <c r="P35" s="67" t="s">
        <v>239</v>
      </c>
      <c r="Q35" s="66" t="s">
        <v>294</v>
      </c>
    </row>
    <row r="36" spans="1:17" x14ac:dyDescent="0.35">
      <c r="A36" s="55" t="str">
        <v>Ad Start time is 12:00 AM and end time is 11:59 PM</v>
      </c>
      <c r="B36" s="56"/>
      <c r="O36" s="67">
        <v>34</v>
      </c>
      <c r="P36" s="67" t="s">
        <v>239</v>
      </c>
      <c r="Q36" s="66" t="s">
        <v>295</v>
      </c>
    </row>
    <row r="37" spans="1:17" x14ac:dyDescent="0.35">
      <c r="A37" s="55" t="str">
        <v>Ad associated with correct Creatives</v>
      </c>
      <c r="B37" s="56"/>
      <c r="O37" s="67">
        <v>35</v>
      </c>
      <c r="P37" s="67" t="s">
        <v>239</v>
      </c>
      <c r="Q37" s="66" t="s">
        <v>296</v>
      </c>
    </row>
    <row r="38" spans="1:17" x14ac:dyDescent="0.35">
      <c r="A38" s="55" t="str">
        <v>In case of multiple creative use, Creative rotation: Even</v>
      </c>
      <c r="B38" s="56"/>
      <c r="O38" s="67">
        <v>36</v>
      </c>
      <c r="P38" s="67" t="s">
        <v>239</v>
      </c>
      <c r="Q38" s="66" t="s">
        <v>297</v>
      </c>
    </row>
    <row r="39" spans="1:17" x14ac:dyDescent="0.35">
      <c r="A39" s="55" t="str">
        <v>Correct Landing Page Assigned</v>
      </c>
      <c r="B39" s="56"/>
      <c r="O39" s="67">
        <v>37</v>
      </c>
      <c r="P39" s="67" t="s">
        <v>239</v>
      </c>
      <c r="Q39" s="66" t="s">
        <v>298</v>
      </c>
    </row>
    <row r="40" spans="1:17" x14ac:dyDescent="0.35">
      <c r="A40" s="55" t="str">
        <v>VPAID enabled or disabled for Video placement as per request</v>
      </c>
      <c r="B40" s="56"/>
      <c r="O40" s="67">
        <v>38</v>
      </c>
      <c r="P40" s="67" t="s">
        <v>239</v>
      </c>
      <c r="Q40" s="66" t="s">
        <v>299</v>
      </c>
    </row>
    <row r="41" spans="1:17" x14ac:dyDescent="0.35">
      <c r="A41" s="55" t="str">
        <v>Video Skip button time enabled or disabled</v>
      </c>
      <c r="B41" s="56"/>
      <c r="O41" s="67">
        <v>39</v>
      </c>
      <c r="P41" s="67" t="s">
        <v>244</v>
      </c>
      <c r="Q41" s="66" t="s">
        <v>300</v>
      </c>
    </row>
    <row r="42" spans="1:17" x14ac:dyDescent="0.35">
      <c r="A42" s="55" t="str">
        <v>Companion Banner applied</v>
      </c>
      <c r="B42" s="56"/>
      <c r="O42" s="67">
        <v>40</v>
      </c>
      <c r="P42" s="67" t="s">
        <v>244</v>
      </c>
      <c r="Q42" s="66" t="s">
        <v>301</v>
      </c>
    </row>
    <row r="43" spans="1:17" x14ac:dyDescent="0.35">
      <c r="A43" s="55" t="str">
        <v>Video Skip button time enabled or disabled</v>
      </c>
      <c r="B43" s="56"/>
      <c r="O43" s="67">
        <v>41</v>
      </c>
      <c r="P43" s="67" t="s">
        <v>244</v>
      </c>
      <c r="Q43" s="66" t="s">
        <v>302</v>
      </c>
    </row>
    <row r="44" spans="1:17" x14ac:dyDescent="0.35">
      <c r="A44" s="55" t="str">
        <v>Video duration is as per request</v>
      </c>
      <c r="B44" s="56"/>
      <c r="O44" s="67">
        <v>42</v>
      </c>
      <c r="P44" s="67" t="s">
        <v>211</v>
      </c>
      <c r="Q44" s="66" t="s">
        <v>303</v>
      </c>
    </row>
    <row r="45" spans="1:17" x14ac:dyDescent="0.35">
      <c r="A45" s="55" t="str">
        <v>Video/Audio plays with Sound</v>
      </c>
      <c r="B45" s="56"/>
      <c r="O45" s="67">
        <v>43</v>
      </c>
      <c r="P45" s="67" t="s">
        <v>220</v>
      </c>
      <c r="Q45" s="66" t="s">
        <v>304</v>
      </c>
    </row>
    <row r="46" spans="1:17" x14ac:dyDescent="0.35">
      <c r="A46" s="55" t="str">
        <v>Display creative is blurry or looks incorrect</v>
      </c>
      <c r="B46" s="56"/>
    </row>
  </sheetData>
  <mergeCells count="1">
    <mergeCell ref="E8:J8"/>
  </mergeCells>
  <dataValidations count="1">
    <dataValidation type="list" showInputMessage="1" showErrorMessage="1" errorTitle="select dropdown" sqref="B16" xr:uid="{C1AEE262-2024-429B-882E-9CF27DF5DCB9}">
      <formula1>$L$2:$L$8</formula1>
    </dataValidation>
  </dataValidations>
  <hyperlinks>
    <hyperlink ref="G3" r:id="rId1" xr:uid="{97A51179-3C57-4FC0-A6CF-B05209414ABE}"/>
    <hyperlink ref="X6" r:id="rId2" xr:uid="{2EBC0938-64FA-426B-BDB7-D78D09921FB4}"/>
    <hyperlink ref="X7" r:id="rId3" xr:uid="{3368DB25-DF0D-44A7-B7EE-E536D987B965}"/>
    <hyperlink ref="X5" r:id="rId4" xr:uid="{27660F55-AFB6-444E-BCE3-66D9B9FECB7D}"/>
    <hyperlink ref="X4" r:id="rId5" xr:uid="{206E2127-79A0-454E-BA22-6C0E1056AF89}"/>
    <hyperlink ref="X3" r:id="rId6" xr:uid="{8127DF93-2DCC-4C71-8FA5-CC6FABD0491B}"/>
    <hyperlink ref="X8" r:id="rId7" xr:uid="{0422CEB8-D181-4184-A1D7-3381D210EA34}"/>
    <hyperlink ref="X2" r:id="rId8" xr:uid="{CBB0A323-F49D-4C5E-AC9C-B0D2B8D80896}"/>
    <hyperlink ref="X9" r:id="rId9" xr:uid="{3AEE069B-4E77-4969-8EBD-722BD9D37CD4}"/>
  </hyperlinks>
  <pageMargins left="0.7" right="0.7" top="0.75" bottom="0.75" header="0.3" footer="0.3"/>
  <pageSetup paperSize="9" orientation="portrait" r:id="rId1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37C2C-805B-452B-A694-FACDD831E2A6}">
  <sheetPr codeName="Sheet4"/>
  <dimension ref="A1:X27"/>
  <sheetViews>
    <sheetView workbookViewId="0">
      <selection activeCell="F5" sqref="F5"/>
    </sheetView>
  </sheetViews>
  <sheetFormatPr defaultRowHeight="14.5" x14ac:dyDescent="0.35"/>
  <cols>
    <col min="1" max="1" width="20.1796875" customWidth="1"/>
    <col min="2" max="2" width="26.54296875" customWidth="1"/>
    <col min="3" max="3" width="14" customWidth="1"/>
    <col min="4" max="4" width="34.26953125" customWidth="1"/>
    <col min="5" max="5" width="19.7265625" customWidth="1"/>
    <col min="6" max="6" width="16.7265625" customWidth="1"/>
    <col min="7" max="7" width="44.81640625" customWidth="1"/>
    <col min="8" max="8" width="49.7265625" customWidth="1"/>
    <col min="9" max="9" width="93.81640625" customWidth="1"/>
    <col min="10" max="10" width="17.54296875" bestFit="1" customWidth="1"/>
    <col min="23" max="23" width="26.7265625" bestFit="1" customWidth="1"/>
  </cols>
  <sheetData>
    <row r="1" spans="1:24" ht="21" customHeight="1" x14ac:dyDescent="0.35">
      <c r="B1" s="174" t="s">
        <v>305</v>
      </c>
      <c r="C1" s="174"/>
      <c r="D1" s="174"/>
      <c r="E1" s="174"/>
      <c r="F1" s="174"/>
      <c r="G1" s="174"/>
    </row>
    <row r="2" spans="1:24" ht="18.5" x14ac:dyDescent="0.45">
      <c r="A2" s="147" t="s">
        <v>306</v>
      </c>
      <c r="B2" s="148" t="s">
        <v>307</v>
      </c>
      <c r="C2" s="148" t="s">
        <v>308</v>
      </c>
      <c r="D2" s="148" t="s">
        <v>309</v>
      </c>
      <c r="E2" s="148" t="s">
        <v>310</v>
      </c>
      <c r="F2" s="149" t="s">
        <v>311</v>
      </c>
      <c r="G2" s="148" t="s">
        <v>312</v>
      </c>
      <c r="H2" s="148" t="s">
        <v>313</v>
      </c>
      <c r="I2" s="150" t="s">
        <v>314</v>
      </c>
      <c r="Q2" s="70" t="s">
        <v>315</v>
      </c>
    </row>
    <row r="3" spans="1:24" ht="27" customHeight="1" x14ac:dyDescent="0.35">
      <c r="A3" s="142">
        <v>2018438</v>
      </c>
      <c r="B3" s="143" t="s">
        <v>316</v>
      </c>
      <c r="C3" s="144" t="s">
        <v>317</v>
      </c>
      <c r="D3" s="144" t="s">
        <v>318</v>
      </c>
      <c r="E3" s="144" t="s">
        <v>319</v>
      </c>
      <c r="F3" s="144" t="s">
        <v>320</v>
      </c>
      <c r="G3" s="144" t="s">
        <v>321</v>
      </c>
      <c r="H3" s="145" t="s">
        <v>322</v>
      </c>
      <c r="I3" s="146" t="s">
        <v>323</v>
      </c>
      <c r="N3" s="39"/>
      <c r="X3" s="39"/>
    </row>
    <row r="4" spans="1:24" ht="16" x14ac:dyDescent="0.4">
      <c r="A4" s="118">
        <v>997352</v>
      </c>
      <c r="B4" s="119" t="s">
        <v>316</v>
      </c>
      <c r="C4" s="120" t="s">
        <v>324</v>
      </c>
      <c r="D4" s="120" t="s">
        <v>325</v>
      </c>
      <c r="E4" s="120" t="s">
        <v>319</v>
      </c>
      <c r="F4" s="120" t="s">
        <v>326</v>
      </c>
      <c r="G4" s="120" t="s">
        <v>327</v>
      </c>
      <c r="H4" s="137" t="s">
        <v>87</v>
      </c>
      <c r="I4" s="140" t="s">
        <v>88</v>
      </c>
      <c r="Q4" s="69" t="s">
        <v>328</v>
      </c>
    </row>
    <row r="5" spans="1:24" ht="29" x14ac:dyDescent="0.35">
      <c r="A5" s="118">
        <v>1873597</v>
      </c>
      <c r="B5" s="119" t="s">
        <v>316</v>
      </c>
      <c r="C5" s="120" t="s">
        <v>324</v>
      </c>
      <c r="D5" s="120" t="s">
        <v>43</v>
      </c>
      <c r="E5" s="120" t="s">
        <v>319</v>
      </c>
      <c r="F5" s="120" t="s">
        <v>329</v>
      </c>
      <c r="G5" s="120" t="s">
        <v>330</v>
      </c>
      <c r="H5" s="138" t="s">
        <v>331</v>
      </c>
      <c r="I5" s="141" t="s">
        <v>332</v>
      </c>
      <c r="Q5" s="71" t="s">
        <v>333</v>
      </c>
    </row>
    <row r="6" spans="1:24" x14ac:dyDescent="0.35">
      <c r="A6" s="118">
        <v>1714018</v>
      </c>
      <c r="B6" s="119" t="s">
        <v>316</v>
      </c>
      <c r="C6" s="120" t="s">
        <v>324</v>
      </c>
      <c r="D6" s="120" t="s">
        <v>334</v>
      </c>
      <c r="E6" s="120" t="s">
        <v>319</v>
      </c>
      <c r="F6" s="120" t="s">
        <v>335</v>
      </c>
      <c r="G6" s="120" t="s">
        <v>336</v>
      </c>
      <c r="H6" s="137" t="s">
        <v>76</v>
      </c>
      <c r="I6" s="140" t="s">
        <v>77</v>
      </c>
      <c r="Q6" s="71" t="s">
        <v>337</v>
      </c>
    </row>
    <row r="7" spans="1:24" x14ac:dyDescent="0.35">
      <c r="A7" s="118">
        <v>4415</v>
      </c>
      <c r="B7" s="119" t="s">
        <v>316</v>
      </c>
      <c r="C7" s="121" t="s">
        <v>324</v>
      </c>
      <c r="D7" s="120" t="s">
        <v>338</v>
      </c>
      <c r="E7" s="120" t="s">
        <v>319</v>
      </c>
      <c r="F7" s="120" t="s">
        <v>339</v>
      </c>
      <c r="G7" s="120" t="s">
        <v>340</v>
      </c>
      <c r="H7" s="137" t="s">
        <v>341</v>
      </c>
      <c r="I7" s="140" t="s">
        <v>342</v>
      </c>
      <c r="Q7" s="71" t="s">
        <v>343</v>
      </c>
    </row>
    <row r="8" spans="1:24" x14ac:dyDescent="0.35">
      <c r="A8" s="118">
        <v>2554028</v>
      </c>
      <c r="B8" s="119" t="s">
        <v>316</v>
      </c>
      <c r="C8" s="121" t="s">
        <v>324</v>
      </c>
      <c r="D8" s="120" t="s">
        <v>344</v>
      </c>
      <c r="E8" s="120" t="s">
        <v>319</v>
      </c>
      <c r="F8" s="120" t="s">
        <v>345</v>
      </c>
      <c r="G8" s="120" t="s">
        <v>346</v>
      </c>
      <c r="H8" s="137" t="s">
        <v>347</v>
      </c>
      <c r="I8" s="140" t="s">
        <v>348</v>
      </c>
      <c r="Q8" s="71"/>
    </row>
    <row r="9" spans="1:24" x14ac:dyDescent="0.35">
      <c r="A9" s="153">
        <v>6024</v>
      </c>
      <c r="B9" s="154" t="s">
        <v>316</v>
      </c>
      <c r="C9" s="155" t="s">
        <v>324</v>
      </c>
      <c r="D9" s="156" t="s">
        <v>349</v>
      </c>
      <c r="E9" s="156" t="s">
        <v>319</v>
      </c>
      <c r="F9" s="156" t="s">
        <v>350</v>
      </c>
      <c r="G9" s="156" t="s">
        <v>351</v>
      </c>
      <c r="H9" s="157" t="s">
        <v>352</v>
      </c>
      <c r="I9" s="140" t="s">
        <v>353</v>
      </c>
      <c r="Q9" s="71"/>
    </row>
    <row r="10" spans="1:24" x14ac:dyDescent="0.35">
      <c r="A10" s="122"/>
      <c r="B10" s="123" t="s">
        <v>354</v>
      </c>
      <c r="C10" s="124" t="s">
        <v>324</v>
      </c>
      <c r="D10" s="126" t="s">
        <v>355</v>
      </c>
      <c r="E10" s="126" t="s">
        <v>356</v>
      </c>
      <c r="F10" s="124" t="s">
        <v>357</v>
      </c>
      <c r="G10" s="124" t="s">
        <v>358</v>
      </c>
      <c r="H10" s="125" t="s">
        <v>359</v>
      </c>
      <c r="I10" s="139" t="s">
        <v>360</v>
      </c>
      <c r="Q10" s="71" t="s">
        <v>361</v>
      </c>
    </row>
    <row r="11" spans="1:24" x14ac:dyDescent="0.35">
      <c r="Q11" s="71" t="s">
        <v>362</v>
      </c>
    </row>
    <row r="12" spans="1:24" x14ac:dyDescent="0.35">
      <c r="B12" s="110"/>
      <c r="C12" s="110"/>
      <c r="D12" s="110"/>
      <c r="E12" s="110"/>
      <c r="F12" s="111"/>
      <c r="G12" s="110"/>
      <c r="Q12" s="71" t="s">
        <v>363</v>
      </c>
    </row>
    <row r="13" spans="1:24" x14ac:dyDescent="0.35">
      <c r="B13" s="111"/>
      <c r="C13" s="111"/>
      <c r="D13" s="111"/>
      <c r="E13" s="111"/>
      <c r="F13" s="111"/>
      <c r="G13" s="111"/>
      <c r="Q13" s="71" t="s">
        <v>364</v>
      </c>
    </row>
    <row r="14" spans="1:24" ht="15.5" x14ac:dyDescent="0.35">
      <c r="B14" s="174" t="s">
        <v>365</v>
      </c>
      <c r="C14" s="174"/>
      <c r="D14" s="174"/>
      <c r="E14" s="174"/>
      <c r="F14" s="174"/>
      <c r="G14" s="174"/>
      <c r="Q14" s="71" t="s">
        <v>366</v>
      </c>
    </row>
    <row r="15" spans="1:24" x14ac:dyDescent="0.35">
      <c r="B15" s="133" t="s">
        <v>307</v>
      </c>
      <c r="C15" s="134" t="s">
        <v>308</v>
      </c>
      <c r="D15" s="134" t="s">
        <v>309</v>
      </c>
      <c r="E15" s="134" t="s">
        <v>310</v>
      </c>
      <c r="F15" s="135" t="s">
        <v>311</v>
      </c>
      <c r="G15" s="136" t="s">
        <v>312</v>
      </c>
      <c r="Q15" s="71" t="s">
        <v>367</v>
      </c>
    </row>
    <row r="16" spans="1:24" ht="28.5" customHeight="1" x14ac:dyDescent="0.35">
      <c r="B16" s="127" t="s">
        <v>368</v>
      </c>
      <c r="C16" s="116" t="s">
        <v>324</v>
      </c>
      <c r="D16" s="116" t="s">
        <v>369</v>
      </c>
      <c r="E16" s="116" t="s">
        <v>319</v>
      </c>
      <c r="F16" s="117" t="s">
        <v>370</v>
      </c>
      <c r="G16" s="128" t="s">
        <v>371</v>
      </c>
      <c r="Q16" s="71" t="s">
        <v>372</v>
      </c>
    </row>
    <row r="17" spans="2:17" x14ac:dyDescent="0.35">
      <c r="B17" s="129" t="s">
        <v>373</v>
      </c>
      <c r="C17" s="130" t="s">
        <v>324</v>
      </c>
      <c r="D17" s="130" t="s">
        <v>374</v>
      </c>
      <c r="E17" s="130" t="s">
        <v>356</v>
      </c>
      <c r="F17" s="131" t="s">
        <v>375</v>
      </c>
      <c r="G17" s="132" t="s">
        <v>376</v>
      </c>
      <c r="Q17" s="71" t="s">
        <v>377</v>
      </c>
    </row>
    <row r="18" spans="2:17" x14ac:dyDescent="0.35">
      <c r="Q18" s="71" t="s">
        <v>378</v>
      </c>
    </row>
    <row r="19" spans="2:17" x14ac:dyDescent="0.35">
      <c r="Q19" s="71" t="s">
        <v>379</v>
      </c>
    </row>
    <row r="20" spans="2:17" x14ac:dyDescent="0.35">
      <c r="Q20" s="71" t="s">
        <v>380</v>
      </c>
    </row>
    <row r="21" spans="2:17" x14ac:dyDescent="0.35">
      <c r="D21" s="175" t="s">
        <v>381</v>
      </c>
      <c r="E21" s="176"/>
      <c r="Q21" s="71" t="s">
        <v>382</v>
      </c>
    </row>
    <row r="22" spans="2:17" x14ac:dyDescent="0.35">
      <c r="C22" t="s">
        <v>383</v>
      </c>
      <c r="D22" s="11" t="s">
        <v>384</v>
      </c>
      <c r="E22" s="11" t="s">
        <v>385</v>
      </c>
    </row>
    <row r="23" spans="2:17" x14ac:dyDescent="0.35">
      <c r="D23" s="11" t="s">
        <v>386</v>
      </c>
      <c r="E23" s="11" t="s">
        <v>387</v>
      </c>
    </row>
    <row r="25" spans="2:17" x14ac:dyDescent="0.35">
      <c r="D25" s="177" t="s">
        <v>388</v>
      </c>
      <c r="E25" s="177"/>
    </row>
    <row r="26" spans="2:17" x14ac:dyDescent="0.35">
      <c r="D26" s="11" t="s">
        <v>389</v>
      </c>
      <c r="E26" s="11" t="s">
        <v>385</v>
      </c>
    </row>
    <row r="27" spans="2:17" x14ac:dyDescent="0.35">
      <c r="D27" s="11" t="s">
        <v>390</v>
      </c>
      <c r="E27" s="11" t="s">
        <v>387</v>
      </c>
    </row>
  </sheetData>
  <mergeCells count="4">
    <mergeCell ref="B14:G14"/>
    <mergeCell ref="B1:G1"/>
    <mergeCell ref="D21:E21"/>
    <mergeCell ref="D25:E25"/>
  </mergeCells>
  <phoneticPr fontId="3" type="noConversion"/>
  <hyperlinks>
    <hyperlink ref="I7" r:id="rId1" xr:uid="{D83DDCAA-9247-4A6B-8D06-25653319DC12}"/>
    <hyperlink ref="I10" r:id="rId2" xr:uid="{AFDBB875-803F-42EE-96E4-CCDD644F9D14}"/>
    <hyperlink ref="I3" r:id="rId3" xr:uid="{6D24A563-2E28-46F6-B702-41132EA0F521}"/>
    <hyperlink ref="I4" r:id="rId4" xr:uid="{7AA966CE-03EC-4D3F-8549-085D792E5B63}"/>
    <hyperlink ref="I5" r:id="rId5" xr:uid="{EDED46DB-AF6E-4656-B49C-4CEC9FA7DB9E}"/>
    <hyperlink ref="I6" r:id="rId6" xr:uid="{BFE288FD-A3A5-4947-AB19-DD2002C17797}"/>
    <hyperlink ref="I8" r:id="rId7" xr:uid="{324E24CF-21CA-4561-AF6D-3462303CB0F9}"/>
  </hyperlinks>
  <pageMargins left="0.7" right="0.7" top="0.75" bottom="0.75" header="0.3" footer="0.3"/>
  <pageSetup paperSize="9" orientation="portrait" verticalDpi="0" r:id="rId8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7AC96-173F-420F-9DD3-9F0038026012}">
  <sheetPr codeName="Sheet7">
    <tabColor rgb="FFFFC000"/>
    <outlinePr summaryBelow="0" summaryRight="0"/>
  </sheetPr>
  <dimension ref="A1:AJ1588"/>
  <sheetViews>
    <sheetView tabSelected="1" zoomScaleNormal="62" workbookViewId="0">
      <pane ySplit="1" topLeftCell="A579" activePane="bottomLeft" state="frozen"/>
      <selection activeCell="G1081" sqref="G1081"/>
      <selection pane="bottomLeft" activeCell="B588" sqref="B588"/>
    </sheetView>
  </sheetViews>
  <sheetFormatPr defaultColWidth="12.54296875" defaultRowHeight="15.75" customHeight="1" x14ac:dyDescent="0.3"/>
  <cols>
    <col min="1" max="1" width="16.26953125" style="103" customWidth="1"/>
    <col min="2" max="2" width="17.26953125" style="88" customWidth="1"/>
    <col min="3" max="3" width="19.453125" style="88" customWidth="1"/>
    <col min="4" max="4" width="24.81640625" style="88" customWidth="1"/>
    <col min="5" max="5" width="15.26953125" style="88" bestFit="1" customWidth="1"/>
    <col min="6" max="6" width="57.81640625" style="88" customWidth="1"/>
    <col min="7" max="7" width="84.54296875" style="88" customWidth="1"/>
    <col min="8" max="8" width="21.26953125" style="88" customWidth="1"/>
    <col min="9" max="9" width="15.81640625" style="88" customWidth="1"/>
    <col min="10" max="10" width="16.1796875" style="88" customWidth="1"/>
    <col min="11" max="11" width="15.26953125" style="88" customWidth="1"/>
    <col min="12" max="12" width="8.54296875" style="88" customWidth="1"/>
    <col min="13" max="13" width="9.7265625" style="89" customWidth="1"/>
    <col min="14" max="15" width="12.54296875" style="88" customWidth="1"/>
    <col min="16" max="16" width="28.453125" style="88" customWidth="1"/>
    <col min="17" max="17" width="9.1796875" style="91" customWidth="1"/>
    <col min="18" max="18" width="7.81640625" style="91" customWidth="1"/>
    <col min="19" max="19" width="12.54296875" style="91" customWidth="1"/>
    <col min="20" max="21" width="12.54296875" style="95" customWidth="1"/>
    <col min="22" max="22" width="21.7265625" style="95" customWidth="1"/>
    <col min="23" max="23" width="12.54296875" style="95" customWidth="1"/>
    <col min="24" max="24" width="28.453125" style="101" customWidth="1"/>
    <col min="25" max="25" width="15.54296875" style="102" customWidth="1"/>
    <col min="26" max="26" width="21.54296875" style="101" customWidth="1"/>
    <col min="27" max="27" width="80" style="101" customWidth="1"/>
    <col min="28" max="28" width="18.1796875" style="109" customWidth="1"/>
    <col min="29" max="29" width="17.26953125" style="84" customWidth="1"/>
    <col min="30" max="30" width="17.7265625" style="100" customWidth="1"/>
    <col min="31" max="31" width="20.26953125" style="84" customWidth="1"/>
    <col min="32" max="32" width="17.453125" style="84" customWidth="1"/>
    <col min="33" max="33" width="18.54296875" style="84" customWidth="1"/>
    <col min="34" max="34" width="42.54296875" style="84" customWidth="1"/>
    <col min="35" max="35" width="42" style="84" customWidth="1"/>
    <col min="36" max="36" width="34" style="84" customWidth="1"/>
    <col min="37" max="37" width="12.54296875" style="84" customWidth="1"/>
    <col min="38" max="16384" width="12.54296875" style="84"/>
  </cols>
  <sheetData>
    <row r="1" spans="1:36" ht="13" x14ac:dyDescent="0.3">
      <c r="A1" s="73" t="s">
        <v>391</v>
      </c>
      <c r="B1" s="73" t="s">
        <v>6</v>
      </c>
      <c r="C1" s="74" t="s">
        <v>392</v>
      </c>
      <c r="D1" s="73" t="s">
        <v>393</v>
      </c>
      <c r="E1" s="73" t="s">
        <v>394</v>
      </c>
      <c r="F1" s="73" t="s">
        <v>395</v>
      </c>
      <c r="G1" s="75" t="s">
        <v>396</v>
      </c>
      <c r="H1" s="73" t="s">
        <v>397</v>
      </c>
      <c r="I1" s="73" t="s">
        <v>398</v>
      </c>
      <c r="J1" s="73" t="s">
        <v>399</v>
      </c>
      <c r="K1" s="73" t="s">
        <v>400</v>
      </c>
      <c r="L1" s="73" t="s">
        <v>401</v>
      </c>
      <c r="M1" s="73" t="s">
        <v>402</v>
      </c>
      <c r="N1" s="73" t="s">
        <v>403</v>
      </c>
      <c r="O1" s="76" t="s">
        <v>404</v>
      </c>
      <c r="P1" s="73" t="s">
        <v>405</v>
      </c>
      <c r="Q1" s="73" t="s">
        <v>406</v>
      </c>
      <c r="R1" s="73" t="s">
        <v>407</v>
      </c>
      <c r="S1" s="73" t="s">
        <v>408</v>
      </c>
      <c r="T1" s="77" t="s">
        <v>409</v>
      </c>
      <c r="U1" s="78" t="s">
        <v>410</v>
      </c>
      <c r="V1" s="77" t="s">
        <v>411</v>
      </c>
      <c r="W1" s="77" t="s">
        <v>412</v>
      </c>
      <c r="X1" s="79" t="s">
        <v>413</v>
      </c>
      <c r="Y1" s="79" t="s">
        <v>414</v>
      </c>
      <c r="Z1" s="80" t="s">
        <v>415</v>
      </c>
      <c r="AA1" s="79" t="s">
        <v>416</v>
      </c>
      <c r="AB1" s="79" t="s">
        <v>417</v>
      </c>
      <c r="AC1" s="81" t="s">
        <v>418</v>
      </c>
      <c r="AD1" s="82" t="s">
        <v>419</v>
      </c>
      <c r="AE1" s="79" t="s">
        <v>420</v>
      </c>
      <c r="AF1" s="79" t="s">
        <v>421</v>
      </c>
      <c r="AG1" s="79" t="s">
        <v>422</v>
      </c>
      <c r="AH1" s="83" t="s">
        <v>423</v>
      </c>
      <c r="AI1" s="83" t="s">
        <v>424</v>
      </c>
      <c r="AJ1" s="83" t="s">
        <v>425</v>
      </c>
    </row>
    <row r="2" spans="1:36" ht="15.75" customHeight="1" x14ac:dyDescent="0.3">
      <c r="A2" s="85" t="s">
        <v>426</v>
      </c>
      <c r="B2" s="86">
        <v>46028</v>
      </c>
      <c r="C2" s="87" t="s">
        <v>318</v>
      </c>
      <c r="D2" s="88" t="s">
        <v>427</v>
      </c>
      <c r="E2" s="87" t="s">
        <v>428</v>
      </c>
      <c r="F2" s="88" t="s">
        <v>429</v>
      </c>
      <c r="G2" s="88" t="s">
        <v>430</v>
      </c>
      <c r="H2" s="87" t="s">
        <v>269</v>
      </c>
      <c r="I2" s="87" t="s">
        <v>431</v>
      </c>
      <c r="J2" s="88">
        <v>3</v>
      </c>
      <c r="K2" s="88">
        <v>3</v>
      </c>
      <c r="L2" s="88">
        <v>3</v>
      </c>
      <c r="M2" s="89">
        <v>46028</v>
      </c>
      <c r="N2" s="88">
        <v>0.5</v>
      </c>
      <c r="O2" s="90" t="s">
        <v>432</v>
      </c>
      <c r="Q2" s="91">
        <f t="shared" ref="Q2:Q70" si="0">IF(B2="","",WEEKNUM(B2))</f>
        <v>2</v>
      </c>
      <c r="R2" s="91" t="str">
        <f t="shared" ref="R2:R70" si="1">IF(B2="","",TEXT(B2,"MMM"))</f>
        <v>Jan</v>
      </c>
      <c r="S2" s="92" t="str">
        <f t="shared" ref="S2:S70" si="2">IF(B2="","",TEXT(B2,"DDDD"))</f>
        <v>Tuesday</v>
      </c>
      <c r="T2" s="93" t="s">
        <v>237</v>
      </c>
      <c r="U2" s="94" t="s">
        <v>433</v>
      </c>
      <c r="V2" s="95" t="s">
        <v>434</v>
      </c>
      <c r="W2" s="95">
        <v>0.5</v>
      </c>
      <c r="X2" s="96"/>
      <c r="Y2" s="97">
        <f t="shared" ref="Y2:Y18" si="3">IF(M2="","",M2)</f>
        <v>46028</v>
      </c>
      <c r="Z2" s="98" t="str">
        <f>SUBSTITUTE('Digitas UK Task 26'!$O2, "Complet", "Not Requir")</f>
        <v>Not Required</v>
      </c>
      <c r="AA2" s="98" t="str">
        <f t="shared" ref="AA2:AA53" si="4">IF(G2="","",G2)</f>
        <v xml:space="preserve">WELLA | FY26Q3 COLOR STRONG DACH | TAG REQUEST </v>
      </c>
      <c r="AB2" s="99"/>
      <c r="AF2" s="84" t="str">
        <f t="shared" ref="AF2:AF69" si="5">IF(AD2="","",WEEKNUM(AD2))</f>
        <v/>
      </c>
      <c r="AH2" s="84" t="str">
        <f t="shared" ref="AH2:AH65" si="6">IF(B2="","",_xlfn.CONCAT("PL_",J2,"_CR_",K2,"_AD_",L2,"_Jira_",IF(AND(C2="P&amp;G",ISNUMBER(SEARCH("TAAGPNG-",G2))),MID(G2,SEARCH("TAAGPNG-",G2)+8,LEN(G2)-SEARCH("TAAGPNG-",G2)-7),"0"),"_"))</f>
        <v>PL_3_CR_3_AD_3_Jira_0_</v>
      </c>
      <c r="AI2" s="84" t="str">
        <f t="shared" ref="AI2:AI65" si="7">IF(U2&lt;&gt;"Done","",_xlfn.CONCAT("PL_",J2,"_CR_",K2,"_AD_",L2,"_Jira_",IF(AND(C2="P&amp;G",ISNUMBER(SEARCH("TAAGPNG-",G2))),MID(G2,SEARCH("TAAGPNG-",G2)+8,LEN(G2)-SEARCH("TAAGPNG-",G2)-7),"0"),"_"))</f>
        <v>PL_3_CR_3_AD_3_Jira_0_</v>
      </c>
      <c r="AJ2" s="84" t="str">
        <f>IF(Z2&lt;&gt;"Done","",(_xlfn.CONCAT("PL_",DigitasUKAdOp_26Team[[#This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" spans="1:36" ht="15.75" customHeight="1" x14ac:dyDescent="0.3">
      <c r="A3" s="85" t="str">
        <f t="shared" ref="A3:A72" si="8">IF(B3="","",TEXT(B3,"MMM : DDDD"))</f>
        <v>Jan : Thursday</v>
      </c>
      <c r="B3" s="86">
        <v>46030</v>
      </c>
      <c r="C3" s="87" t="s">
        <v>318</v>
      </c>
      <c r="D3" s="88" t="s">
        <v>435</v>
      </c>
      <c r="E3" s="87" t="s">
        <v>428</v>
      </c>
      <c r="F3" s="88" t="s">
        <v>436</v>
      </c>
      <c r="G3" s="88" t="s">
        <v>437</v>
      </c>
      <c r="H3" s="87" t="s">
        <v>269</v>
      </c>
      <c r="I3" s="87" t="s">
        <v>250</v>
      </c>
      <c r="J3" s="88">
        <v>3</v>
      </c>
      <c r="K3" s="88">
        <v>3</v>
      </c>
      <c r="L3" s="88">
        <v>3</v>
      </c>
      <c r="M3" s="89">
        <v>8</v>
      </c>
      <c r="N3" s="88">
        <v>0.5</v>
      </c>
      <c r="O3" s="90" t="s">
        <v>432</v>
      </c>
      <c r="P3" s="88" t="s">
        <v>438</v>
      </c>
      <c r="Q3" s="91">
        <f t="shared" si="0"/>
        <v>2</v>
      </c>
      <c r="R3" s="91" t="str">
        <f t="shared" si="1"/>
        <v>Jan</v>
      </c>
      <c r="S3" s="92" t="str">
        <f t="shared" si="2"/>
        <v>Thursday</v>
      </c>
      <c r="T3" s="93" t="s">
        <v>237</v>
      </c>
      <c r="U3" s="94" t="s">
        <v>433</v>
      </c>
      <c r="W3" s="95">
        <v>0.5</v>
      </c>
      <c r="X3" s="96"/>
      <c r="Y3" s="97">
        <f t="shared" si="3"/>
        <v>8</v>
      </c>
      <c r="Z3" s="98" t="str">
        <f>SUBSTITUTE('Digitas UK Task 26'!$O3, "Complet", "Not Requir")</f>
        <v>Not Required</v>
      </c>
      <c r="AA3" s="98" t="str">
        <f t="shared" si="4"/>
        <v>WELLA | FY26Q3 ULTIMATE COLOR UK | TAG REQUEST</v>
      </c>
      <c r="AB3" s="99"/>
      <c r="AF3" s="84" t="str">
        <f t="shared" si="5"/>
        <v/>
      </c>
      <c r="AH3" s="84" t="str">
        <f t="shared" si="6"/>
        <v>PL_3_CR_3_AD_3_Jira_0_</v>
      </c>
      <c r="AI3" s="84" t="str">
        <f t="shared" si="7"/>
        <v>PL_3_CR_3_AD_3_Jira_0_</v>
      </c>
      <c r="AJ3" s="84" t="str">
        <f>IF(Z3&lt;&gt;"Done","",(_xlfn.CONCAT("PL_",DigitasUKAdOp_26Team[[#This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" spans="1:36" ht="15.75" customHeight="1" x14ac:dyDescent="0.3">
      <c r="A4" s="85" t="str">
        <f t="shared" si="8"/>
        <v>Jan : Thursday</v>
      </c>
      <c r="B4" s="86">
        <v>46030</v>
      </c>
      <c r="C4" s="87" t="s">
        <v>318</v>
      </c>
      <c r="D4" s="88" t="s">
        <v>435</v>
      </c>
      <c r="E4" s="87" t="s">
        <v>428</v>
      </c>
      <c r="F4" s="88" t="s">
        <v>439</v>
      </c>
      <c r="G4" s="88" t="s">
        <v>437</v>
      </c>
      <c r="H4" s="87" t="s">
        <v>269</v>
      </c>
      <c r="I4" s="87" t="s">
        <v>250</v>
      </c>
      <c r="J4" s="88">
        <v>2</v>
      </c>
      <c r="K4" s="88">
        <v>2</v>
      </c>
      <c r="L4" s="88">
        <v>2</v>
      </c>
      <c r="M4" s="89">
        <v>46030</v>
      </c>
      <c r="N4" s="88">
        <v>0.5</v>
      </c>
      <c r="O4" s="90" t="s">
        <v>432</v>
      </c>
      <c r="P4" s="88" t="s">
        <v>438</v>
      </c>
      <c r="Q4" s="91">
        <f t="shared" si="0"/>
        <v>2</v>
      </c>
      <c r="R4" s="91" t="str">
        <f t="shared" si="1"/>
        <v>Jan</v>
      </c>
      <c r="S4" s="92" t="str">
        <f t="shared" si="2"/>
        <v>Thursday</v>
      </c>
      <c r="T4" s="93" t="s">
        <v>246</v>
      </c>
      <c r="U4" s="94" t="s">
        <v>433</v>
      </c>
      <c r="W4" s="95">
        <v>0.25</v>
      </c>
      <c r="X4" s="96"/>
      <c r="Y4" s="97">
        <f t="shared" si="3"/>
        <v>46030</v>
      </c>
      <c r="Z4" s="98" t="str">
        <f>SUBSTITUTE('Digitas UK Task 26'!$O4, "Complet", "Not Requir")</f>
        <v>Not Required</v>
      </c>
      <c r="AA4" s="98" t="str">
        <f t="shared" si="4"/>
        <v>WELLA | FY26Q3 ULTIMATE COLOR UK | TAG REQUEST</v>
      </c>
      <c r="AB4" s="99"/>
      <c r="AF4" s="84" t="str">
        <f t="shared" si="5"/>
        <v/>
      </c>
      <c r="AH4" s="84" t="str">
        <f t="shared" si="6"/>
        <v>PL_2_CR_2_AD_2_Jira_0_</v>
      </c>
      <c r="AI4" s="84" t="str">
        <f t="shared" si="7"/>
        <v>PL_2_CR_2_AD_2_Jira_0_</v>
      </c>
      <c r="AJ4" s="84" t="str">
        <f>IF(Z4&lt;&gt;"Done","",(_xlfn.CONCAT("PL_",DigitasUKAdOp_26Team[[#This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" spans="1:36" ht="15.75" customHeight="1" x14ac:dyDescent="0.3">
      <c r="A5" s="85" t="str">
        <f t="shared" si="8"/>
        <v>Jan : Friday</v>
      </c>
      <c r="B5" s="86">
        <v>46031</v>
      </c>
      <c r="C5" s="87" t="s">
        <v>338</v>
      </c>
      <c r="D5" s="88" t="s">
        <v>440</v>
      </c>
      <c r="E5" s="87" t="s">
        <v>428</v>
      </c>
      <c r="F5" s="88" t="s">
        <v>441</v>
      </c>
      <c r="G5" s="88" t="s">
        <v>442</v>
      </c>
      <c r="H5" s="87" t="s">
        <v>443</v>
      </c>
      <c r="I5" s="87" t="s">
        <v>237</v>
      </c>
      <c r="J5" s="88">
        <v>0</v>
      </c>
      <c r="K5" s="88">
        <v>0</v>
      </c>
      <c r="L5" s="88">
        <v>0</v>
      </c>
      <c r="M5" s="89">
        <v>46013</v>
      </c>
      <c r="N5" s="88">
        <v>1</v>
      </c>
      <c r="O5" s="90" t="s">
        <v>432</v>
      </c>
      <c r="Q5" s="91">
        <f t="shared" si="0"/>
        <v>2</v>
      </c>
      <c r="R5" s="91" t="str">
        <f t="shared" si="1"/>
        <v>Jan</v>
      </c>
      <c r="S5" s="92" t="str">
        <f t="shared" si="2"/>
        <v>Friday</v>
      </c>
      <c r="T5" s="93" t="s">
        <v>237</v>
      </c>
      <c r="U5" s="94" t="s">
        <v>444</v>
      </c>
      <c r="W5" s="95">
        <v>0</v>
      </c>
      <c r="X5" s="96"/>
      <c r="Y5" s="97">
        <f t="shared" si="3"/>
        <v>46013</v>
      </c>
      <c r="Z5" s="98" t="str">
        <f>SUBSTITUTE('Digitas UK Task 26'!$O5, "Complet", "Not Requir")</f>
        <v>Not Required</v>
      </c>
      <c r="AA5" s="98" t="str">
        <f t="shared" si="4"/>
        <v>BAVARIAN NORDICS | VIMKUNYA | DOCEREE | UK | TRAFFICKING SHEET - AB TESTING</v>
      </c>
      <c r="AB5" s="99"/>
      <c r="AF5" s="84" t="str">
        <f t="shared" si="5"/>
        <v/>
      </c>
      <c r="AH5" s="84" t="str">
        <f t="shared" si="6"/>
        <v>PL_0_CR_0_AD_0_Jira_0_</v>
      </c>
      <c r="AI5" s="84" t="str">
        <f t="shared" si="7"/>
        <v/>
      </c>
      <c r="AJ5" s="84" t="str">
        <f>IF(Z5&lt;&gt;"Done","",(_xlfn.CONCAT("PL_",DigitasUKAdOp_26Team[[#This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" spans="1:36" ht="15.75" customHeight="1" x14ac:dyDescent="0.3">
      <c r="A6" s="85" t="str">
        <f t="shared" si="8"/>
        <v>Jan : Monday</v>
      </c>
      <c r="B6" s="86">
        <v>46034</v>
      </c>
      <c r="C6" s="87" t="s">
        <v>318</v>
      </c>
      <c r="D6" s="88" t="s">
        <v>435</v>
      </c>
      <c r="E6" s="87" t="s">
        <v>428</v>
      </c>
      <c r="F6" s="88" t="s">
        <v>445</v>
      </c>
      <c r="G6" s="88" t="s">
        <v>446</v>
      </c>
      <c r="H6" s="87" t="s">
        <v>269</v>
      </c>
      <c r="I6" s="87" t="s">
        <v>250</v>
      </c>
      <c r="J6" s="88">
        <v>1</v>
      </c>
      <c r="K6" s="88">
        <v>1</v>
      </c>
      <c r="L6" s="88">
        <v>1</v>
      </c>
      <c r="M6" s="89">
        <v>46034</v>
      </c>
      <c r="N6" s="88">
        <v>0.5</v>
      </c>
      <c r="O6" s="90" t="s">
        <v>432</v>
      </c>
      <c r="P6" s="88" t="s">
        <v>438</v>
      </c>
      <c r="Q6" s="91">
        <f t="shared" si="0"/>
        <v>3</v>
      </c>
      <c r="R6" s="91" t="str">
        <f t="shared" si="1"/>
        <v>Jan</v>
      </c>
      <c r="S6" s="92" t="str">
        <f t="shared" si="2"/>
        <v>Monday</v>
      </c>
      <c r="T6" s="93" t="s">
        <v>237</v>
      </c>
      <c r="U6" s="94" t="s">
        <v>433</v>
      </c>
      <c r="W6" s="95">
        <v>0.5</v>
      </c>
      <c r="X6" s="96"/>
      <c r="Y6" s="97">
        <f t="shared" si="3"/>
        <v>46034</v>
      </c>
      <c r="Z6" s="98" t="str">
        <f>SUBSTITUTE('Digitas UK Task 26'!$O6, "Complet", "Not Requir")</f>
        <v>Not Required</v>
      </c>
      <c r="AA6" s="98" t="str">
        <f t="shared" si="4"/>
        <v>WELLA | FY26Q3 SEBASTIAN UK | TAG REQUEST</v>
      </c>
      <c r="AB6" s="99"/>
      <c r="AF6" s="84" t="str">
        <f t="shared" si="5"/>
        <v/>
      </c>
      <c r="AH6" s="84" t="str">
        <f t="shared" si="6"/>
        <v>PL_1_CR_1_AD_1_Jira_0_</v>
      </c>
      <c r="AI6" s="84" t="str">
        <f t="shared" si="7"/>
        <v>PL_1_CR_1_AD_1_Jira_0_</v>
      </c>
      <c r="AJ6" s="84" t="str">
        <f>IF(Z6&lt;&gt;"Done","",(_xlfn.CONCAT("PL_",DigitasUKAdOp_26Team[[#This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" spans="1:36" ht="15.75" customHeight="1" x14ac:dyDescent="0.3">
      <c r="A7" s="85" t="str">
        <f t="shared" si="8"/>
        <v>Jan : Monday</v>
      </c>
      <c r="B7" s="86">
        <v>46034</v>
      </c>
      <c r="C7" s="87" t="s">
        <v>338</v>
      </c>
      <c r="D7" s="88" t="s">
        <v>440</v>
      </c>
      <c r="E7" s="87" t="s">
        <v>428</v>
      </c>
      <c r="F7" s="88" t="s">
        <v>441</v>
      </c>
      <c r="G7" s="88" t="s">
        <v>442</v>
      </c>
      <c r="H7" s="87" t="s">
        <v>443</v>
      </c>
      <c r="I7" s="87" t="s">
        <v>237</v>
      </c>
      <c r="J7" s="88">
        <v>0</v>
      </c>
      <c r="K7" s="88">
        <v>0</v>
      </c>
      <c r="L7" s="88">
        <v>0</v>
      </c>
      <c r="M7" s="89">
        <v>46034</v>
      </c>
      <c r="N7" s="88">
        <v>1</v>
      </c>
      <c r="O7" s="90" t="s">
        <v>432</v>
      </c>
      <c r="Q7" s="91">
        <f t="shared" si="0"/>
        <v>3</v>
      </c>
      <c r="R7" s="91" t="str">
        <f t="shared" si="1"/>
        <v>Jan</v>
      </c>
      <c r="S7" s="92" t="str">
        <f t="shared" si="2"/>
        <v>Monday</v>
      </c>
      <c r="T7" s="93" t="s">
        <v>237</v>
      </c>
      <c r="U7" s="94" t="s">
        <v>444</v>
      </c>
      <c r="W7" s="95">
        <v>0</v>
      </c>
      <c r="X7" s="96"/>
      <c r="Y7" s="97">
        <f t="shared" si="3"/>
        <v>46034</v>
      </c>
      <c r="Z7" s="98" t="str">
        <f>SUBSTITUTE('Digitas UK Task 26'!$O7, "Complet", "Not Requir")</f>
        <v>Not Required</v>
      </c>
      <c r="AA7" s="98" t="str">
        <f t="shared" si="4"/>
        <v>BAVARIAN NORDICS | VIMKUNYA | DOCEREE | UK | TRAFFICKING SHEET - AB TESTING</v>
      </c>
      <c r="AB7" s="99"/>
      <c r="AF7" s="84" t="str">
        <f t="shared" si="5"/>
        <v/>
      </c>
      <c r="AH7" s="84" t="str">
        <f t="shared" si="6"/>
        <v>PL_0_CR_0_AD_0_Jira_0_</v>
      </c>
      <c r="AI7" s="84" t="str">
        <f t="shared" si="7"/>
        <v/>
      </c>
      <c r="AJ7" s="84" t="str">
        <f>IF(Z7&lt;&gt;"Done","",(_xlfn.CONCAT("PL_",DigitasUKAdOp_26Team[[#This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8" spans="1:36" ht="15.75" customHeight="1" x14ac:dyDescent="0.3">
      <c r="A8" s="85" t="str">
        <f t="shared" si="8"/>
        <v>Jan : Monday</v>
      </c>
      <c r="B8" s="86">
        <v>46034</v>
      </c>
      <c r="C8" s="87" t="s">
        <v>338</v>
      </c>
      <c r="D8" s="88" t="s">
        <v>440</v>
      </c>
      <c r="E8" s="87" t="s">
        <v>428</v>
      </c>
      <c r="F8" s="88" t="s">
        <v>441</v>
      </c>
      <c r="G8" s="88" t="s">
        <v>442</v>
      </c>
      <c r="H8" s="87" t="s">
        <v>269</v>
      </c>
      <c r="I8" s="87" t="s">
        <v>237</v>
      </c>
      <c r="J8" s="88">
        <v>2</v>
      </c>
      <c r="K8" s="88">
        <v>2</v>
      </c>
      <c r="L8" s="88">
        <v>2</v>
      </c>
      <c r="M8" s="89">
        <v>46034</v>
      </c>
      <c r="N8" s="88">
        <v>0.5</v>
      </c>
      <c r="O8" s="90" t="s">
        <v>432</v>
      </c>
      <c r="Q8" s="91">
        <f t="shared" si="0"/>
        <v>3</v>
      </c>
      <c r="R8" s="91" t="str">
        <f t="shared" si="1"/>
        <v>Jan</v>
      </c>
      <c r="S8" s="92" t="str">
        <f t="shared" si="2"/>
        <v>Monday</v>
      </c>
      <c r="T8" s="93" t="s">
        <v>250</v>
      </c>
      <c r="U8" s="94" t="s">
        <v>433</v>
      </c>
      <c r="V8" s="95" t="s">
        <v>447</v>
      </c>
      <c r="W8" s="95">
        <v>0.25</v>
      </c>
      <c r="X8" s="96"/>
      <c r="Y8" s="97">
        <f t="shared" si="3"/>
        <v>46034</v>
      </c>
      <c r="Z8" s="98" t="str">
        <f>SUBSTITUTE('Digitas UK Task 26'!$O8, "Complet", "Not Requir")</f>
        <v>Not Required</v>
      </c>
      <c r="AA8" s="98" t="str">
        <f t="shared" si="4"/>
        <v>BAVARIAN NORDICS | VIMKUNYA | DOCEREE | UK | TRAFFICKING SHEET - AB TESTING</v>
      </c>
      <c r="AB8" s="99"/>
      <c r="AF8" s="84" t="str">
        <f t="shared" si="5"/>
        <v/>
      </c>
      <c r="AH8" s="84" t="str">
        <f t="shared" si="6"/>
        <v>PL_2_CR_2_AD_2_Jira_0_</v>
      </c>
      <c r="AI8" s="84" t="str">
        <f t="shared" si="7"/>
        <v>PL_2_CR_2_AD_2_Jira_0_</v>
      </c>
      <c r="AJ8" s="84" t="str">
        <f>IF(Z8&lt;&gt;"Done","",(_xlfn.CONCAT("PL_",DigitasUKAdOp_26Team[[#This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9" spans="1:36" ht="15.75" customHeight="1" x14ac:dyDescent="0.3">
      <c r="A9" s="85" t="str">
        <f t="shared" si="8"/>
        <v>Jan : Tuesday</v>
      </c>
      <c r="B9" s="86">
        <v>46035</v>
      </c>
      <c r="C9" s="87" t="s">
        <v>318</v>
      </c>
      <c r="D9" s="88" t="s">
        <v>448</v>
      </c>
      <c r="E9" s="87" t="s">
        <v>428</v>
      </c>
      <c r="F9" s="88" t="s">
        <v>449</v>
      </c>
      <c r="G9" s="88" t="s">
        <v>450</v>
      </c>
      <c r="H9" s="87" t="s">
        <v>451</v>
      </c>
      <c r="I9" s="87" t="s">
        <v>250</v>
      </c>
      <c r="J9" s="88">
        <v>0</v>
      </c>
      <c r="K9" s="88">
        <v>0</v>
      </c>
      <c r="L9" s="88">
        <v>0</v>
      </c>
      <c r="M9" s="89">
        <v>46035</v>
      </c>
      <c r="N9" s="88">
        <v>0.5</v>
      </c>
      <c r="O9" s="90" t="s">
        <v>432</v>
      </c>
      <c r="Q9" s="91">
        <f t="shared" si="0"/>
        <v>3</v>
      </c>
      <c r="R9" s="91" t="str">
        <f t="shared" si="1"/>
        <v>Jan</v>
      </c>
      <c r="S9" s="92" t="str">
        <f t="shared" si="2"/>
        <v>Tuesday</v>
      </c>
      <c r="T9" s="93" t="s">
        <v>250</v>
      </c>
      <c r="U9" s="94" t="s">
        <v>444</v>
      </c>
      <c r="W9" s="95">
        <v>0</v>
      </c>
      <c r="X9" s="96"/>
      <c r="Y9" s="97">
        <f t="shared" si="3"/>
        <v>46035</v>
      </c>
      <c r="Z9" s="98" t="str">
        <f>SUBSTITUTE('Digitas UK Task 26'!$O9, "Complet", "Not Requir")</f>
        <v>Not Required</v>
      </c>
      <c r="AA9" s="98" t="str">
        <f t="shared" si="4"/>
        <v>NA</v>
      </c>
      <c r="AB9" s="99"/>
      <c r="AF9" s="84" t="str">
        <f t="shared" si="5"/>
        <v/>
      </c>
      <c r="AH9" s="84" t="str">
        <f t="shared" si="6"/>
        <v>PL_0_CR_0_AD_0_Jira_0_</v>
      </c>
      <c r="AI9" s="84" t="str">
        <f t="shared" si="7"/>
        <v/>
      </c>
      <c r="AJ9" s="84" t="str">
        <f>IF(Z9&lt;&gt;"Done","",(_xlfn.CONCAT("PL_",DigitasUKAdOp_26Team[[#This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0" spans="1:36" ht="15.75" customHeight="1" x14ac:dyDescent="0.3">
      <c r="A10" s="85" t="str">
        <f t="shared" si="8"/>
        <v>Jan : Wednesday</v>
      </c>
      <c r="B10" s="86">
        <v>46036</v>
      </c>
      <c r="C10" s="87" t="s">
        <v>344</v>
      </c>
      <c r="D10" s="88" t="s">
        <v>452</v>
      </c>
      <c r="E10" s="87" t="s">
        <v>428</v>
      </c>
      <c r="F10" s="88" t="s">
        <v>453</v>
      </c>
      <c r="G10" s="88" t="s">
        <v>454</v>
      </c>
      <c r="H10" s="87" t="s">
        <v>269</v>
      </c>
      <c r="I10" s="87" t="s">
        <v>246</v>
      </c>
      <c r="J10" s="88">
        <v>20</v>
      </c>
      <c r="K10" s="88">
        <v>20</v>
      </c>
      <c r="L10" s="88">
        <v>20</v>
      </c>
      <c r="M10" s="89">
        <v>46036</v>
      </c>
      <c r="N10" s="88">
        <v>1</v>
      </c>
      <c r="O10" s="90" t="s">
        <v>432</v>
      </c>
      <c r="Q10" s="91">
        <f t="shared" si="0"/>
        <v>3</v>
      </c>
      <c r="R10" s="91" t="str">
        <f t="shared" si="1"/>
        <v>Jan</v>
      </c>
      <c r="S10" s="92" t="str">
        <f t="shared" si="2"/>
        <v>Wednesday</v>
      </c>
      <c r="T10" s="93" t="s">
        <v>237</v>
      </c>
      <c r="U10" s="94" t="s">
        <v>433</v>
      </c>
      <c r="V10" s="95" t="s">
        <v>455</v>
      </c>
      <c r="W10" s="95">
        <v>1</v>
      </c>
      <c r="X10" s="96"/>
      <c r="Y10" s="97">
        <f t="shared" si="3"/>
        <v>46036</v>
      </c>
      <c r="Z10" s="98" t="str">
        <f>SUBSTITUTE('Digitas UK Task 26'!$O10, "Complet", "Not Requir")</f>
        <v>Not Required</v>
      </c>
      <c r="AA10" s="98" t="str">
        <f t="shared" si="4"/>
        <v>FW: Digitas x Monzo | Tagging support</v>
      </c>
      <c r="AB10" s="99"/>
      <c r="AF10" s="84" t="str">
        <f t="shared" si="5"/>
        <v/>
      </c>
      <c r="AH10" s="84" t="str">
        <f t="shared" si="6"/>
        <v>PL_20_CR_20_AD_20_Jira_0_</v>
      </c>
      <c r="AI10" s="84" t="str">
        <f t="shared" si="7"/>
        <v>PL_20_CR_20_AD_20_Jira_0_</v>
      </c>
      <c r="AJ10" s="84" t="str">
        <f>IF(Z10&lt;&gt;"Done","",(_xlfn.CONCAT("PL_",DigitasUKAdOp_26Team[[#This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1" spans="1:36" ht="15.75" customHeight="1" x14ac:dyDescent="0.3">
      <c r="A11" s="85" t="str">
        <f t="shared" si="8"/>
        <v>Jan : Wednesday</v>
      </c>
      <c r="B11" s="86">
        <v>46036</v>
      </c>
      <c r="C11" s="87" t="s">
        <v>344</v>
      </c>
      <c r="D11" s="88" t="s">
        <v>452</v>
      </c>
      <c r="E11" s="87" t="s">
        <v>428</v>
      </c>
      <c r="F11" s="88" t="s">
        <v>456</v>
      </c>
      <c r="G11" s="88" t="s">
        <v>454</v>
      </c>
      <c r="H11" s="87" t="s">
        <v>269</v>
      </c>
      <c r="I11" s="87" t="s">
        <v>246</v>
      </c>
      <c r="J11" s="88">
        <v>20</v>
      </c>
      <c r="K11" s="88">
        <v>20</v>
      </c>
      <c r="L11" s="88">
        <v>20</v>
      </c>
      <c r="M11" s="89">
        <v>46036</v>
      </c>
      <c r="N11" s="88">
        <v>1</v>
      </c>
      <c r="O11" s="90" t="s">
        <v>432</v>
      </c>
      <c r="Q11" s="91">
        <f t="shared" si="0"/>
        <v>3</v>
      </c>
      <c r="R11" s="91" t="str">
        <f t="shared" si="1"/>
        <v>Jan</v>
      </c>
      <c r="S11" s="92" t="str">
        <f t="shared" si="2"/>
        <v>Wednesday</v>
      </c>
      <c r="T11" s="93" t="s">
        <v>237</v>
      </c>
      <c r="U11" s="94" t="s">
        <v>433</v>
      </c>
      <c r="V11" s="95" t="s">
        <v>455</v>
      </c>
      <c r="W11" s="95">
        <v>1</v>
      </c>
      <c r="X11" s="96"/>
      <c r="Y11" s="97">
        <f t="shared" si="3"/>
        <v>46036</v>
      </c>
      <c r="Z11" s="98" t="str">
        <f>SUBSTITUTE('Digitas UK Task 26'!$O11, "Complet", "Not Requir")</f>
        <v>Not Required</v>
      </c>
      <c r="AA11" s="98" t="str">
        <f t="shared" si="4"/>
        <v>FW: Digitas x Monzo | Tagging support</v>
      </c>
      <c r="AB11" s="99"/>
      <c r="AF11" s="84" t="str">
        <f t="shared" si="5"/>
        <v/>
      </c>
      <c r="AH11" s="84" t="str">
        <f t="shared" si="6"/>
        <v>PL_20_CR_20_AD_20_Jira_0_</v>
      </c>
      <c r="AI11" s="84" t="str">
        <f t="shared" si="7"/>
        <v>PL_20_CR_20_AD_20_Jira_0_</v>
      </c>
      <c r="AJ11" s="84" t="str">
        <f>IF(Z11&lt;&gt;"Done","",(_xlfn.CONCAT("PL_",DigitasUKAdOp_26Team[[#This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2" spans="1:36" ht="15.75" customHeight="1" x14ac:dyDescent="0.3">
      <c r="A12" s="85" t="str">
        <f t="shared" si="8"/>
        <v>Jan : Wednesday</v>
      </c>
      <c r="B12" s="86">
        <v>46036</v>
      </c>
      <c r="C12" s="87" t="s">
        <v>344</v>
      </c>
      <c r="D12" s="88" t="s">
        <v>452</v>
      </c>
      <c r="E12" s="87" t="s">
        <v>428</v>
      </c>
      <c r="F12" s="88" t="s">
        <v>457</v>
      </c>
      <c r="G12" s="88" t="s">
        <v>454</v>
      </c>
      <c r="H12" s="87" t="s">
        <v>269</v>
      </c>
      <c r="I12" s="87" t="s">
        <v>246</v>
      </c>
      <c r="J12" s="88">
        <v>20</v>
      </c>
      <c r="K12" s="88">
        <v>20</v>
      </c>
      <c r="L12" s="88">
        <v>20</v>
      </c>
      <c r="M12" s="89">
        <v>46036</v>
      </c>
      <c r="N12" s="88">
        <v>1</v>
      </c>
      <c r="O12" s="90" t="s">
        <v>432</v>
      </c>
      <c r="Q12" s="91">
        <f t="shared" si="0"/>
        <v>3</v>
      </c>
      <c r="R12" s="91" t="str">
        <f t="shared" si="1"/>
        <v>Jan</v>
      </c>
      <c r="S12" s="92" t="str">
        <f t="shared" si="2"/>
        <v>Wednesday</v>
      </c>
      <c r="T12" s="93" t="s">
        <v>237</v>
      </c>
      <c r="U12" s="94" t="s">
        <v>433</v>
      </c>
      <c r="V12" s="95" t="s">
        <v>455</v>
      </c>
      <c r="W12" s="95">
        <v>1</v>
      </c>
      <c r="X12" s="96"/>
      <c r="Y12" s="97">
        <f t="shared" si="3"/>
        <v>46036</v>
      </c>
      <c r="Z12" s="98" t="str">
        <f>SUBSTITUTE('Digitas UK Task 26'!$O12, "Complet", "Not Requir")</f>
        <v>Not Required</v>
      </c>
      <c r="AA12" s="98" t="str">
        <f t="shared" si="4"/>
        <v>FW: Digitas x Monzo | Tagging support</v>
      </c>
      <c r="AB12" s="99"/>
      <c r="AF12" s="84" t="str">
        <f t="shared" si="5"/>
        <v/>
      </c>
      <c r="AH12" s="84" t="str">
        <f t="shared" si="6"/>
        <v>PL_20_CR_20_AD_20_Jira_0_</v>
      </c>
      <c r="AI12" s="84" t="str">
        <f t="shared" si="7"/>
        <v>PL_20_CR_20_AD_20_Jira_0_</v>
      </c>
      <c r="AJ12" s="84" t="str">
        <f>IF(Z12&lt;&gt;"Done","",(_xlfn.CONCAT("PL_",DigitasUKAdOp_26Team[[#This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3" spans="1:36" ht="15.75" customHeight="1" x14ac:dyDescent="0.3">
      <c r="A13" s="85" t="str">
        <f t="shared" si="8"/>
        <v>Jan : Wednesday</v>
      </c>
      <c r="B13" s="86">
        <v>46036</v>
      </c>
      <c r="C13" s="87" t="s">
        <v>344</v>
      </c>
      <c r="D13" s="88" t="s">
        <v>452</v>
      </c>
      <c r="E13" s="87" t="s">
        <v>428</v>
      </c>
      <c r="F13" s="88" t="s">
        <v>458</v>
      </c>
      <c r="G13" s="88" t="s">
        <v>454</v>
      </c>
      <c r="H13" s="87" t="s">
        <v>269</v>
      </c>
      <c r="I13" s="87" t="s">
        <v>246</v>
      </c>
      <c r="J13" s="88">
        <v>20</v>
      </c>
      <c r="K13" s="88">
        <v>20</v>
      </c>
      <c r="L13" s="88">
        <v>20</v>
      </c>
      <c r="M13" s="89">
        <v>46036</v>
      </c>
      <c r="N13" s="88">
        <v>1</v>
      </c>
      <c r="O13" s="90" t="s">
        <v>432</v>
      </c>
      <c r="Q13" s="91">
        <f t="shared" si="0"/>
        <v>3</v>
      </c>
      <c r="R13" s="91" t="str">
        <f t="shared" si="1"/>
        <v>Jan</v>
      </c>
      <c r="S13" s="92" t="str">
        <f t="shared" si="2"/>
        <v>Wednesday</v>
      </c>
      <c r="T13" s="93" t="s">
        <v>237</v>
      </c>
      <c r="U13" s="94" t="s">
        <v>433</v>
      </c>
      <c r="V13" s="95" t="s">
        <v>455</v>
      </c>
      <c r="W13" s="95">
        <v>1</v>
      </c>
      <c r="X13" s="96"/>
      <c r="Y13" s="97">
        <f t="shared" si="3"/>
        <v>46036</v>
      </c>
      <c r="Z13" s="98" t="str">
        <f>SUBSTITUTE('Digitas UK Task 26'!$O13, "Complet", "Not Requir")</f>
        <v>Not Required</v>
      </c>
      <c r="AA13" s="98" t="str">
        <f t="shared" si="4"/>
        <v>FW: Digitas x Monzo | Tagging support</v>
      </c>
      <c r="AB13" s="99"/>
      <c r="AF13" s="84" t="str">
        <f t="shared" si="5"/>
        <v/>
      </c>
      <c r="AH13" s="84" t="str">
        <f t="shared" si="6"/>
        <v>PL_20_CR_20_AD_20_Jira_0_</v>
      </c>
      <c r="AI13" s="84" t="str">
        <f t="shared" si="7"/>
        <v>PL_20_CR_20_AD_20_Jira_0_</v>
      </c>
      <c r="AJ13" s="84" t="str">
        <f>IF(Z13&lt;&gt;"Done","",(_xlfn.CONCAT("PL_",DigitasUKAdOp_26Team[[#This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4" spans="1:36" ht="15.75" customHeight="1" x14ac:dyDescent="0.3">
      <c r="A14" s="85" t="str">
        <f t="shared" si="8"/>
        <v>Jan : Wednesday</v>
      </c>
      <c r="B14" s="86">
        <v>46036</v>
      </c>
      <c r="C14" s="87" t="s">
        <v>344</v>
      </c>
      <c r="D14" s="88" t="s">
        <v>452</v>
      </c>
      <c r="E14" s="87" t="s">
        <v>428</v>
      </c>
      <c r="F14" s="88" t="s">
        <v>459</v>
      </c>
      <c r="G14" s="88" t="s">
        <v>460</v>
      </c>
      <c r="H14" s="87" t="s">
        <v>269</v>
      </c>
      <c r="I14" s="87" t="s">
        <v>237</v>
      </c>
      <c r="J14" s="88">
        <v>20</v>
      </c>
      <c r="K14" s="88">
        <v>20</v>
      </c>
      <c r="L14" s="88">
        <v>20</v>
      </c>
      <c r="M14" s="89">
        <v>46041</v>
      </c>
      <c r="N14" s="88">
        <v>2</v>
      </c>
      <c r="O14" s="90" t="s">
        <v>432</v>
      </c>
      <c r="Q14" s="91">
        <f t="shared" si="0"/>
        <v>3</v>
      </c>
      <c r="R14" s="91" t="str">
        <f t="shared" si="1"/>
        <v>Jan</v>
      </c>
      <c r="S14" s="92" t="str">
        <f t="shared" si="2"/>
        <v>Wednesday</v>
      </c>
      <c r="T14" s="93" t="s">
        <v>250</v>
      </c>
      <c r="U14" s="94" t="s">
        <v>433</v>
      </c>
      <c r="W14" s="95">
        <v>1</v>
      </c>
      <c r="X14" s="96"/>
      <c r="Y14" s="97">
        <f t="shared" si="3"/>
        <v>46041</v>
      </c>
      <c r="Z14" s="98" t="str">
        <f>SUBSTITUTE('Digitas UK Task 26'!$O14, "Complet", "Not Requir")</f>
        <v>Not Required</v>
      </c>
      <c r="AA14" s="98" t="str">
        <f t="shared" si="4"/>
        <v>RE: Digitas x Monzo | Tagging support I Radio</v>
      </c>
      <c r="AB14" s="99"/>
      <c r="AF14" s="84" t="str">
        <f t="shared" si="5"/>
        <v/>
      </c>
      <c r="AH14" s="84" t="str">
        <f t="shared" si="6"/>
        <v>PL_20_CR_20_AD_20_Jira_0_</v>
      </c>
      <c r="AI14" s="84" t="str">
        <f t="shared" si="7"/>
        <v>PL_20_CR_20_AD_20_Jira_0_</v>
      </c>
      <c r="AJ14" s="84" t="str">
        <f>IF(Z14&lt;&gt;"Done","",(_xlfn.CONCAT("PL_",DigitasUKAdOp_26Team[[#This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5" spans="1:36" ht="15.75" customHeight="1" x14ac:dyDescent="0.3">
      <c r="A15" s="85" t="str">
        <f t="shared" si="8"/>
        <v>Jan : Wednesday</v>
      </c>
      <c r="B15" s="86">
        <v>46036</v>
      </c>
      <c r="C15" s="87" t="s">
        <v>318</v>
      </c>
      <c r="D15" s="88" t="s">
        <v>435</v>
      </c>
      <c r="E15" s="87" t="s">
        <v>428</v>
      </c>
      <c r="F15" s="88" t="s">
        <v>461</v>
      </c>
      <c r="G15" s="88" t="s">
        <v>462</v>
      </c>
      <c r="H15" s="87" t="s">
        <v>269</v>
      </c>
      <c r="I15" s="87" t="s">
        <v>250</v>
      </c>
      <c r="J15" s="88">
        <v>25</v>
      </c>
      <c r="K15" s="88">
        <v>25</v>
      </c>
      <c r="L15" s="88">
        <v>25</v>
      </c>
      <c r="M15" s="89">
        <v>46036</v>
      </c>
      <c r="N15" s="88">
        <v>2</v>
      </c>
      <c r="O15" s="90" t="s">
        <v>432</v>
      </c>
      <c r="Q15" s="91">
        <f t="shared" si="0"/>
        <v>3</v>
      </c>
      <c r="R15" s="91" t="str">
        <f t="shared" si="1"/>
        <v>Jan</v>
      </c>
      <c r="S15" s="92" t="str">
        <f t="shared" si="2"/>
        <v>Wednesday</v>
      </c>
      <c r="T15" s="93" t="s">
        <v>237</v>
      </c>
      <c r="U15" s="94" t="s">
        <v>433</v>
      </c>
      <c r="W15" s="95">
        <v>1</v>
      </c>
      <c r="X15" s="96"/>
      <c r="Y15" s="97">
        <f t="shared" si="3"/>
        <v>46036</v>
      </c>
      <c r="Z15" s="98" t="str">
        <f>SUBSTITUTE('Digitas UK Task 26'!$O15, "Complet", "Not Requir")</f>
        <v>Not Required</v>
      </c>
      <c r="AA15" s="98" t="str">
        <f t="shared" si="4"/>
        <v>RE: WELLA | FY26Q3 ULTIMATE COLOR UK | TAG REQUEST</v>
      </c>
      <c r="AB15" s="99"/>
      <c r="AF15" s="84" t="str">
        <f t="shared" si="5"/>
        <v/>
      </c>
      <c r="AH15" s="84" t="str">
        <f t="shared" si="6"/>
        <v>PL_25_CR_25_AD_25_Jira_0_</v>
      </c>
      <c r="AI15" s="84" t="str">
        <f t="shared" si="7"/>
        <v>PL_25_CR_25_AD_25_Jira_0_</v>
      </c>
      <c r="AJ15" s="84" t="str">
        <f>IF(Z15&lt;&gt;"Done","",(_xlfn.CONCAT("PL_",DigitasUKAdOp_26Team[[#This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6" spans="1:36" ht="15.75" customHeight="1" x14ac:dyDescent="0.3">
      <c r="A16" s="85" t="str">
        <f t="shared" ref="A16:A17" si="9">IF(B16="","",TEXT(B16,"MMM : DDDD"))</f>
        <v>Jan : Wednesday</v>
      </c>
      <c r="B16" s="86">
        <v>46036</v>
      </c>
      <c r="C16" s="87" t="s">
        <v>318</v>
      </c>
      <c r="D16" s="88" t="s">
        <v>435</v>
      </c>
      <c r="E16" s="87" t="s">
        <v>428</v>
      </c>
      <c r="F16" s="88" t="s">
        <v>461</v>
      </c>
      <c r="G16" s="88" t="s">
        <v>462</v>
      </c>
      <c r="H16" s="87" t="s">
        <v>443</v>
      </c>
      <c r="I16" s="87" t="s">
        <v>250</v>
      </c>
      <c r="J16" s="88">
        <v>0</v>
      </c>
      <c r="K16" s="88">
        <v>0</v>
      </c>
      <c r="L16" s="88">
        <v>0</v>
      </c>
      <c r="M16" s="89">
        <v>46036</v>
      </c>
      <c r="N16" s="88">
        <v>1</v>
      </c>
      <c r="O16" s="90" t="s">
        <v>432</v>
      </c>
      <c r="Q16" s="91">
        <f t="shared" si="0"/>
        <v>3</v>
      </c>
      <c r="R16" s="91" t="str">
        <f t="shared" si="1"/>
        <v>Jan</v>
      </c>
      <c r="S16" s="92" t="str">
        <f t="shared" si="2"/>
        <v>Wednesday</v>
      </c>
      <c r="T16" s="93" t="s">
        <v>250</v>
      </c>
      <c r="U16" s="94" t="s">
        <v>444</v>
      </c>
      <c r="W16" s="95">
        <v>0</v>
      </c>
      <c r="X16" s="96"/>
      <c r="Y16" s="97">
        <f t="shared" si="3"/>
        <v>46036</v>
      </c>
      <c r="Z16" s="98" t="str">
        <f>SUBSTITUTE('Digitas UK Task 26'!$O16, "Complet", "Not Requir")</f>
        <v>Not Required</v>
      </c>
      <c r="AA16" s="98" t="str">
        <f t="shared" si="4"/>
        <v>RE: WELLA | FY26Q3 ULTIMATE COLOR UK | TAG REQUEST</v>
      </c>
      <c r="AB16" s="99"/>
      <c r="AF16" s="84" t="str">
        <f t="shared" si="5"/>
        <v/>
      </c>
      <c r="AH16" s="84" t="str">
        <f t="shared" si="6"/>
        <v>PL_0_CR_0_AD_0_Jira_0_</v>
      </c>
      <c r="AI16" s="84" t="str">
        <f t="shared" si="7"/>
        <v/>
      </c>
      <c r="AJ16" s="84" t="str">
        <f>IF(Z16&lt;&gt;"Done","",(_xlfn.CONCAT("PL_",DigitasUKAdOp_26Team[[#This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7" spans="1:36" ht="15.75" customHeight="1" x14ac:dyDescent="0.3">
      <c r="A17" s="85" t="str">
        <f t="shared" si="9"/>
        <v>Jan : Wednesday</v>
      </c>
      <c r="B17" s="86">
        <v>46036</v>
      </c>
      <c r="C17" s="87" t="s">
        <v>344</v>
      </c>
      <c r="D17" s="88" t="s">
        <v>452</v>
      </c>
      <c r="E17" s="87" t="s">
        <v>428</v>
      </c>
      <c r="F17" s="88" t="s">
        <v>458</v>
      </c>
      <c r="G17" s="88" t="s">
        <v>454</v>
      </c>
      <c r="H17" s="87" t="s">
        <v>443</v>
      </c>
      <c r="I17" s="87" t="s">
        <v>237</v>
      </c>
      <c r="J17" s="88">
        <v>0</v>
      </c>
      <c r="K17" s="88">
        <v>0</v>
      </c>
      <c r="L17" s="88">
        <v>0</v>
      </c>
      <c r="M17" s="89">
        <v>46036</v>
      </c>
      <c r="N17" s="88">
        <v>1</v>
      </c>
      <c r="O17" s="90" t="s">
        <v>432</v>
      </c>
      <c r="Q17" s="91">
        <f t="shared" si="0"/>
        <v>3</v>
      </c>
      <c r="R17" s="91" t="str">
        <f t="shared" si="1"/>
        <v>Jan</v>
      </c>
      <c r="S17" s="92" t="str">
        <f t="shared" si="2"/>
        <v>Wednesday</v>
      </c>
      <c r="T17" s="93" t="s">
        <v>237</v>
      </c>
      <c r="U17" s="94" t="s">
        <v>444</v>
      </c>
      <c r="W17" s="95">
        <v>0</v>
      </c>
      <c r="X17" s="96"/>
      <c r="Y17" s="97">
        <f t="shared" si="3"/>
        <v>46036</v>
      </c>
      <c r="Z17" s="98" t="str">
        <f>SUBSTITUTE('Digitas UK Task 26'!$O17, "Complet", "Not Requir")</f>
        <v>Not Required</v>
      </c>
      <c r="AA17" s="98" t="str">
        <f t="shared" si="4"/>
        <v>FW: Digitas x Monzo | Tagging support</v>
      </c>
      <c r="AB17" s="99"/>
      <c r="AF17" s="84" t="str">
        <f t="shared" si="5"/>
        <v/>
      </c>
      <c r="AH17" s="84" t="str">
        <f t="shared" si="6"/>
        <v>PL_0_CR_0_AD_0_Jira_0_</v>
      </c>
      <c r="AI17" s="84" t="str">
        <f t="shared" si="7"/>
        <v/>
      </c>
      <c r="AJ17" s="84" t="str">
        <f>IF(Z17&lt;&gt;"Done","",(_xlfn.CONCAT("PL_",DigitasUKAdOp_26Team[[#This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8" spans="1:36" ht="15.75" customHeight="1" x14ac:dyDescent="0.3">
      <c r="A18" s="85" t="str">
        <f t="shared" si="8"/>
        <v>Jan : Wednesday</v>
      </c>
      <c r="B18" s="86">
        <v>46036</v>
      </c>
      <c r="C18" s="87" t="s">
        <v>318</v>
      </c>
      <c r="D18" s="88" t="s">
        <v>435</v>
      </c>
      <c r="E18" s="87" t="s">
        <v>428</v>
      </c>
      <c r="F18" s="88" t="s">
        <v>439</v>
      </c>
      <c r="G18" s="88" t="s">
        <v>462</v>
      </c>
      <c r="H18" s="87" t="s">
        <v>269</v>
      </c>
      <c r="I18" s="87" t="s">
        <v>431</v>
      </c>
      <c r="J18" s="88">
        <v>10</v>
      </c>
      <c r="K18" s="88">
        <v>10</v>
      </c>
      <c r="L18" s="88">
        <v>10</v>
      </c>
      <c r="M18" s="89">
        <v>46036</v>
      </c>
      <c r="N18" s="88">
        <v>0.5</v>
      </c>
      <c r="O18" s="90" t="s">
        <v>432</v>
      </c>
      <c r="Q18" s="91">
        <f t="shared" si="0"/>
        <v>3</v>
      </c>
      <c r="R18" s="91" t="str">
        <f t="shared" si="1"/>
        <v>Jan</v>
      </c>
      <c r="S18" s="92" t="str">
        <f t="shared" si="2"/>
        <v>Wednesday</v>
      </c>
      <c r="T18" s="93" t="s">
        <v>250</v>
      </c>
      <c r="U18" s="94" t="s">
        <v>433</v>
      </c>
      <c r="W18" s="95">
        <v>0.25</v>
      </c>
      <c r="X18" s="96"/>
      <c r="Y18" s="97">
        <f t="shared" si="3"/>
        <v>46036</v>
      </c>
      <c r="Z18" s="98" t="str">
        <f>SUBSTITUTE('Digitas UK Task 26'!$O18, "Complet", "Not Requir")</f>
        <v>Not Required</v>
      </c>
      <c r="AA18" s="98" t="str">
        <f t="shared" si="4"/>
        <v>RE: WELLA | FY26Q3 ULTIMATE COLOR UK | TAG REQUEST</v>
      </c>
      <c r="AB18" s="99"/>
      <c r="AF18" s="84" t="str">
        <f t="shared" si="5"/>
        <v/>
      </c>
      <c r="AH18" s="84" t="str">
        <f t="shared" si="6"/>
        <v>PL_10_CR_10_AD_10_Jira_0_</v>
      </c>
      <c r="AI18" s="84" t="str">
        <f t="shared" si="7"/>
        <v>PL_10_CR_10_AD_10_Jira_0_</v>
      </c>
      <c r="AJ18" s="84" t="str">
        <f>IF(Z18&lt;&gt;"Done","",(_xlfn.CONCAT("PL_",DigitasUKAdOp_26Team[[#This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9" spans="1:36" ht="15.75" customHeight="1" x14ac:dyDescent="0.3">
      <c r="A19" s="85" t="str">
        <f t="shared" si="8"/>
        <v>Jan : Wednesday</v>
      </c>
      <c r="B19" s="86">
        <v>46036</v>
      </c>
      <c r="C19" s="87" t="s">
        <v>318</v>
      </c>
      <c r="D19" s="88" t="s">
        <v>435</v>
      </c>
      <c r="E19" s="87" t="s">
        <v>428</v>
      </c>
      <c r="F19" s="88" t="s">
        <v>436</v>
      </c>
      <c r="G19" s="88" t="s">
        <v>462</v>
      </c>
      <c r="H19" s="87" t="s">
        <v>269</v>
      </c>
      <c r="I19" s="87" t="s">
        <v>431</v>
      </c>
      <c r="J19" s="88">
        <v>10</v>
      </c>
      <c r="K19" s="88">
        <v>10</v>
      </c>
      <c r="L19" s="88">
        <v>10</v>
      </c>
      <c r="M19" s="89">
        <v>46036</v>
      </c>
      <c r="N19" s="88">
        <v>0.5</v>
      </c>
      <c r="O19" s="90" t="s">
        <v>432</v>
      </c>
      <c r="Q19" s="91">
        <f t="shared" si="0"/>
        <v>3</v>
      </c>
      <c r="R19" s="91" t="str">
        <f t="shared" si="1"/>
        <v>Jan</v>
      </c>
      <c r="S19" s="92" t="str">
        <f t="shared" si="2"/>
        <v>Wednesday</v>
      </c>
      <c r="T19" s="93" t="s">
        <v>250</v>
      </c>
      <c r="U19" s="94" t="s">
        <v>433</v>
      </c>
      <c r="W19" s="95">
        <v>0.25</v>
      </c>
      <c r="X19" s="96"/>
      <c r="Y19" s="97">
        <f t="shared" ref="Y19:Y84" si="10">IF(M19="","",M19)</f>
        <v>46036</v>
      </c>
      <c r="Z19" s="98" t="str">
        <f>SUBSTITUTE('Digitas UK Task 26'!$O19, "Complet", "Not Requir")</f>
        <v>Not Required</v>
      </c>
      <c r="AA19" s="98" t="str">
        <f t="shared" si="4"/>
        <v>RE: WELLA | FY26Q3 ULTIMATE COLOR UK | TAG REQUEST</v>
      </c>
      <c r="AB19" s="99"/>
      <c r="AF19" s="84" t="str">
        <f t="shared" si="5"/>
        <v/>
      </c>
      <c r="AH19" s="84" t="str">
        <f t="shared" si="6"/>
        <v>PL_10_CR_10_AD_10_Jira_0_</v>
      </c>
      <c r="AI19" s="84" t="str">
        <f t="shared" si="7"/>
        <v>PL_10_CR_10_AD_10_Jira_0_</v>
      </c>
      <c r="AJ19" s="84" t="str">
        <f>IF(Z19&lt;&gt;"Done","",(_xlfn.CONCAT("PL_",DigitasUKAdOp_26Team[[#This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0" spans="1:36" ht="15.75" customHeight="1" x14ac:dyDescent="0.3">
      <c r="A20" s="85" t="str">
        <f t="shared" ref="A20:A21" si="11">IF(B20="","",TEXT(B20,"MMM : DDDD"))</f>
        <v>Jan : Wednesday</v>
      </c>
      <c r="B20" s="86">
        <v>46036</v>
      </c>
      <c r="C20" s="87" t="s">
        <v>344</v>
      </c>
      <c r="D20" s="88" t="s">
        <v>452</v>
      </c>
      <c r="E20" s="87" t="s">
        <v>428</v>
      </c>
      <c r="F20" s="88" t="s">
        <v>458</v>
      </c>
      <c r="G20" s="88" t="s">
        <v>454</v>
      </c>
      <c r="H20" s="87" t="s">
        <v>443</v>
      </c>
      <c r="I20" s="87" t="s">
        <v>246</v>
      </c>
      <c r="J20" s="88">
        <v>0</v>
      </c>
      <c r="K20" s="88">
        <v>0</v>
      </c>
      <c r="L20" s="88">
        <v>0</v>
      </c>
      <c r="M20" s="89">
        <v>46036</v>
      </c>
      <c r="N20" s="88">
        <v>1</v>
      </c>
      <c r="O20" s="90" t="s">
        <v>432</v>
      </c>
      <c r="Q20" s="91">
        <f t="shared" ref="Q20:Q21" si="12">IF(B20="","",WEEKNUM(B20))</f>
        <v>3</v>
      </c>
      <c r="R20" s="91" t="str">
        <f t="shared" ref="R20:R21" si="13">IF(B20="","",TEXT(B20,"MMM"))</f>
        <v>Jan</v>
      </c>
      <c r="S20" s="92" t="str">
        <f t="shared" ref="S20:S21" si="14">IF(B20="","",TEXT(B20,"DDDD"))</f>
        <v>Wednesday</v>
      </c>
      <c r="T20" s="93" t="s">
        <v>246</v>
      </c>
      <c r="U20" s="94" t="s">
        <v>444</v>
      </c>
      <c r="W20" s="95">
        <v>0</v>
      </c>
      <c r="X20" s="96"/>
      <c r="Y20" s="97">
        <f t="shared" si="10"/>
        <v>46036</v>
      </c>
      <c r="Z20" s="98" t="str">
        <f>SUBSTITUTE('Digitas UK Task 26'!$O20, "Complet", "Not Requir")</f>
        <v>Not Required</v>
      </c>
      <c r="AA20" s="98" t="str">
        <f t="shared" ref="AA20:AA21" si="15">IF(G20="","",G20)</f>
        <v>FW: Digitas x Monzo | Tagging support</v>
      </c>
      <c r="AB20" s="99"/>
      <c r="AF20" s="84" t="str">
        <f t="shared" ref="AF20:AF21" si="16">IF(AD20="","",WEEKNUM(AD20))</f>
        <v/>
      </c>
      <c r="AH20" s="84" t="str">
        <f t="shared" si="6"/>
        <v>PL_0_CR_0_AD_0_Jira_0_</v>
      </c>
      <c r="AI20" s="84" t="str">
        <f t="shared" si="7"/>
        <v/>
      </c>
      <c r="AJ20" s="84" t="str">
        <f>IF(Z20&lt;&gt;"Done","",(_xlfn.CONCAT("PL_",DigitasUKAdOp_26Team[[#This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1" spans="1:36" ht="15.75" customHeight="1" x14ac:dyDescent="0.3">
      <c r="A21" s="85" t="str">
        <f t="shared" si="11"/>
        <v>Jan : Wednesday</v>
      </c>
      <c r="B21" s="86">
        <v>46036</v>
      </c>
      <c r="C21" s="87" t="s">
        <v>344</v>
      </c>
      <c r="D21" s="88" t="s">
        <v>452</v>
      </c>
      <c r="E21" s="87" t="s">
        <v>428</v>
      </c>
      <c r="F21" s="88" t="s">
        <v>459</v>
      </c>
      <c r="G21" s="88" t="s">
        <v>460</v>
      </c>
      <c r="H21" s="87" t="s">
        <v>443</v>
      </c>
      <c r="I21" s="87" t="s">
        <v>237</v>
      </c>
      <c r="J21" s="88">
        <v>0</v>
      </c>
      <c r="K21" s="88">
        <v>0</v>
      </c>
      <c r="L21" s="88">
        <v>0</v>
      </c>
      <c r="M21" s="89">
        <v>46041</v>
      </c>
      <c r="N21" s="88">
        <v>2</v>
      </c>
      <c r="O21" s="90" t="s">
        <v>432</v>
      </c>
      <c r="Q21" s="91">
        <f t="shared" si="12"/>
        <v>3</v>
      </c>
      <c r="R21" s="91" t="str">
        <f t="shared" si="13"/>
        <v>Jan</v>
      </c>
      <c r="S21" s="92" t="str">
        <f t="shared" si="14"/>
        <v>Wednesday</v>
      </c>
      <c r="T21" s="93" t="s">
        <v>237</v>
      </c>
      <c r="U21" s="94" t="s">
        <v>444</v>
      </c>
      <c r="W21" s="95">
        <v>0</v>
      </c>
      <c r="X21" s="96"/>
      <c r="Y21" s="97">
        <f t="shared" si="10"/>
        <v>46041</v>
      </c>
      <c r="Z21" s="98" t="str">
        <f>SUBSTITUTE('Digitas UK Task 26'!$O21, "Complet", "Not Requir")</f>
        <v>Not Required</v>
      </c>
      <c r="AA21" s="98" t="str">
        <f t="shared" si="15"/>
        <v>RE: Digitas x Monzo | Tagging support I Radio</v>
      </c>
      <c r="AB21" s="99"/>
      <c r="AF21" s="84" t="str">
        <f t="shared" si="16"/>
        <v/>
      </c>
      <c r="AH21" s="84" t="str">
        <f t="shared" si="6"/>
        <v>PL_0_CR_0_AD_0_Jira_0_</v>
      </c>
      <c r="AI21" s="84" t="str">
        <f t="shared" si="7"/>
        <v/>
      </c>
      <c r="AJ21" s="84" t="str">
        <f>IF(Z21&lt;&gt;"Done","",(_xlfn.CONCAT("PL_",DigitasUKAdOp_26Team[[#This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2" spans="1:36" ht="15.75" customHeight="1" x14ac:dyDescent="0.3">
      <c r="A22" s="85" t="str">
        <f t="shared" ref="A22:A23" si="17">IF(B22="","",TEXT(B22,"MMM : DDDD"))</f>
        <v>Jan : Thursday</v>
      </c>
      <c r="B22" s="86">
        <v>46037</v>
      </c>
      <c r="C22" s="87" t="s">
        <v>344</v>
      </c>
      <c r="D22" s="88" t="s">
        <v>452</v>
      </c>
      <c r="E22" s="87" t="s">
        <v>428</v>
      </c>
      <c r="F22" s="88" t="s">
        <v>459</v>
      </c>
      <c r="G22" s="88" t="s">
        <v>460</v>
      </c>
      <c r="H22" s="87" t="s">
        <v>269</v>
      </c>
      <c r="I22" s="87" t="s">
        <v>237</v>
      </c>
      <c r="J22" s="88">
        <v>20</v>
      </c>
      <c r="K22" s="88">
        <v>20</v>
      </c>
      <c r="L22" s="88">
        <v>20</v>
      </c>
      <c r="M22" s="89">
        <v>46041</v>
      </c>
      <c r="N22" s="88">
        <v>1</v>
      </c>
      <c r="O22" s="90" t="s">
        <v>432</v>
      </c>
      <c r="Q22" s="91">
        <f t="shared" ref="Q22:Q23" si="18">IF(B22="","",WEEKNUM(B22))</f>
        <v>3</v>
      </c>
      <c r="R22" s="91" t="str">
        <f t="shared" ref="R22:R23" si="19">IF(B22="","",TEXT(B22,"MMM"))</f>
        <v>Jan</v>
      </c>
      <c r="S22" s="92" t="str">
        <f t="shared" ref="S22:S23" si="20">IF(B22="","",TEXT(B22,"DDDD"))</f>
        <v>Thursday</v>
      </c>
      <c r="T22" s="93" t="s">
        <v>237</v>
      </c>
      <c r="U22" s="94" t="s">
        <v>444</v>
      </c>
      <c r="W22" s="95">
        <v>0</v>
      </c>
      <c r="X22" s="96"/>
      <c r="Y22" s="97">
        <f t="shared" ref="Y22:Y23" si="21">IF(M22="","",M22)</f>
        <v>46041</v>
      </c>
      <c r="Z22" s="98" t="str">
        <f>SUBSTITUTE('Digitas UK Task 26'!$O22, "Complet", "Not Requir")</f>
        <v>Not Required</v>
      </c>
      <c r="AA22" s="98" t="str">
        <f t="shared" ref="AA22:AA23" si="22">IF(G22="","",G22)</f>
        <v>RE: Digitas x Monzo | Tagging support I Radio</v>
      </c>
      <c r="AB22" s="99"/>
      <c r="AF22" s="84" t="str">
        <f t="shared" ref="AF22:AF23" si="23">IF(AD22="","",WEEKNUM(AD22))</f>
        <v/>
      </c>
      <c r="AH22" s="84" t="str">
        <f t="shared" si="6"/>
        <v>PL_20_CR_20_AD_20_Jira_0_</v>
      </c>
      <c r="AI22" s="84" t="str">
        <f t="shared" si="7"/>
        <v/>
      </c>
      <c r="AJ22" s="84" t="str">
        <f>IF(Z22&lt;&gt;"Done","",(_xlfn.CONCAT("PL_",DigitasUKAdOp_26Team[[#This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3" spans="1:36" ht="15.75" customHeight="1" x14ac:dyDescent="0.3">
      <c r="A23" s="85" t="str">
        <f t="shared" si="17"/>
        <v>Jan : Thursday</v>
      </c>
      <c r="B23" s="86">
        <v>46037</v>
      </c>
      <c r="C23" s="87" t="s">
        <v>344</v>
      </c>
      <c r="D23" s="88" t="s">
        <v>452</v>
      </c>
      <c r="E23" s="87" t="s">
        <v>428</v>
      </c>
      <c r="F23" s="88" t="s">
        <v>459</v>
      </c>
      <c r="G23" s="88" t="s">
        <v>460</v>
      </c>
      <c r="H23" s="87" t="s">
        <v>443</v>
      </c>
      <c r="I23" s="87" t="s">
        <v>237</v>
      </c>
      <c r="J23" s="88">
        <v>0</v>
      </c>
      <c r="K23" s="88">
        <v>0</v>
      </c>
      <c r="L23" s="88">
        <v>0</v>
      </c>
      <c r="M23" s="89">
        <v>46041</v>
      </c>
      <c r="N23" s="88">
        <v>1.5</v>
      </c>
      <c r="O23" s="90" t="s">
        <v>432</v>
      </c>
      <c r="Q23" s="91">
        <f t="shared" si="18"/>
        <v>3</v>
      </c>
      <c r="R23" s="91" t="str">
        <f t="shared" si="19"/>
        <v>Jan</v>
      </c>
      <c r="S23" s="92" t="str">
        <f t="shared" si="20"/>
        <v>Thursday</v>
      </c>
      <c r="T23" s="93" t="s">
        <v>237</v>
      </c>
      <c r="U23" s="94" t="s">
        <v>444</v>
      </c>
      <c r="W23" s="95">
        <v>0</v>
      </c>
      <c r="X23" s="96"/>
      <c r="Y23" s="97">
        <f t="shared" si="21"/>
        <v>46041</v>
      </c>
      <c r="Z23" s="98" t="str">
        <f>SUBSTITUTE('Digitas UK Task 26'!$O23, "Complet", "Not Requir")</f>
        <v>Not Required</v>
      </c>
      <c r="AA23" s="98" t="str">
        <f t="shared" si="22"/>
        <v>RE: Digitas x Monzo | Tagging support I Radio</v>
      </c>
      <c r="AB23" s="99"/>
      <c r="AF23" s="84" t="str">
        <f t="shared" si="23"/>
        <v/>
      </c>
      <c r="AH23" s="84" t="str">
        <f t="shared" si="6"/>
        <v>PL_0_CR_0_AD_0_Jira_0_</v>
      </c>
      <c r="AI23" s="84" t="str">
        <f t="shared" si="7"/>
        <v/>
      </c>
      <c r="AJ23" s="84" t="str">
        <f>IF(Z23&lt;&gt;"Done","",(_xlfn.CONCAT("PL_",DigitasUKAdOp_26Team[[#This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4" spans="1:36" ht="15.75" customHeight="1" x14ac:dyDescent="0.3">
      <c r="A24" s="85" t="str">
        <f t="shared" si="8"/>
        <v>Jan : Thursday</v>
      </c>
      <c r="B24" s="86">
        <v>46037</v>
      </c>
      <c r="C24" s="87" t="s">
        <v>318</v>
      </c>
      <c r="D24" s="88" t="s">
        <v>448</v>
      </c>
      <c r="E24" s="87" t="s">
        <v>428</v>
      </c>
      <c r="F24" s="88" t="s">
        <v>463</v>
      </c>
      <c r="G24" s="88" t="s">
        <v>462</v>
      </c>
      <c r="H24" s="87" t="s">
        <v>269</v>
      </c>
      <c r="I24" s="87" t="s">
        <v>431</v>
      </c>
      <c r="J24" s="88">
        <v>10</v>
      </c>
      <c r="K24" s="88">
        <v>10</v>
      </c>
      <c r="L24" s="88">
        <v>10</v>
      </c>
      <c r="M24" s="89">
        <v>46041</v>
      </c>
      <c r="N24" s="88">
        <v>0.5</v>
      </c>
      <c r="O24" s="90" t="s">
        <v>432</v>
      </c>
      <c r="Q24" s="91">
        <f t="shared" si="0"/>
        <v>3</v>
      </c>
      <c r="R24" s="91" t="str">
        <f t="shared" si="1"/>
        <v>Jan</v>
      </c>
      <c r="S24" s="92" t="str">
        <f t="shared" si="2"/>
        <v>Thursday</v>
      </c>
      <c r="T24" s="93" t="s">
        <v>237</v>
      </c>
      <c r="U24" s="94" t="s">
        <v>433</v>
      </c>
      <c r="V24" s="95" t="s">
        <v>464</v>
      </c>
      <c r="W24" s="95">
        <v>0.5</v>
      </c>
      <c r="X24" s="96"/>
      <c r="Y24" s="97">
        <f t="shared" si="10"/>
        <v>46041</v>
      </c>
      <c r="Z24" s="98" t="str">
        <f>SUBSTITUTE('Digitas UK Task 26'!$O24, "Complet", "Not Requir")</f>
        <v>Not Required</v>
      </c>
      <c r="AA24" s="98" t="str">
        <f t="shared" si="4"/>
        <v>RE: WELLA | FY26Q3 ULTIMATE COLOR UK | TAG REQUEST</v>
      </c>
      <c r="AB24" s="99"/>
      <c r="AF24" s="84" t="str">
        <f t="shared" si="5"/>
        <v/>
      </c>
      <c r="AH24" s="84" t="str">
        <f t="shared" si="6"/>
        <v>PL_10_CR_10_AD_10_Jira_0_</v>
      </c>
      <c r="AI24" s="84" t="str">
        <f t="shared" si="7"/>
        <v>PL_10_CR_10_AD_10_Jira_0_</v>
      </c>
      <c r="AJ24" s="84" t="str">
        <f>IF(Z24&lt;&gt;"Done","",(_xlfn.CONCAT("PL_",DigitasUKAdOp_26Team[[#This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5" spans="1:36" ht="15.75" customHeight="1" x14ac:dyDescent="0.3">
      <c r="A25" s="85" t="str">
        <f t="shared" ref="A25" si="24">IF(B25="","",TEXT(B25,"MMM : DDDD"))</f>
        <v>Jan : Thursday</v>
      </c>
      <c r="B25" s="86">
        <v>46037</v>
      </c>
      <c r="C25" s="87" t="s">
        <v>318</v>
      </c>
      <c r="D25" s="88" t="s">
        <v>448</v>
      </c>
      <c r="E25" s="87" t="s">
        <v>428</v>
      </c>
      <c r="F25" s="88" t="s">
        <v>463</v>
      </c>
      <c r="G25" s="88" t="s">
        <v>462</v>
      </c>
      <c r="H25" s="87" t="s">
        <v>443</v>
      </c>
      <c r="I25" s="87" t="s">
        <v>431</v>
      </c>
      <c r="J25" s="88">
        <v>0</v>
      </c>
      <c r="K25" s="88">
        <v>0</v>
      </c>
      <c r="L25" s="88">
        <v>0</v>
      </c>
      <c r="M25" s="89">
        <v>46041</v>
      </c>
      <c r="N25" s="88">
        <v>0.5</v>
      </c>
      <c r="O25" s="90" t="s">
        <v>432</v>
      </c>
      <c r="Q25" s="91">
        <f t="shared" si="0"/>
        <v>3</v>
      </c>
      <c r="R25" s="91" t="str">
        <f t="shared" si="1"/>
        <v>Jan</v>
      </c>
      <c r="S25" s="92" t="str">
        <f t="shared" si="2"/>
        <v>Thursday</v>
      </c>
      <c r="T25" s="93" t="s">
        <v>431</v>
      </c>
      <c r="U25" s="94" t="s">
        <v>444</v>
      </c>
      <c r="W25" s="95">
        <v>0</v>
      </c>
      <c r="X25" s="96"/>
      <c r="Y25" s="97">
        <f t="shared" si="10"/>
        <v>46041</v>
      </c>
      <c r="Z25" s="98" t="str">
        <f>SUBSTITUTE('Digitas UK Task 26'!$O25, "Complet", "Not Requir")</f>
        <v>Not Required</v>
      </c>
      <c r="AA25" s="98" t="str">
        <f t="shared" si="4"/>
        <v>RE: WELLA | FY26Q3 ULTIMATE COLOR UK | TAG REQUEST</v>
      </c>
      <c r="AB25" s="99"/>
      <c r="AF25" s="84" t="str">
        <f t="shared" si="5"/>
        <v/>
      </c>
      <c r="AH25" s="84" t="str">
        <f t="shared" si="6"/>
        <v>PL_0_CR_0_AD_0_Jira_0_</v>
      </c>
      <c r="AI25" s="84" t="str">
        <f t="shared" si="7"/>
        <v/>
      </c>
      <c r="AJ25" s="84" t="str">
        <f>IF(Z25&lt;&gt;"Done","",(_xlfn.CONCAT("PL_",DigitasUKAdOp_26Team[[#This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6" spans="1:36" ht="15.75" customHeight="1" x14ac:dyDescent="0.3">
      <c r="A26" s="85" t="str">
        <f t="shared" ref="A26:A28" si="25">IF(B26="","",TEXT(B26,"MMM : DDDD"))</f>
        <v>Jan : Thursday</v>
      </c>
      <c r="B26" s="86">
        <v>46037</v>
      </c>
      <c r="C26" s="87" t="s">
        <v>318</v>
      </c>
      <c r="D26" s="88" t="s">
        <v>448</v>
      </c>
      <c r="E26" s="87" t="s">
        <v>428</v>
      </c>
      <c r="F26" s="88" t="s">
        <v>463</v>
      </c>
      <c r="G26" s="88" t="s">
        <v>462</v>
      </c>
      <c r="H26" s="87" t="s">
        <v>443</v>
      </c>
      <c r="I26" s="87" t="s">
        <v>237</v>
      </c>
      <c r="J26" s="88">
        <v>0</v>
      </c>
      <c r="K26" s="88">
        <v>0</v>
      </c>
      <c r="L26" s="88">
        <v>0</v>
      </c>
      <c r="M26" s="89">
        <v>46041</v>
      </c>
      <c r="N26" s="88">
        <v>0.5</v>
      </c>
      <c r="O26" s="90" t="s">
        <v>432</v>
      </c>
      <c r="Q26" s="91">
        <f t="shared" ref="Q26:Q28" si="26">IF(B26="","",WEEKNUM(B26))</f>
        <v>3</v>
      </c>
      <c r="R26" s="91" t="str">
        <f t="shared" ref="R26:R28" si="27">IF(B26="","",TEXT(B26,"MMM"))</f>
        <v>Jan</v>
      </c>
      <c r="S26" s="92" t="str">
        <f t="shared" ref="S26:S28" si="28">IF(B26="","",TEXT(B26,"DDDD"))</f>
        <v>Thursday</v>
      </c>
      <c r="T26" s="93" t="s">
        <v>237</v>
      </c>
      <c r="U26" s="94" t="s">
        <v>444</v>
      </c>
      <c r="W26" s="95">
        <v>0</v>
      </c>
      <c r="X26" s="96"/>
      <c r="Y26" s="97">
        <f t="shared" ref="Y26:Y28" si="29">IF(M26="","",M26)</f>
        <v>46041</v>
      </c>
      <c r="Z26" s="98" t="str">
        <f>SUBSTITUTE('Digitas UK Task 26'!$O26, "Complet", "Not Requir")</f>
        <v>Not Required</v>
      </c>
      <c r="AA26" s="98" t="str">
        <f t="shared" ref="AA26:AA28" si="30">IF(G26="","",G26)</f>
        <v>RE: WELLA | FY26Q3 ULTIMATE COLOR UK | TAG REQUEST</v>
      </c>
      <c r="AB26" s="99"/>
      <c r="AF26" s="84" t="str">
        <f t="shared" ref="AF26:AF28" si="31">IF(AD26="","",WEEKNUM(AD26))</f>
        <v/>
      </c>
      <c r="AH26" s="84" t="str">
        <f t="shared" si="6"/>
        <v>PL_0_CR_0_AD_0_Jira_0_</v>
      </c>
      <c r="AI26" s="84" t="str">
        <f t="shared" si="7"/>
        <v/>
      </c>
      <c r="AJ26" s="84" t="str">
        <f>IF(Z26&lt;&gt;"Done","",(_xlfn.CONCAT("PL_",DigitasUKAdOp_26Team[[#This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7" spans="1:36" ht="15.75" customHeight="1" x14ac:dyDescent="0.3">
      <c r="A27" s="85" t="str">
        <f t="shared" si="25"/>
        <v>Jan : Friday</v>
      </c>
      <c r="B27" s="86">
        <v>46038</v>
      </c>
      <c r="C27" s="87" t="s">
        <v>344</v>
      </c>
      <c r="D27" s="88" t="s">
        <v>452</v>
      </c>
      <c r="E27" s="87" t="s">
        <v>428</v>
      </c>
      <c r="F27" s="88" t="s">
        <v>459</v>
      </c>
      <c r="G27" s="88" t="s">
        <v>460</v>
      </c>
      <c r="H27" s="87" t="s">
        <v>269</v>
      </c>
      <c r="I27" s="87" t="s">
        <v>237</v>
      </c>
      <c r="J27" s="88">
        <v>20</v>
      </c>
      <c r="K27" s="88">
        <v>20</v>
      </c>
      <c r="L27" s="88">
        <v>20</v>
      </c>
      <c r="M27" s="89">
        <v>46041</v>
      </c>
      <c r="N27" s="88">
        <v>1.5</v>
      </c>
      <c r="O27" s="90" t="s">
        <v>432</v>
      </c>
      <c r="Q27" s="91">
        <f t="shared" si="26"/>
        <v>3</v>
      </c>
      <c r="R27" s="91" t="str">
        <f t="shared" si="27"/>
        <v>Jan</v>
      </c>
      <c r="S27" s="92" t="str">
        <f t="shared" si="28"/>
        <v>Friday</v>
      </c>
      <c r="T27" s="93" t="s">
        <v>250</v>
      </c>
      <c r="U27" s="94" t="s">
        <v>433</v>
      </c>
      <c r="W27" s="95">
        <v>0.5</v>
      </c>
      <c r="X27" s="96"/>
      <c r="Y27" s="97">
        <f t="shared" si="29"/>
        <v>46041</v>
      </c>
      <c r="Z27" s="98" t="str">
        <f>SUBSTITUTE('Digitas UK Task 26'!$O27, "Complet", "Not Requir")</f>
        <v>Not Required</v>
      </c>
      <c r="AA27" s="98" t="str">
        <f t="shared" si="30"/>
        <v>RE: Digitas x Monzo | Tagging support I Radio</v>
      </c>
      <c r="AB27" s="99"/>
      <c r="AF27" s="84" t="str">
        <f t="shared" si="31"/>
        <v/>
      </c>
      <c r="AH27" s="84" t="str">
        <f t="shared" si="6"/>
        <v>PL_20_CR_20_AD_20_Jira_0_</v>
      </c>
      <c r="AI27" s="84" t="str">
        <f t="shared" si="7"/>
        <v>PL_20_CR_20_AD_20_Jira_0_</v>
      </c>
      <c r="AJ27" s="84" t="str">
        <f>IF(Z27&lt;&gt;"Done","",(_xlfn.CONCAT("PL_",DigitasUKAdOp_26Team[[#This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8" spans="1:36" ht="15.75" customHeight="1" x14ac:dyDescent="0.3">
      <c r="A28" s="85" t="str">
        <f t="shared" si="25"/>
        <v>Jan : Friday</v>
      </c>
      <c r="B28" s="86">
        <v>46038</v>
      </c>
      <c r="C28" s="87" t="s">
        <v>344</v>
      </c>
      <c r="D28" s="88" t="s">
        <v>452</v>
      </c>
      <c r="E28" s="87" t="s">
        <v>428</v>
      </c>
      <c r="F28" s="88" t="s">
        <v>459</v>
      </c>
      <c r="G28" s="88" t="s">
        <v>460</v>
      </c>
      <c r="H28" s="87" t="s">
        <v>443</v>
      </c>
      <c r="I28" s="87" t="s">
        <v>237</v>
      </c>
      <c r="J28" s="88">
        <v>0</v>
      </c>
      <c r="K28" s="88">
        <v>0</v>
      </c>
      <c r="L28" s="88">
        <v>0</v>
      </c>
      <c r="M28" s="89">
        <v>46041</v>
      </c>
      <c r="N28" s="88">
        <v>1.5</v>
      </c>
      <c r="O28" s="90" t="s">
        <v>432</v>
      </c>
      <c r="Q28" s="91">
        <f t="shared" si="26"/>
        <v>3</v>
      </c>
      <c r="R28" s="91" t="str">
        <f t="shared" si="27"/>
        <v>Jan</v>
      </c>
      <c r="S28" s="92" t="str">
        <f t="shared" si="28"/>
        <v>Friday</v>
      </c>
      <c r="T28" s="93" t="s">
        <v>237</v>
      </c>
      <c r="U28" s="94" t="s">
        <v>444</v>
      </c>
      <c r="W28" s="95">
        <v>0</v>
      </c>
      <c r="X28" s="96"/>
      <c r="Y28" s="97">
        <f t="shared" si="29"/>
        <v>46041</v>
      </c>
      <c r="Z28" s="98" t="str">
        <f>SUBSTITUTE('Digitas UK Task 26'!$O28, "Complet", "Not Requir")</f>
        <v>Not Required</v>
      </c>
      <c r="AA28" s="98" t="str">
        <f t="shared" si="30"/>
        <v>RE: Digitas x Monzo | Tagging support I Radio</v>
      </c>
      <c r="AB28" s="99"/>
      <c r="AF28" s="84" t="str">
        <f t="shared" si="31"/>
        <v/>
      </c>
      <c r="AH28" s="84" t="str">
        <f t="shared" si="6"/>
        <v>PL_0_CR_0_AD_0_Jira_0_</v>
      </c>
      <c r="AI28" s="84" t="str">
        <f t="shared" si="7"/>
        <v/>
      </c>
      <c r="AJ28" s="84" t="str">
        <f>IF(Z28&lt;&gt;"Done","",(_xlfn.CONCAT("PL_",DigitasUKAdOp_26Team[[#This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9" spans="1:36" ht="15.75" customHeight="1" x14ac:dyDescent="0.3">
      <c r="A29" s="85" t="str">
        <f t="shared" si="8"/>
        <v>Jan : Friday</v>
      </c>
      <c r="B29" s="86">
        <v>46038</v>
      </c>
      <c r="C29" s="87" t="s">
        <v>318</v>
      </c>
      <c r="D29" s="88" t="s">
        <v>435</v>
      </c>
      <c r="E29" s="87" t="s">
        <v>428</v>
      </c>
      <c r="F29" s="88" t="s">
        <v>461</v>
      </c>
      <c r="G29" s="88" t="s">
        <v>462</v>
      </c>
      <c r="H29" s="87" t="s">
        <v>269</v>
      </c>
      <c r="I29" s="87" t="s">
        <v>431</v>
      </c>
      <c r="J29" s="88">
        <v>20</v>
      </c>
      <c r="K29" s="88">
        <v>20</v>
      </c>
      <c r="L29" s="88">
        <v>20</v>
      </c>
      <c r="M29" s="89">
        <v>46041</v>
      </c>
      <c r="N29" s="88">
        <v>0.5</v>
      </c>
      <c r="O29" s="90" t="s">
        <v>432</v>
      </c>
      <c r="Q29" s="91">
        <f t="shared" si="0"/>
        <v>3</v>
      </c>
      <c r="R29" s="91" t="str">
        <f t="shared" si="1"/>
        <v>Jan</v>
      </c>
      <c r="S29" s="92" t="str">
        <f t="shared" si="2"/>
        <v>Friday</v>
      </c>
      <c r="T29" s="93" t="s">
        <v>250</v>
      </c>
      <c r="U29" s="94" t="s">
        <v>433</v>
      </c>
      <c r="W29" s="95">
        <v>0.25</v>
      </c>
      <c r="X29" s="96"/>
      <c r="Y29" s="97">
        <f t="shared" si="10"/>
        <v>46041</v>
      </c>
      <c r="Z29" s="98" t="str">
        <f>SUBSTITUTE('Digitas UK Task 26'!$O29, "Complet", "Not Requir")</f>
        <v>Not Required</v>
      </c>
      <c r="AA29" s="98" t="str">
        <f t="shared" si="4"/>
        <v>RE: WELLA | FY26Q3 ULTIMATE COLOR UK | TAG REQUEST</v>
      </c>
      <c r="AB29" s="99"/>
      <c r="AF29" s="84" t="str">
        <f t="shared" si="5"/>
        <v/>
      </c>
      <c r="AH29" s="84" t="str">
        <f t="shared" si="6"/>
        <v>PL_20_CR_20_AD_20_Jira_0_</v>
      </c>
      <c r="AI29" s="84" t="str">
        <f t="shared" si="7"/>
        <v>PL_20_CR_20_AD_20_Jira_0_</v>
      </c>
      <c r="AJ29" s="84" t="str">
        <f>IF(Z29&lt;&gt;"Done","",(_xlfn.CONCAT("PL_",DigitasUKAdOp_26Team[[#This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0" spans="1:36" ht="15.75" customHeight="1" x14ac:dyDescent="0.3">
      <c r="A30" s="85" t="str">
        <f t="shared" ref="A30" si="32">IF(B30="","",TEXT(B30,"MMM : DDDD"))</f>
        <v>Jan : Thursday</v>
      </c>
      <c r="B30" s="86">
        <v>46037</v>
      </c>
      <c r="C30" s="87" t="s">
        <v>318</v>
      </c>
      <c r="D30" s="88" t="s">
        <v>448</v>
      </c>
      <c r="E30" s="87" t="s">
        <v>428</v>
      </c>
      <c r="F30" s="88" t="s">
        <v>463</v>
      </c>
      <c r="G30" s="88" t="s">
        <v>462</v>
      </c>
      <c r="H30" s="87" t="s">
        <v>269</v>
      </c>
      <c r="I30" s="87" t="s">
        <v>431</v>
      </c>
      <c r="J30" s="88">
        <v>3</v>
      </c>
      <c r="K30" s="88">
        <v>3</v>
      </c>
      <c r="L30" s="88">
        <v>3</v>
      </c>
      <c r="M30" s="89">
        <v>46041</v>
      </c>
      <c r="N30" s="88">
        <v>0.5</v>
      </c>
      <c r="O30" s="90" t="s">
        <v>432</v>
      </c>
      <c r="Q30" s="91">
        <f t="shared" si="0"/>
        <v>3</v>
      </c>
      <c r="R30" s="91" t="str">
        <f t="shared" si="1"/>
        <v>Jan</v>
      </c>
      <c r="S30" s="92" t="str">
        <f t="shared" si="2"/>
        <v>Thursday</v>
      </c>
      <c r="T30" s="93" t="s">
        <v>250</v>
      </c>
      <c r="U30" s="94" t="s">
        <v>433</v>
      </c>
      <c r="W30" s="95">
        <v>0.25</v>
      </c>
      <c r="X30" s="96"/>
      <c r="Y30" s="97">
        <f t="shared" si="10"/>
        <v>46041</v>
      </c>
      <c r="Z30" s="98" t="str">
        <f>SUBSTITUTE('Digitas UK Task 26'!$O30, "Complet", "Not Requir")</f>
        <v>Not Required</v>
      </c>
      <c r="AA30" s="98" t="str">
        <f t="shared" si="4"/>
        <v>RE: WELLA | FY26Q3 ULTIMATE COLOR UK | TAG REQUEST</v>
      </c>
      <c r="AB30" s="99"/>
      <c r="AF30" s="84" t="str">
        <f t="shared" si="5"/>
        <v/>
      </c>
      <c r="AH30" s="84" t="str">
        <f t="shared" si="6"/>
        <v>PL_3_CR_3_AD_3_Jira_0_</v>
      </c>
      <c r="AI30" s="84" t="str">
        <f t="shared" si="7"/>
        <v>PL_3_CR_3_AD_3_Jira_0_</v>
      </c>
      <c r="AJ30" s="84" t="str">
        <f>IF(Z30&lt;&gt;"Done","",(_xlfn.CONCAT("PL_",DigitasUKAdOp_26Team[[#This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1" spans="1:36" ht="15.75" customHeight="1" x14ac:dyDescent="0.3">
      <c r="A31" s="85" t="str">
        <f t="shared" ref="A31" si="33">IF(B31="","",TEXT(B31,"MMM : DDDD"))</f>
        <v>Jan : Monday</v>
      </c>
      <c r="B31" s="86">
        <v>46041</v>
      </c>
      <c r="C31" s="87" t="s">
        <v>318</v>
      </c>
      <c r="D31" s="88" t="s">
        <v>448</v>
      </c>
      <c r="E31" s="87" t="s">
        <v>428</v>
      </c>
      <c r="F31" s="88" t="s">
        <v>463</v>
      </c>
      <c r="G31" s="88" t="s">
        <v>462</v>
      </c>
      <c r="H31" s="87" t="s">
        <v>269</v>
      </c>
      <c r="I31" s="87" t="s">
        <v>250</v>
      </c>
      <c r="J31" s="88">
        <v>3</v>
      </c>
      <c r="K31" s="88">
        <v>3</v>
      </c>
      <c r="L31" s="88">
        <v>3</v>
      </c>
      <c r="M31" s="89">
        <v>46041</v>
      </c>
      <c r="N31" s="88">
        <v>0.25</v>
      </c>
      <c r="O31" s="90" t="s">
        <v>432</v>
      </c>
      <c r="Q31" s="91">
        <f t="shared" si="0"/>
        <v>4</v>
      </c>
      <c r="R31" s="91" t="str">
        <f t="shared" si="1"/>
        <v>Jan</v>
      </c>
      <c r="S31" s="92" t="str">
        <f t="shared" si="2"/>
        <v>Monday</v>
      </c>
      <c r="T31" s="93" t="s">
        <v>237</v>
      </c>
      <c r="U31" s="94" t="s">
        <v>433</v>
      </c>
      <c r="W31" s="95">
        <v>0.25</v>
      </c>
      <c r="X31" s="96"/>
      <c r="Y31" s="97">
        <f t="shared" si="10"/>
        <v>46041</v>
      </c>
      <c r="Z31" s="98" t="str">
        <f>SUBSTITUTE('Digitas UK Task 26'!$O31, "Complet", "Not Requir")</f>
        <v>Not Required</v>
      </c>
      <c r="AA31" s="98" t="str">
        <f t="shared" si="4"/>
        <v>RE: WELLA | FY26Q3 ULTIMATE COLOR UK | TAG REQUEST</v>
      </c>
      <c r="AB31" s="99"/>
      <c r="AF31" s="84" t="str">
        <f t="shared" si="5"/>
        <v/>
      </c>
      <c r="AH31" s="84" t="str">
        <f t="shared" si="6"/>
        <v>PL_3_CR_3_AD_3_Jira_0_</v>
      </c>
      <c r="AI31" s="84" t="str">
        <f t="shared" si="7"/>
        <v>PL_3_CR_3_AD_3_Jira_0_</v>
      </c>
      <c r="AJ31" s="84" t="str">
        <f>IF(Z31&lt;&gt;"Done","",(_xlfn.CONCAT("PL_",DigitasUKAdOp_26Team[[#This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2" spans="1:36" ht="15.75" customHeight="1" x14ac:dyDescent="0.3">
      <c r="A32" s="85" t="str">
        <f t="shared" si="8"/>
        <v>Jan : Tuesday</v>
      </c>
      <c r="B32" s="86">
        <v>46042</v>
      </c>
      <c r="C32" s="87" t="s">
        <v>334</v>
      </c>
      <c r="D32" s="88" t="s">
        <v>465</v>
      </c>
      <c r="E32" s="87" t="s">
        <v>428</v>
      </c>
      <c r="F32" s="88" t="s">
        <v>466</v>
      </c>
      <c r="G32" s="88" t="s">
        <v>467</v>
      </c>
      <c r="H32" s="87" t="s">
        <v>269</v>
      </c>
      <c r="I32" s="87" t="s">
        <v>250</v>
      </c>
      <c r="J32" s="88">
        <v>40</v>
      </c>
      <c r="K32" s="88">
        <v>40</v>
      </c>
      <c r="L32" s="88">
        <v>40</v>
      </c>
      <c r="M32" s="89">
        <v>46043</v>
      </c>
      <c r="N32" s="88">
        <v>1.5</v>
      </c>
      <c r="O32" s="90" t="s">
        <v>432</v>
      </c>
      <c r="P32" s="88" t="s">
        <v>438</v>
      </c>
      <c r="Q32" s="91">
        <f t="shared" si="0"/>
        <v>4</v>
      </c>
      <c r="R32" s="91" t="str">
        <f t="shared" si="1"/>
        <v>Jan</v>
      </c>
      <c r="S32" s="92" t="str">
        <f t="shared" si="2"/>
        <v>Tuesday</v>
      </c>
      <c r="T32" s="93" t="s">
        <v>237</v>
      </c>
      <c r="U32" s="94" t="s">
        <v>433</v>
      </c>
      <c r="V32" s="95" t="s">
        <v>468</v>
      </c>
      <c r="W32" s="95">
        <v>1.5</v>
      </c>
      <c r="X32" s="96"/>
      <c r="Y32" s="97">
        <f t="shared" si="10"/>
        <v>46043</v>
      </c>
      <c r="Z32" s="98" t="str">
        <f>SUBSTITUTE('Digitas UK Task 26'!$O32, "Complet", "Not Requir")</f>
        <v>Not Required</v>
      </c>
      <c r="AA32" s="98" t="str">
        <f t="shared" si="4"/>
        <v>Klaviyo EMEA - Trafficking Request - Omnichannel Updated - Q1 2026</v>
      </c>
      <c r="AB32" s="99"/>
      <c r="AF32" s="84" t="str">
        <f t="shared" si="5"/>
        <v/>
      </c>
      <c r="AH32" s="84" t="str">
        <f t="shared" si="6"/>
        <v>PL_40_CR_40_AD_40_Jira_0_</v>
      </c>
      <c r="AI32" s="84" t="str">
        <f t="shared" si="7"/>
        <v>PL_40_CR_40_AD_40_Jira_0_</v>
      </c>
      <c r="AJ32" s="84" t="str">
        <f>IF(Z32&lt;&gt;"Done","",(_xlfn.CONCAT("PL_",DigitasUKAdOp_26Team[[#This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3" spans="1:36" ht="15.75" customHeight="1" x14ac:dyDescent="0.3">
      <c r="A33" s="85" t="str">
        <f t="shared" si="8"/>
        <v>Jan : Tuesday</v>
      </c>
      <c r="B33" s="86">
        <v>46042</v>
      </c>
      <c r="C33" s="87" t="s">
        <v>334</v>
      </c>
      <c r="D33" s="88" t="s">
        <v>465</v>
      </c>
      <c r="E33" s="87" t="s">
        <v>428</v>
      </c>
      <c r="F33" s="88" t="s">
        <v>469</v>
      </c>
      <c r="G33" s="88" t="s">
        <v>467</v>
      </c>
      <c r="H33" s="87" t="s">
        <v>269</v>
      </c>
      <c r="I33" s="87" t="s">
        <v>250</v>
      </c>
      <c r="J33" s="88">
        <v>40</v>
      </c>
      <c r="K33" s="88">
        <v>40</v>
      </c>
      <c r="L33" s="88">
        <v>40</v>
      </c>
      <c r="M33" s="89">
        <v>46043</v>
      </c>
      <c r="N33" s="88">
        <v>1.5</v>
      </c>
      <c r="O33" s="90" t="s">
        <v>432</v>
      </c>
      <c r="P33" s="88" t="s">
        <v>438</v>
      </c>
      <c r="Q33" s="91">
        <f t="shared" si="0"/>
        <v>4</v>
      </c>
      <c r="R33" s="91" t="str">
        <f t="shared" si="1"/>
        <v>Jan</v>
      </c>
      <c r="S33" s="92" t="str">
        <f t="shared" si="2"/>
        <v>Tuesday</v>
      </c>
      <c r="T33" s="93" t="s">
        <v>237</v>
      </c>
      <c r="U33" s="94" t="s">
        <v>433</v>
      </c>
      <c r="V33" s="95" t="s">
        <v>468</v>
      </c>
      <c r="W33" s="95">
        <v>1.5</v>
      </c>
      <c r="X33" s="96"/>
      <c r="Y33" s="97">
        <f t="shared" si="10"/>
        <v>46043</v>
      </c>
      <c r="Z33" s="98" t="str">
        <f>SUBSTITUTE('Digitas UK Task 26'!$O33, "Complet", "Not Requir")</f>
        <v>Not Required</v>
      </c>
      <c r="AA33" s="98" t="str">
        <f t="shared" si="4"/>
        <v>Klaviyo EMEA - Trafficking Request - Omnichannel Updated - Q1 2026</v>
      </c>
      <c r="AB33" s="99"/>
      <c r="AF33" s="84" t="str">
        <f t="shared" si="5"/>
        <v/>
      </c>
      <c r="AH33" s="84" t="str">
        <f t="shared" si="6"/>
        <v>PL_40_CR_40_AD_40_Jira_0_</v>
      </c>
      <c r="AI33" s="84" t="str">
        <f t="shared" si="7"/>
        <v>PL_40_CR_40_AD_40_Jira_0_</v>
      </c>
      <c r="AJ33" s="84" t="str">
        <f>IF(Z33&lt;&gt;"Done","",(_xlfn.CONCAT("PL_",DigitasUKAdOp_26Team[[#This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4" spans="1:36" ht="15.75" customHeight="1" x14ac:dyDescent="0.3">
      <c r="A34" s="85" t="str">
        <f t="shared" si="8"/>
        <v>Jan : Tuesday</v>
      </c>
      <c r="B34" s="86">
        <v>46042</v>
      </c>
      <c r="C34" s="87" t="s">
        <v>334</v>
      </c>
      <c r="D34" s="88" t="s">
        <v>465</v>
      </c>
      <c r="E34" s="87" t="s">
        <v>428</v>
      </c>
      <c r="F34" s="88" t="s">
        <v>470</v>
      </c>
      <c r="G34" s="88" t="s">
        <v>467</v>
      </c>
      <c r="H34" s="87" t="s">
        <v>269</v>
      </c>
      <c r="I34" s="87" t="s">
        <v>237</v>
      </c>
      <c r="J34" s="88">
        <v>50</v>
      </c>
      <c r="K34" s="88">
        <v>50</v>
      </c>
      <c r="L34" s="88">
        <v>50</v>
      </c>
      <c r="M34" s="89">
        <v>46048</v>
      </c>
      <c r="N34" s="88">
        <v>2</v>
      </c>
      <c r="O34" s="90" t="s">
        <v>432</v>
      </c>
      <c r="Q34" s="91">
        <f t="shared" si="0"/>
        <v>4</v>
      </c>
      <c r="R34" s="91" t="str">
        <f t="shared" si="1"/>
        <v>Jan</v>
      </c>
      <c r="S34" s="92" t="str">
        <f t="shared" si="2"/>
        <v>Tuesday</v>
      </c>
      <c r="T34" s="93" t="s">
        <v>246</v>
      </c>
      <c r="U34" s="94" t="s">
        <v>433</v>
      </c>
      <c r="W34" s="95">
        <v>0.5</v>
      </c>
      <c r="X34" s="96"/>
      <c r="Y34" s="97">
        <f t="shared" si="10"/>
        <v>46048</v>
      </c>
      <c r="Z34" s="98" t="str">
        <f>SUBSTITUTE('Digitas UK Task 26'!$O34, "Complet", "Not Requir")</f>
        <v>Not Required</v>
      </c>
      <c r="AA34" s="98" t="str">
        <f t="shared" si="4"/>
        <v>Klaviyo EMEA - Trafficking Request - Omnichannel Updated - Q1 2026</v>
      </c>
      <c r="AB34" s="99"/>
      <c r="AF34" s="84" t="str">
        <f t="shared" si="5"/>
        <v/>
      </c>
      <c r="AH34" s="84" t="str">
        <f t="shared" si="6"/>
        <v>PL_50_CR_50_AD_50_Jira_0_</v>
      </c>
      <c r="AI34" s="84" t="str">
        <f t="shared" si="7"/>
        <v>PL_50_CR_50_AD_50_Jira_0_</v>
      </c>
      <c r="AJ34" s="84" t="str">
        <f>IF(Z34&lt;&gt;"Done","",(_xlfn.CONCAT("PL_",DigitasUKAdOp_26Team[[#This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5" spans="1:36" ht="15.75" customHeight="1" x14ac:dyDescent="0.3">
      <c r="A35" s="85" t="str">
        <f t="shared" si="8"/>
        <v>Jan : Tuesday</v>
      </c>
      <c r="B35" s="86">
        <v>46042</v>
      </c>
      <c r="C35" s="87" t="s">
        <v>334</v>
      </c>
      <c r="D35" s="88" t="s">
        <v>465</v>
      </c>
      <c r="E35" s="87" t="s">
        <v>428</v>
      </c>
      <c r="F35" s="88" t="s">
        <v>471</v>
      </c>
      <c r="G35" s="88" t="s">
        <v>467</v>
      </c>
      <c r="H35" s="87" t="s">
        <v>269</v>
      </c>
      <c r="I35" s="87" t="s">
        <v>237</v>
      </c>
      <c r="J35" s="88">
        <v>60</v>
      </c>
      <c r="K35" s="88">
        <v>60</v>
      </c>
      <c r="L35" s="88">
        <v>60</v>
      </c>
      <c r="M35" s="89">
        <v>46048</v>
      </c>
      <c r="N35" s="88">
        <v>2</v>
      </c>
      <c r="O35" s="90" t="s">
        <v>432</v>
      </c>
      <c r="Q35" s="91">
        <f t="shared" si="0"/>
        <v>4</v>
      </c>
      <c r="R35" s="91" t="str">
        <f t="shared" si="1"/>
        <v>Jan</v>
      </c>
      <c r="S35" s="92" t="str">
        <f t="shared" si="2"/>
        <v>Tuesday</v>
      </c>
      <c r="T35" s="93" t="s">
        <v>246</v>
      </c>
      <c r="U35" s="94" t="s">
        <v>433</v>
      </c>
      <c r="W35" s="95">
        <v>0.5</v>
      </c>
      <c r="X35" s="96"/>
      <c r="Y35" s="97">
        <f t="shared" si="10"/>
        <v>46048</v>
      </c>
      <c r="Z35" s="98" t="str">
        <f>SUBSTITUTE('Digitas UK Task 26'!$O35, "Complet", "Not Requir")</f>
        <v>Not Required</v>
      </c>
      <c r="AA35" s="98" t="str">
        <f t="shared" si="4"/>
        <v>Klaviyo EMEA - Trafficking Request - Omnichannel Updated - Q1 2026</v>
      </c>
      <c r="AB35" s="99"/>
      <c r="AF35" s="84" t="str">
        <f t="shared" si="5"/>
        <v/>
      </c>
      <c r="AH35" s="84" t="str">
        <f t="shared" si="6"/>
        <v>PL_60_CR_60_AD_60_Jira_0_</v>
      </c>
      <c r="AI35" s="84" t="str">
        <f t="shared" si="7"/>
        <v>PL_60_CR_60_AD_60_Jira_0_</v>
      </c>
      <c r="AJ35" s="84" t="str">
        <f>IF(Z35&lt;&gt;"Done","",(_xlfn.CONCAT("PL_",DigitasUKAdOp_26Team[[#This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6" spans="1:36" ht="15.75" customHeight="1" x14ac:dyDescent="0.3">
      <c r="A36" s="85" t="str">
        <f t="shared" si="8"/>
        <v>Jan : Tuesday</v>
      </c>
      <c r="B36" s="86">
        <v>46042</v>
      </c>
      <c r="C36" s="87" t="s">
        <v>334</v>
      </c>
      <c r="D36" s="88" t="s">
        <v>465</v>
      </c>
      <c r="E36" s="87" t="s">
        <v>428</v>
      </c>
      <c r="F36" s="88" t="s">
        <v>472</v>
      </c>
      <c r="G36" s="88" t="s">
        <v>467</v>
      </c>
      <c r="H36" s="87" t="s">
        <v>269</v>
      </c>
      <c r="I36" s="87" t="s">
        <v>246</v>
      </c>
      <c r="J36" s="88">
        <v>40</v>
      </c>
      <c r="K36" s="88">
        <v>40</v>
      </c>
      <c r="L36" s="88">
        <v>40</v>
      </c>
      <c r="M36" s="89">
        <v>46043</v>
      </c>
      <c r="N36" s="88">
        <v>1.5</v>
      </c>
      <c r="O36" s="90" t="s">
        <v>432</v>
      </c>
      <c r="P36" s="88" t="s">
        <v>438</v>
      </c>
      <c r="Q36" s="91">
        <f t="shared" si="0"/>
        <v>4</v>
      </c>
      <c r="R36" s="91" t="str">
        <f t="shared" si="1"/>
        <v>Jan</v>
      </c>
      <c r="S36" s="92" t="str">
        <f t="shared" si="2"/>
        <v>Tuesday</v>
      </c>
      <c r="T36" s="93" t="s">
        <v>250</v>
      </c>
      <c r="U36" s="94" t="s">
        <v>433</v>
      </c>
      <c r="W36" s="95">
        <v>0.5</v>
      </c>
      <c r="X36" s="96"/>
      <c r="Y36" s="97">
        <f t="shared" si="10"/>
        <v>46043</v>
      </c>
      <c r="Z36" s="98" t="str">
        <f>SUBSTITUTE('Digitas UK Task 26'!$O36, "Complet", "Not Requir")</f>
        <v>Not Required</v>
      </c>
      <c r="AA36" s="98" t="str">
        <f t="shared" si="4"/>
        <v>Klaviyo EMEA - Trafficking Request - Omnichannel Updated - Q1 2026</v>
      </c>
      <c r="AB36" s="99"/>
      <c r="AF36" s="84" t="str">
        <f t="shared" si="5"/>
        <v/>
      </c>
      <c r="AH36" s="84" t="str">
        <f t="shared" si="6"/>
        <v>PL_40_CR_40_AD_40_Jira_0_</v>
      </c>
      <c r="AI36" s="84" t="str">
        <f t="shared" si="7"/>
        <v>PL_40_CR_40_AD_40_Jira_0_</v>
      </c>
      <c r="AJ36" s="84" t="str">
        <f>IF(Z36&lt;&gt;"Done","",(_xlfn.CONCAT("PL_",DigitasUKAdOp_26Team[[#This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7" spans="1:36" ht="15.75" customHeight="1" x14ac:dyDescent="0.3">
      <c r="A37" s="85" t="str">
        <f t="shared" si="8"/>
        <v>Jan : Tuesday</v>
      </c>
      <c r="B37" s="86">
        <v>46042</v>
      </c>
      <c r="C37" s="87" t="s">
        <v>334</v>
      </c>
      <c r="D37" s="88" t="s">
        <v>465</v>
      </c>
      <c r="E37" s="87" t="s">
        <v>428</v>
      </c>
      <c r="F37" s="88" t="s">
        <v>473</v>
      </c>
      <c r="G37" s="88" t="s">
        <v>467</v>
      </c>
      <c r="H37" s="87" t="s">
        <v>269</v>
      </c>
      <c r="I37" s="87" t="s">
        <v>246</v>
      </c>
      <c r="J37" s="88">
        <v>40</v>
      </c>
      <c r="K37" s="88">
        <v>40</v>
      </c>
      <c r="L37" s="88">
        <v>40</v>
      </c>
      <c r="M37" s="89">
        <v>46043</v>
      </c>
      <c r="N37" s="88">
        <v>1.5</v>
      </c>
      <c r="O37" s="90" t="s">
        <v>432</v>
      </c>
      <c r="P37" s="88" t="s">
        <v>438</v>
      </c>
      <c r="Q37" s="91">
        <f t="shared" si="0"/>
        <v>4</v>
      </c>
      <c r="R37" s="91" t="str">
        <f t="shared" si="1"/>
        <v>Jan</v>
      </c>
      <c r="S37" s="92" t="str">
        <f t="shared" si="2"/>
        <v>Tuesday</v>
      </c>
      <c r="T37" s="93" t="s">
        <v>250</v>
      </c>
      <c r="U37" s="94" t="s">
        <v>433</v>
      </c>
      <c r="W37" s="95">
        <v>0.5</v>
      </c>
      <c r="X37" s="96"/>
      <c r="Y37" s="97">
        <f t="shared" si="10"/>
        <v>46043</v>
      </c>
      <c r="Z37" s="98" t="str">
        <f>SUBSTITUTE('Digitas UK Task 26'!$O37, "Complet", "Not Requir")</f>
        <v>Not Required</v>
      </c>
      <c r="AA37" s="98" t="str">
        <f t="shared" si="4"/>
        <v>Klaviyo EMEA - Trafficking Request - Omnichannel Updated - Q1 2026</v>
      </c>
      <c r="AB37" s="99"/>
      <c r="AF37" s="84" t="str">
        <f t="shared" si="5"/>
        <v/>
      </c>
      <c r="AH37" s="84" t="str">
        <f t="shared" si="6"/>
        <v>PL_40_CR_40_AD_40_Jira_0_</v>
      </c>
      <c r="AI37" s="84" t="str">
        <f t="shared" si="7"/>
        <v>PL_40_CR_40_AD_40_Jira_0_</v>
      </c>
      <c r="AJ37" s="84" t="str">
        <f>IF(Z37&lt;&gt;"Done","",(_xlfn.CONCAT("PL_",DigitasUKAdOp_26Team[[#This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8" spans="1:36" ht="15.75" customHeight="1" x14ac:dyDescent="0.3">
      <c r="A38" s="85" t="s">
        <v>426</v>
      </c>
      <c r="B38" s="86">
        <v>46042</v>
      </c>
      <c r="C38" s="87" t="s">
        <v>318</v>
      </c>
      <c r="D38" s="88" t="s">
        <v>427</v>
      </c>
      <c r="E38" s="87" t="s">
        <v>428</v>
      </c>
      <c r="F38" s="88" t="s">
        <v>474</v>
      </c>
      <c r="G38" s="88" t="s">
        <v>475</v>
      </c>
      <c r="H38" s="87" t="s">
        <v>269</v>
      </c>
      <c r="I38" s="87" t="s">
        <v>431</v>
      </c>
      <c r="J38" s="88">
        <v>12</v>
      </c>
      <c r="K38" s="88">
        <v>12</v>
      </c>
      <c r="L38" s="88">
        <v>12</v>
      </c>
      <c r="M38" s="89">
        <v>46043</v>
      </c>
      <c r="N38" s="88">
        <v>1</v>
      </c>
      <c r="O38" s="90" t="s">
        <v>432</v>
      </c>
      <c r="Q38" s="91">
        <f t="shared" si="0"/>
        <v>4</v>
      </c>
      <c r="R38" s="91" t="str">
        <f t="shared" si="1"/>
        <v>Jan</v>
      </c>
      <c r="S38" s="92" t="str">
        <f t="shared" si="2"/>
        <v>Tuesday</v>
      </c>
      <c r="T38" s="93" t="s">
        <v>246</v>
      </c>
      <c r="U38" s="94" t="s">
        <v>433</v>
      </c>
      <c r="W38" s="95">
        <v>1</v>
      </c>
      <c r="X38" s="96"/>
      <c r="Y38" s="97">
        <f t="shared" si="10"/>
        <v>46043</v>
      </c>
      <c r="Z38" s="98" t="str">
        <f>SUBSTITUTE('Digitas UK Task 26'!$O38, "Complet", "Not Requir")</f>
        <v>Not Required</v>
      </c>
      <c r="AA38" s="98" t="str">
        <f t="shared" si="4"/>
        <v>WELLA | FY26Q3 NNE - UK | TAG REQUEST</v>
      </c>
      <c r="AB38" s="99"/>
      <c r="AF38" s="84" t="str">
        <f t="shared" si="5"/>
        <v/>
      </c>
      <c r="AH38" s="84" t="str">
        <f t="shared" si="6"/>
        <v>PL_12_CR_12_AD_12_Jira_0_</v>
      </c>
      <c r="AI38" s="84" t="str">
        <f t="shared" si="7"/>
        <v>PL_12_CR_12_AD_12_Jira_0_</v>
      </c>
      <c r="AJ38" s="84" t="str">
        <f>IF(Z38&lt;&gt;"Done","",(_xlfn.CONCAT("PL_",DigitasUKAdOp_26Team[[#This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9" spans="1:36" ht="15.75" customHeight="1" x14ac:dyDescent="0.3">
      <c r="A39" s="85" t="str">
        <f t="shared" ref="A39" si="34">IF(B39="","",TEXT(B39,"MMM : DDDD"))</f>
        <v>Jan : Tuesday</v>
      </c>
      <c r="B39" s="86">
        <v>46042</v>
      </c>
      <c r="C39" s="87" t="s">
        <v>334</v>
      </c>
      <c r="D39" s="88" t="s">
        <v>465</v>
      </c>
      <c r="E39" s="87" t="s">
        <v>428</v>
      </c>
      <c r="F39" s="88" t="s">
        <v>476</v>
      </c>
      <c r="G39" s="88" t="s">
        <v>467</v>
      </c>
      <c r="H39" s="87" t="s">
        <v>443</v>
      </c>
      <c r="I39" s="87" t="s">
        <v>237</v>
      </c>
      <c r="J39" s="88">
        <v>0</v>
      </c>
      <c r="K39" s="88">
        <v>0</v>
      </c>
      <c r="L39" s="88">
        <v>0</v>
      </c>
      <c r="M39" s="89">
        <v>46043</v>
      </c>
      <c r="N39" s="88">
        <v>1.5</v>
      </c>
      <c r="O39" s="90" t="s">
        <v>432</v>
      </c>
      <c r="Q39" s="91">
        <f t="shared" ref="Q39" si="35">IF(B39="","",WEEKNUM(B39))</f>
        <v>4</v>
      </c>
      <c r="R39" s="91" t="str">
        <f t="shared" ref="R39" si="36">IF(B39="","",TEXT(B39,"MMM"))</f>
        <v>Jan</v>
      </c>
      <c r="S39" s="92" t="str">
        <f t="shared" ref="S39" si="37">IF(B39="","",TEXT(B39,"DDDD"))</f>
        <v>Tuesday</v>
      </c>
      <c r="T39" s="93" t="s">
        <v>237</v>
      </c>
      <c r="U39" s="94" t="s">
        <v>444</v>
      </c>
      <c r="W39" s="95">
        <v>0</v>
      </c>
      <c r="X39" s="96"/>
      <c r="Y39" s="97">
        <f t="shared" ref="Y39" si="38">IF(M39="","",M39)</f>
        <v>46043</v>
      </c>
      <c r="Z39" s="98" t="str">
        <f>SUBSTITUTE('Digitas UK Task 26'!$O39, "Complet", "Not Requir")</f>
        <v>Not Required</v>
      </c>
      <c r="AA39" s="98" t="str">
        <f t="shared" ref="AA39" si="39">IF(G39="","",G39)</f>
        <v>Klaviyo EMEA - Trafficking Request - Omnichannel Updated - Q1 2026</v>
      </c>
      <c r="AB39" s="99"/>
      <c r="AF39" s="84" t="str">
        <f t="shared" ref="AF39" si="40">IF(AD39="","",WEEKNUM(AD39))</f>
        <v/>
      </c>
      <c r="AH39" s="84" t="str">
        <f t="shared" si="6"/>
        <v>PL_0_CR_0_AD_0_Jira_0_</v>
      </c>
      <c r="AI39" s="84" t="str">
        <f t="shared" si="7"/>
        <v/>
      </c>
      <c r="AJ39" s="84" t="str">
        <f>IF(Z39&lt;&gt;"Done","",(_xlfn.CONCAT("PL_",DigitasUKAdOp_26Team[[#This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0" spans="1:36" ht="15.75" customHeight="1" x14ac:dyDescent="0.3">
      <c r="A40" s="85" t="str">
        <f t="shared" si="8"/>
        <v>Jan : Wednesday</v>
      </c>
      <c r="B40" s="86">
        <v>46043</v>
      </c>
      <c r="C40" s="87" t="s">
        <v>318</v>
      </c>
      <c r="D40" s="88" t="s">
        <v>427</v>
      </c>
      <c r="E40" s="87" t="s">
        <v>428</v>
      </c>
      <c r="F40" s="88" t="s">
        <v>477</v>
      </c>
      <c r="G40" s="88" t="s">
        <v>475</v>
      </c>
      <c r="H40" s="87" t="s">
        <v>269</v>
      </c>
      <c r="I40" s="87" t="s">
        <v>246</v>
      </c>
      <c r="J40" s="88">
        <v>2</v>
      </c>
      <c r="K40" s="88">
        <v>2</v>
      </c>
      <c r="L40" s="88">
        <v>2</v>
      </c>
      <c r="M40" s="89">
        <v>46043</v>
      </c>
      <c r="N40" s="88">
        <v>0.5</v>
      </c>
      <c r="O40" s="90" t="s">
        <v>432</v>
      </c>
      <c r="Q40" s="91">
        <f t="shared" si="0"/>
        <v>4</v>
      </c>
      <c r="R40" s="91" t="str">
        <f t="shared" si="1"/>
        <v>Jan</v>
      </c>
      <c r="S40" s="92" t="str">
        <f t="shared" si="2"/>
        <v>Wednesday</v>
      </c>
      <c r="T40" s="93" t="s">
        <v>237</v>
      </c>
      <c r="U40" s="94" t="s">
        <v>433</v>
      </c>
      <c r="W40" s="95">
        <v>0.25</v>
      </c>
      <c r="X40" s="96"/>
      <c r="Y40" s="97">
        <f t="shared" si="10"/>
        <v>46043</v>
      </c>
      <c r="Z40" s="98" t="str">
        <f>SUBSTITUTE('Digitas UK Task 26'!$O40, "Complet", "Not Requir")</f>
        <v>Not Required</v>
      </c>
      <c r="AA40" s="98" t="str">
        <f t="shared" si="4"/>
        <v>WELLA | FY26Q3 NNE - UK | TAG REQUEST</v>
      </c>
      <c r="AB40" s="99"/>
      <c r="AF40" s="84" t="str">
        <f t="shared" si="5"/>
        <v/>
      </c>
      <c r="AH40" s="84" t="str">
        <f t="shared" si="6"/>
        <v>PL_2_CR_2_AD_2_Jira_0_</v>
      </c>
      <c r="AI40" s="84" t="str">
        <f t="shared" si="7"/>
        <v>PL_2_CR_2_AD_2_Jira_0_</v>
      </c>
      <c r="AJ40" s="84" t="str">
        <f>IF(Z40&lt;&gt;"Done","",(_xlfn.CONCAT("PL_",DigitasUKAdOp_26Team[[#This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1" spans="1:36" ht="15.75" customHeight="1" x14ac:dyDescent="0.3">
      <c r="A41" s="85" t="str">
        <f t="shared" si="8"/>
        <v>Jan : Wednesday</v>
      </c>
      <c r="B41" s="86">
        <v>46043</v>
      </c>
      <c r="C41" s="87" t="s">
        <v>318</v>
      </c>
      <c r="D41" s="88" t="s">
        <v>427</v>
      </c>
      <c r="E41" s="87" t="s">
        <v>428</v>
      </c>
      <c r="F41" s="88" t="s">
        <v>478</v>
      </c>
      <c r="G41" s="88" t="s">
        <v>475</v>
      </c>
      <c r="H41" s="87" t="s">
        <v>269</v>
      </c>
      <c r="I41" s="87" t="s">
        <v>237</v>
      </c>
      <c r="J41" s="88">
        <v>1</v>
      </c>
      <c r="K41" s="88">
        <v>1</v>
      </c>
      <c r="L41" s="88">
        <v>1</v>
      </c>
      <c r="M41" s="89">
        <v>46043</v>
      </c>
      <c r="N41" s="88">
        <v>0.25</v>
      </c>
      <c r="O41" s="90" t="s">
        <v>432</v>
      </c>
      <c r="Q41" s="91">
        <f t="shared" si="0"/>
        <v>4</v>
      </c>
      <c r="R41" s="91" t="str">
        <f t="shared" si="1"/>
        <v>Jan</v>
      </c>
      <c r="S41" s="92" t="str">
        <f t="shared" si="2"/>
        <v>Wednesday</v>
      </c>
      <c r="T41" s="93" t="s">
        <v>250</v>
      </c>
      <c r="U41" s="94" t="s">
        <v>433</v>
      </c>
      <c r="W41" s="95">
        <v>0.25</v>
      </c>
      <c r="X41" s="96"/>
      <c r="Y41" s="97">
        <f t="shared" si="10"/>
        <v>46043</v>
      </c>
      <c r="Z41" s="98" t="str">
        <f>SUBSTITUTE('Digitas UK Task 26'!$O41, "Complet", "Not Requir")</f>
        <v>Not Required</v>
      </c>
      <c r="AA41" s="98" t="str">
        <f t="shared" si="4"/>
        <v>WELLA | FY26Q3 NNE - UK | TAG REQUEST</v>
      </c>
      <c r="AB41" s="99"/>
      <c r="AF41" s="84" t="str">
        <f t="shared" si="5"/>
        <v/>
      </c>
      <c r="AH41" s="84" t="str">
        <f t="shared" si="6"/>
        <v>PL_1_CR_1_AD_1_Jira_0_</v>
      </c>
      <c r="AI41" s="84" t="str">
        <f t="shared" si="7"/>
        <v>PL_1_CR_1_AD_1_Jira_0_</v>
      </c>
      <c r="AJ41" s="84" t="str">
        <f>IF(Z41&lt;&gt;"Done","",(_xlfn.CONCAT("PL_",DigitasUKAdOp_26Team[[#This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2" spans="1:36" ht="15.75" customHeight="1" x14ac:dyDescent="0.3">
      <c r="A42" s="85" t="str">
        <f t="shared" si="8"/>
        <v>Jan : Wednesday</v>
      </c>
      <c r="B42" s="86">
        <v>46043</v>
      </c>
      <c r="C42" s="87" t="s">
        <v>318</v>
      </c>
      <c r="D42" s="88" t="s">
        <v>427</v>
      </c>
      <c r="E42" s="87" t="s">
        <v>428</v>
      </c>
      <c r="F42" s="88" t="s">
        <v>479</v>
      </c>
      <c r="G42" s="88" t="s">
        <v>475</v>
      </c>
      <c r="H42" s="87" t="s">
        <v>269</v>
      </c>
      <c r="I42" s="87" t="s">
        <v>250</v>
      </c>
      <c r="J42" s="88">
        <v>4</v>
      </c>
      <c r="K42" s="88">
        <v>4</v>
      </c>
      <c r="L42" s="88">
        <v>4</v>
      </c>
      <c r="M42" s="89">
        <v>46043</v>
      </c>
      <c r="N42" s="88">
        <v>0.5</v>
      </c>
      <c r="O42" s="90" t="s">
        <v>432</v>
      </c>
      <c r="Q42" s="91">
        <f t="shared" si="0"/>
        <v>4</v>
      </c>
      <c r="R42" s="91" t="str">
        <f t="shared" si="1"/>
        <v>Jan</v>
      </c>
      <c r="S42" s="92" t="str">
        <f t="shared" si="2"/>
        <v>Wednesday</v>
      </c>
      <c r="T42" s="93" t="s">
        <v>237</v>
      </c>
      <c r="U42" s="94" t="s">
        <v>433</v>
      </c>
      <c r="W42" s="95">
        <v>0.25</v>
      </c>
      <c r="X42" s="96"/>
      <c r="Y42" s="97">
        <f t="shared" si="10"/>
        <v>46043</v>
      </c>
      <c r="Z42" s="98" t="str">
        <f>SUBSTITUTE('Digitas UK Task 26'!$O42, "Complet", "Not Requir")</f>
        <v>Not Required</v>
      </c>
      <c r="AA42" s="98" t="str">
        <f t="shared" si="4"/>
        <v>WELLA | FY26Q3 NNE - UK | TAG REQUEST</v>
      </c>
      <c r="AB42" s="99"/>
      <c r="AF42" s="84" t="str">
        <f t="shared" si="5"/>
        <v/>
      </c>
      <c r="AH42" s="84" t="str">
        <f t="shared" si="6"/>
        <v>PL_4_CR_4_AD_4_Jira_0_</v>
      </c>
      <c r="AI42" s="84" t="str">
        <f t="shared" si="7"/>
        <v>PL_4_CR_4_AD_4_Jira_0_</v>
      </c>
      <c r="AJ42" s="84" t="str">
        <f>IF(Z42&lt;&gt;"Done","",(_xlfn.CONCAT("PL_",DigitasUKAdOp_26Team[[#This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3" spans="1:36" ht="15.75" customHeight="1" x14ac:dyDescent="0.3">
      <c r="A43" s="85" t="str">
        <f t="shared" si="8"/>
        <v>Jan : Wednesday</v>
      </c>
      <c r="B43" s="86">
        <v>46043</v>
      </c>
      <c r="C43" s="87" t="s">
        <v>318</v>
      </c>
      <c r="D43" s="88" t="s">
        <v>427</v>
      </c>
      <c r="E43" s="87" t="s">
        <v>428</v>
      </c>
      <c r="F43" s="88" t="s">
        <v>480</v>
      </c>
      <c r="G43" s="88" t="s">
        <v>475</v>
      </c>
      <c r="H43" s="87" t="s">
        <v>269</v>
      </c>
      <c r="I43" s="87" t="s">
        <v>250</v>
      </c>
      <c r="J43" s="88">
        <v>1</v>
      </c>
      <c r="K43" s="88">
        <v>1</v>
      </c>
      <c r="L43" s="88">
        <v>1</v>
      </c>
      <c r="M43" s="89">
        <v>46043</v>
      </c>
      <c r="N43" s="88">
        <v>0.25</v>
      </c>
      <c r="O43" s="90" t="s">
        <v>432</v>
      </c>
      <c r="Q43" s="91">
        <f t="shared" si="0"/>
        <v>4</v>
      </c>
      <c r="R43" s="91" t="str">
        <f t="shared" si="1"/>
        <v>Jan</v>
      </c>
      <c r="S43" s="92" t="str">
        <f t="shared" si="2"/>
        <v>Wednesday</v>
      </c>
      <c r="T43" s="93" t="s">
        <v>237</v>
      </c>
      <c r="U43" s="94" t="s">
        <v>433</v>
      </c>
      <c r="W43" s="95">
        <v>0.25</v>
      </c>
      <c r="X43" s="96"/>
      <c r="Y43" s="97">
        <f t="shared" si="10"/>
        <v>46043</v>
      </c>
      <c r="Z43" s="98" t="str">
        <f>SUBSTITUTE('Digitas UK Task 26'!$O43, "Complet", "Not Requir")</f>
        <v>Not Required</v>
      </c>
      <c r="AA43" s="98" t="str">
        <f t="shared" si="4"/>
        <v>WELLA | FY26Q3 NNE - UK | TAG REQUEST</v>
      </c>
      <c r="AB43" s="99"/>
      <c r="AF43" s="84" t="str">
        <f t="shared" si="5"/>
        <v/>
      </c>
      <c r="AH43" s="84" t="str">
        <f t="shared" si="6"/>
        <v>PL_1_CR_1_AD_1_Jira_0_</v>
      </c>
      <c r="AI43" s="84" t="str">
        <f t="shared" si="7"/>
        <v>PL_1_CR_1_AD_1_Jira_0_</v>
      </c>
      <c r="AJ43" s="84" t="str">
        <f>IF(Z43&lt;&gt;"Done","",(_xlfn.CONCAT("PL_",DigitasUKAdOp_26Team[[#This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4" spans="1:36" ht="15.75" customHeight="1" x14ac:dyDescent="0.3">
      <c r="A44" s="85" t="str">
        <f t="shared" si="8"/>
        <v>Jan : Wednesday</v>
      </c>
      <c r="B44" s="86">
        <v>46043</v>
      </c>
      <c r="C44" s="87" t="s">
        <v>43</v>
      </c>
      <c r="D44" s="88" t="s">
        <v>481</v>
      </c>
      <c r="E44" s="87" t="s">
        <v>428</v>
      </c>
      <c r="F44" s="88" t="s">
        <v>450</v>
      </c>
      <c r="G44" s="88" t="s">
        <v>482</v>
      </c>
      <c r="H44" s="87" t="s">
        <v>244</v>
      </c>
      <c r="I44" s="87" t="s">
        <v>237</v>
      </c>
      <c r="J44" s="88">
        <v>40</v>
      </c>
      <c r="K44" s="88">
        <v>40</v>
      </c>
      <c r="L44" s="88">
        <v>40</v>
      </c>
      <c r="M44" s="89">
        <v>46044</v>
      </c>
      <c r="N44" s="88">
        <v>3</v>
      </c>
      <c r="O44" s="90" t="s">
        <v>432</v>
      </c>
      <c r="Q44" s="91">
        <f t="shared" si="0"/>
        <v>4</v>
      </c>
      <c r="R44" s="91" t="str">
        <f t="shared" si="1"/>
        <v>Jan</v>
      </c>
      <c r="S44" s="92" t="str">
        <f t="shared" si="2"/>
        <v>Wednesday</v>
      </c>
      <c r="T44" s="93" t="s">
        <v>246</v>
      </c>
      <c r="U44" s="94" t="s">
        <v>433</v>
      </c>
      <c r="W44" s="95">
        <v>1.5</v>
      </c>
      <c r="X44" s="96"/>
      <c r="Y44" s="97">
        <f t="shared" si="10"/>
        <v>46044</v>
      </c>
      <c r="Z44" s="98" t="str">
        <f>SUBSTITUTE('Digitas UK Task 26'!$O44, "Complet", "Not Requir")</f>
        <v>Not Required</v>
      </c>
      <c r="AA44" s="98" t="str">
        <f t="shared" si="4"/>
        <v>Crocs - S1 - Trafficking request</v>
      </c>
      <c r="AB44" s="99"/>
      <c r="AF44" s="84" t="str">
        <f t="shared" si="5"/>
        <v/>
      </c>
      <c r="AH44" s="84" t="str">
        <f t="shared" si="6"/>
        <v>PL_40_CR_40_AD_40_Jira_0_</v>
      </c>
      <c r="AI44" s="84" t="str">
        <f t="shared" si="7"/>
        <v>PL_40_CR_40_AD_40_Jira_0_</v>
      </c>
      <c r="AJ44" s="84" t="str">
        <f>IF(Z44&lt;&gt;"Done","",(_xlfn.CONCAT("PL_",DigitasUKAdOp_26Team[[#This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5" spans="1:36" ht="15.75" customHeight="1" x14ac:dyDescent="0.3">
      <c r="A45" s="85" t="str">
        <f t="shared" si="8"/>
        <v>Jan : Wednesday</v>
      </c>
      <c r="B45" s="86">
        <v>46043</v>
      </c>
      <c r="C45" s="87" t="s">
        <v>318</v>
      </c>
      <c r="D45" s="88" t="s">
        <v>427</v>
      </c>
      <c r="E45" s="87" t="s">
        <v>428</v>
      </c>
      <c r="F45" s="88" t="s">
        <v>483</v>
      </c>
      <c r="G45" s="88" t="s">
        <v>484</v>
      </c>
      <c r="H45" s="87" t="s">
        <v>443</v>
      </c>
      <c r="I45" s="87" t="s">
        <v>250</v>
      </c>
      <c r="J45" s="88">
        <v>0</v>
      </c>
      <c r="K45" s="88">
        <v>0</v>
      </c>
      <c r="L45" s="88">
        <v>0</v>
      </c>
      <c r="M45" s="89">
        <v>46043</v>
      </c>
      <c r="N45" s="88">
        <v>0.5</v>
      </c>
      <c r="O45" s="90" t="s">
        <v>432</v>
      </c>
      <c r="Q45" s="91">
        <f t="shared" si="0"/>
        <v>4</v>
      </c>
      <c r="R45" s="91" t="str">
        <f t="shared" si="1"/>
        <v>Jan</v>
      </c>
      <c r="S45" s="92" t="str">
        <f t="shared" si="2"/>
        <v>Wednesday</v>
      </c>
      <c r="T45" s="93" t="s">
        <v>250</v>
      </c>
      <c r="U45" s="94" t="s">
        <v>444</v>
      </c>
      <c r="W45" s="95">
        <v>0</v>
      </c>
      <c r="X45" s="96"/>
      <c r="Y45" s="97">
        <f t="shared" si="10"/>
        <v>46043</v>
      </c>
      <c r="Z45" s="98" t="str">
        <f>SUBSTITUTE('Digitas UK Task 26'!$O45, "Complet", "Not Requir")</f>
        <v>Not Required</v>
      </c>
      <c r="AA45" s="98" t="str">
        <f t="shared" si="4"/>
        <v>RE: WELLA | FY26Q3 NNE - UK | TAG REQUEST</v>
      </c>
      <c r="AB45" s="99"/>
      <c r="AF45" s="84" t="str">
        <f t="shared" si="5"/>
        <v/>
      </c>
      <c r="AH45" s="84" t="str">
        <f t="shared" si="6"/>
        <v>PL_0_CR_0_AD_0_Jira_0_</v>
      </c>
      <c r="AI45" s="84" t="str">
        <f t="shared" si="7"/>
        <v/>
      </c>
      <c r="AJ45" s="84" t="str">
        <f>IF(Z45&lt;&gt;"Done","",(_xlfn.CONCAT("PL_",DigitasUKAdOp_26Team[[#This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6" spans="1:36" ht="15.75" customHeight="1" x14ac:dyDescent="0.3">
      <c r="A46" s="85" t="str">
        <f t="shared" si="8"/>
        <v>Jan : Wednesday</v>
      </c>
      <c r="B46" s="86">
        <v>46043</v>
      </c>
      <c r="C46" s="87" t="s">
        <v>318</v>
      </c>
      <c r="D46" s="88" t="s">
        <v>427</v>
      </c>
      <c r="E46" s="87" t="s">
        <v>428</v>
      </c>
      <c r="F46" s="88" t="s">
        <v>485</v>
      </c>
      <c r="G46" s="88" t="s">
        <v>484</v>
      </c>
      <c r="H46" s="87" t="s">
        <v>443</v>
      </c>
      <c r="I46" s="87" t="s">
        <v>250</v>
      </c>
      <c r="J46" s="88">
        <v>0</v>
      </c>
      <c r="K46" s="88">
        <v>0</v>
      </c>
      <c r="L46" s="88">
        <v>0</v>
      </c>
      <c r="M46" s="89">
        <v>46043</v>
      </c>
      <c r="N46" s="88">
        <v>0.5</v>
      </c>
      <c r="O46" s="90" t="s">
        <v>432</v>
      </c>
      <c r="Q46" s="91">
        <f t="shared" si="0"/>
        <v>4</v>
      </c>
      <c r="R46" s="91" t="str">
        <f t="shared" si="1"/>
        <v>Jan</v>
      </c>
      <c r="S46" s="92" t="str">
        <f t="shared" si="2"/>
        <v>Wednesday</v>
      </c>
      <c r="T46" s="93" t="s">
        <v>250</v>
      </c>
      <c r="U46" s="94" t="s">
        <v>444</v>
      </c>
      <c r="W46" s="95">
        <v>0</v>
      </c>
      <c r="X46" s="96"/>
      <c r="Y46" s="97">
        <f t="shared" si="10"/>
        <v>46043</v>
      </c>
      <c r="Z46" s="98" t="str">
        <f>SUBSTITUTE('Digitas UK Task 26'!$O46, "Complet", "Not Requir")</f>
        <v>Not Required</v>
      </c>
      <c r="AA46" s="98" t="str">
        <f t="shared" si="4"/>
        <v>RE: WELLA | FY26Q3 NNE - UK | TAG REQUEST</v>
      </c>
      <c r="AB46" s="99"/>
      <c r="AF46" s="84" t="str">
        <f t="shared" si="5"/>
        <v/>
      </c>
      <c r="AH46" s="84" t="str">
        <f t="shared" si="6"/>
        <v>PL_0_CR_0_AD_0_Jira_0_</v>
      </c>
      <c r="AI46" s="84" t="str">
        <f t="shared" si="7"/>
        <v/>
      </c>
      <c r="AJ46" s="84" t="str">
        <f>IF(Z46&lt;&gt;"Done","",(_xlfn.CONCAT("PL_",DigitasUKAdOp_26Team[[#This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7" spans="1:36" ht="15.75" customHeight="1" x14ac:dyDescent="0.3">
      <c r="A47" s="85" t="str">
        <f t="shared" si="8"/>
        <v>Jan : Wednesday</v>
      </c>
      <c r="B47" s="86">
        <v>46043</v>
      </c>
      <c r="C47" s="87" t="s">
        <v>318</v>
      </c>
      <c r="D47" s="88" t="s">
        <v>427</v>
      </c>
      <c r="E47" s="87" t="s">
        <v>428</v>
      </c>
      <c r="F47" s="88" t="s">
        <v>474</v>
      </c>
      <c r="G47" s="88" t="s">
        <v>475</v>
      </c>
      <c r="H47" s="87" t="s">
        <v>443</v>
      </c>
      <c r="I47" s="87" t="s">
        <v>431</v>
      </c>
      <c r="J47" s="88">
        <v>0</v>
      </c>
      <c r="K47" s="88">
        <v>0</v>
      </c>
      <c r="L47" s="88">
        <v>0</v>
      </c>
      <c r="M47" s="89">
        <v>46043</v>
      </c>
      <c r="N47" s="88">
        <v>1.5</v>
      </c>
      <c r="O47" s="90" t="s">
        <v>432</v>
      </c>
      <c r="Q47" s="91">
        <f t="shared" si="0"/>
        <v>4</v>
      </c>
      <c r="R47" s="91" t="str">
        <f t="shared" si="1"/>
        <v>Jan</v>
      </c>
      <c r="S47" s="92" t="str">
        <f t="shared" si="2"/>
        <v>Wednesday</v>
      </c>
      <c r="T47" s="93" t="s">
        <v>431</v>
      </c>
      <c r="U47" s="94" t="s">
        <v>444</v>
      </c>
      <c r="W47" s="95">
        <v>0</v>
      </c>
      <c r="X47" s="96"/>
      <c r="Y47" s="97">
        <f t="shared" si="10"/>
        <v>46043</v>
      </c>
      <c r="Z47" s="98" t="str">
        <f>SUBSTITUTE('Digitas UK Task 26'!$O47, "Complet", "Not Requir")</f>
        <v>Not Required</v>
      </c>
      <c r="AA47" s="98" t="str">
        <f t="shared" si="4"/>
        <v>WELLA | FY26Q3 NNE - UK | TAG REQUEST</v>
      </c>
      <c r="AB47" s="99"/>
      <c r="AF47" s="84" t="str">
        <f t="shared" si="5"/>
        <v/>
      </c>
      <c r="AH47" s="84" t="str">
        <f t="shared" si="6"/>
        <v>PL_0_CR_0_AD_0_Jira_0_</v>
      </c>
      <c r="AI47" s="84" t="str">
        <f t="shared" si="7"/>
        <v/>
      </c>
      <c r="AJ47" s="84" t="str">
        <f>IF(Z47&lt;&gt;"Done","",(_xlfn.CONCAT("PL_",DigitasUKAdOp_26Team[[#This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8" spans="1:36" ht="15.75" customHeight="1" x14ac:dyDescent="0.3">
      <c r="A48" s="85" t="str">
        <f t="shared" ref="A48" si="41">IF(B48="","",TEXT(B48,"MMM : DDDD"))</f>
        <v>Jan : Wednesday</v>
      </c>
      <c r="B48" s="86">
        <v>46043</v>
      </c>
      <c r="C48" s="87" t="s">
        <v>43</v>
      </c>
      <c r="D48" s="88" t="s">
        <v>481</v>
      </c>
      <c r="E48" s="87" t="s">
        <v>428</v>
      </c>
      <c r="F48" s="88" t="s">
        <v>450</v>
      </c>
      <c r="G48" s="88" t="s">
        <v>482</v>
      </c>
      <c r="H48" s="87" t="s">
        <v>443</v>
      </c>
      <c r="I48" s="87" t="s">
        <v>237</v>
      </c>
      <c r="J48" s="88">
        <v>0</v>
      </c>
      <c r="K48" s="88">
        <v>0</v>
      </c>
      <c r="L48" s="88">
        <v>0</v>
      </c>
      <c r="M48" s="89">
        <v>46044</v>
      </c>
      <c r="N48" s="88">
        <v>1</v>
      </c>
      <c r="O48" s="90" t="s">
        <v>432</v>
      </c>
      <c r="Q48" s="91">
        <f t="shared" ref="Q48" si="42">IF(B48="","",WEEKNUM(B48))</f>
        <v>4</v>
      </c>
      <c r="R48" s="91" t="str">
        <f t="shared" ref="R48" si="43">IF(B48="","",TEXT(B48,"MMM"))</f>
        <v>Jan</v>
      </c>
      <c r="S48" s="92" t="str">
        <f t="shared" ref="S48" si="44">IF(B48="","",TEXT(B48,"DDDD"))</f>
        <v>Wednesday</v>
      </c>
      <c r="T48" s="93" t="s">
        <v>237</v>
      </c>
      <c r="U48" s="94" t="s">
        <v>444</v>
      </c>
      <c r="W48" s="95">
        <v>0</v>
      </c>
      <c r="X48" s="96"/>
      <c r="Y48" s="97">
        <f t="shared" ref="Y48" si="45">IF(M48="","",M48)</f>
        <v>46044</v>
      </c>
      <c r="Z48" s="98" t="str">
        <f>SUBSTITUTE('Digitas UK Task 26'!$O48, "Complet", "Not Requir")</f>
        <v>Not Required</v>
      </c>
      <c r="AA48" s="98" t="str">
        <f t="shared" ref="AA48" si="46">IF(G48="","",G48)</f>
        <v>Crocs - S1 - Trafficking request</v>
      </c>
      <c r="AB48" s="99"/>
      <c r="AF48" s="84" t="str">
        <f t="shared" ref="AF48" si="47">IF(AD48="","",WEEKNUM(AD48))</f>
        <v/>
      </c>
      <c r="AH48" s="84" t="str">
        <f t="shared" si="6"/>
        <v>PL_0_CR_0_AD_0_Jira_0_</v>
      </c>
      <c r="AI48" s="84" t="str">
        <f t="shared" si="7"/>
        <v/>
      </c>
      <c r="AJ48" s="84" t="str">
        <f>IF(Z48&lt;&gt;"Done","",(_xlfn.CONCAT("PL_",DigitasUKAdOp_26Team[[#This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9" spans="1:36" ht="15.75" customHeight="1" x14ac:dyDescent="0.3">
      <c r="A49" s="85" t="str">
        <f t="shared" si="8"/>
        <v>Jan : Wednesday</v>
      </c>
      <c r="B49" s="86">
        <v>46043</v>
      </c>
      <c r="C49" s="87" t="s">
        <v>344</v>
      </c>
      <c r="D49" s="88" t="s">
        <v>452</v>
      </c>
      <c r="E49" s="87" t="s">
        <v>428</v>
      </c>
      <c r="F49" s="88" t="s">
        <v>450</v>
      </c>
      <c r="G49" s="88" t="s">
        <v>450</v>
      </c>
      <c r="H49" s="87" t="s">
        <v>269</v>
      </c>
      <c r="I49" s="87" t="s">
        <v>246</v>
      </c>
      <c r="J49" s="88">
        <v>0</v>
      </c>
      <c r="K49" s="88">
        <v>0</v>
      </c>
      <c r="L49" s="88">
        <v>0</v>
      </c>
      <c r="M49" s="89">
        <v>46043</v>
      </c>
      <c r="N49" s="88">
        <v>0</v>
      </c>
      <c r="O49" s="90" t="s">
        <v>432</v>
      </c>
      <c r="Q49" s="91">
        <f t="shared" si="0"/>
        <v>4</v>
      </c>
      <c r="R49" s="91" t="str">
        <f t="shared" si="1"/>
        <v>Jan</v>
      </c>
      <c r="S49" s="92" t="str">
        <f t="shared" si="2"/>
        <v>Wednesday</v>
      </c>
      <c r="T49" s="93" t="s">
        <v>246</v>
      </c>
      <c r="U49" s="94" t="s">
        <v>444</v>
      </c>
      <c r="W49" s="95">
        <v>0</v>
      </c>
      <c r="X49" s="96"/>
      <c r="Y49" s="97">
        <f t="shared" si="10"/>
        <v>46043</v>
      </c>
      <c r="Z49" s="98" t="str">
        <f>SUBSTITUTE('Digitas UK Task 26'!$O49, "Complet", "Not Requir")</f>
        <v>Not Required</v>
      </c>
      <c r="AA49" s="98" t="str">
        <f t="shared" si="4"/>
        <v>NA</v>
      </c>
      <c r="AB49" s="99"/>
      <c r="AF49" s="84" t="str">
        <f t="shared" si="5"/>
        <v/>
      </c>
      <c r="AH49" s="84" t="str">
        <f t="shared" si="6"/>
        <v>PL_0_CR_0_AD_0_Jira_0_</v>
      </c>
      <c r="AI49" s="84" t="str">
        <f t="shared" si="7"/>
        <v/>
      </c>
      <c r="AJ49" s="84" t="str">
        <f>IF(Z49&lt;&gt;"Done","",(_xlfn.CONCAT("PL_",DigitasUKAdOp_26Team[[#This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0" spans="1:36" ht="15.75" customHeight="1" x14ac:dyDescent="0.3">
      <c r="A50" s="85" t="str">
        <f>IF(B50="","",TEXT(B50,"MMM : DDDD"))</f>
        <v>Jan : Wednesday</v>
      </c>
      <c r="B50" s="86">
        <v>46043</v>
      </c>
      <c r="C50" s="87" t="s">
        <v>318</v>
      </c>
      <c r="D50" s="88" t="s">
        <v>427</v>
      </c>
      <c r="E50" s="87" t="s">
        <v>428</v>
      </c>
      <c r="F50" s="88" t="s">
        <v>474</v>
      </c>
      <c r="G50" s="88" t="s">
        <v>475</v>
      </c>
      <c r="H50" s="87" t="s">
        <v>443</v>
      </c>
      <c r="I50" s="87" t="s">
        <v>250</v>
      </c>
      <c r="J50" s="88">
        <v>0</v>
      </c>
      <c r="K50" s="88">
        <v>0</v>
      </c>
      <c r="L50" s="88">
        <v>0</v>
      </c>
      <c r="M50" s="89">
        <v>46043</v>
      </c>
      <c r="N50" s="88">
        <v>1</v>
      </c>
      <c r="O50" s="90" t="s">
        <v>432</v>
      </c>
      <c r="Q50" s="91">
        <f t="shared" si="0"/>
        <v>4</v>
      </c>
      <c r="R50" s="91" t="str">
        <f t="shared" si="1"/>
        <v>Jan</v>
      </c>
      <c r="S50" s="92" t="str">
        <f t="shared" si="2"/>
        <v>Wednesday</v>
      </c>
      <c r="T50" s="93" t="s">
        <v>250</v>
      </c>
      <c r="U50" s="94" t="s">
        <v>444</v>
      </c>
      <c r="W50" s="95">
        <v>0</v>
      </c>
      <c r="X50" s="96"/>
      <c r="Y50" s="97">
        <f t="shared" si="10"/>
        <v>46043</v>
      </c>
      <c r="Z50" s="98" t="str">
        <f>SUBSTITUTE('Digitas UK Task 26'!$O50, "Complet", "Not Requir")</f>
        <v>Not Required</v>
      </c>
      <c r="AA50" s="98" t="str">
        <f t="shared" si="4"/>
        <v>WELLA | FY26Q3 NNE - UK | TAG REQUEST</v>
      </c>
      <c r="AB50" s="99"/>
      <c r="AF50" s="84" t="str">
        <f t="shared" si="5"/>
        <v/>
      </c>
      <c r="AH50" s="84" t="str">
        <f t="shared" si="6"/>
        <v>PL_0_CR_0_AD_0_Jira_0_</v>
      </c>
      <c r="AI50" s="84" t="str">
        <f t="shared" si="7"/>
        <v/>
      </c>
      <c r="AJ50" s="84" t="str">
        <f>IF(Z50&lt;&gt;"Done","",(_xlfn.CONCAT("PL_",DigitasUKAdOp_26Team[[#This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1" spans="1:36" ht="15.75" customHeight="1" x14ac:dyDescent="0.3">
      <c r="A51" s="85" t="str">
        <f t="shared" ref="A51" si="48">IF(B51="","",TEXT(B51,"MMM : DDDD"))</f>
        <v>Jan : Wednesday</v>
      </c>
      <c r="B51" s="86">
        <v>46043</v>
      </c>
      <c r="C51" s="87" t="s">
        <v>318</v>
      </c>
      <c r="D51" s="88" t="s">
        <v>427</v>
      </c>
      <c r="E51" s="87" t="s">
        <v>428</v>
      </c>
      <c r="F51" s="88" t="s">
        <v>477</v>
      </c>
      <c r="G51" s="88" t="s">
        <v>475</v>
      </c>
      <c r="H51" s="87" t="s">
        <v>443</v>
      </c>
      <c r="I51" s="87" t="s">
        <v>246</v>
      </c>
      <c r="J51" s="88">
        <v>2</v>
      </c>
      <c r="K51" s="88">
        <v>2</v>
      </c>
      <c r="L51" s="88">
        <v>2</v>
      </c>
      <c r="M51" s="89">
        <v>46043</v>
      </c>
      <c r="N51" s="88">
        <v>1</v>
      </c>
      <c r="O51" s="90" t="s">
        <v>432</v>
      </c>
      <c r="Q51" s="91">
        <f t="shared" ref="Q51" si="49">IF(B51="","",WEEKNUM(B51))</f>
        <v>4</v>
      </c>
      <c r="R51" s="91" t="str">
        <f t="shared" ref="R51" si="50">IF(B51="","",TEXT(B51,"MMM"))</f>
        <v>Jan</v>
      </c>
      <c r="S51" s="92" t="str">
        <f t="shared" ref="S51" si="51">IF(B51="","",TEXT(B51,"DDDD"))</f>
        <v>Wednesday</v>
      </c>
      <c r="T51" s="93" t="s">
        <v>237</v>
      </c>
      <c r="U51" s="94" t="s">
        <v>433</v>
      </c>
      <c r="W51" s="95">
        <v>0.25</v>
      </c>
      <c r="X51" s="96"/>
      <c r="Y51" s="97">
        <f t="shared" ref="Y51" si="52">IF(M51="","",M51)</f>
        <v>46043</v>
      </c>
      <c r="Z51" s="98" t="str">
        <f>SUBSTITUTE('Digitas UK Task 26'!$O51, "Complet", "Not Requir")</f>
        <v>Not Required</v>
      </c>
      <c r="AA51" s="98" t="str">
        <f t="shared" ref="AA51" si="53">IF(G51="","",G51)</f>
        <v>WELLA | FY26Q3 NNE - UK | TAG REQUEST</v>
      </c>
      <c r="AB51" s="99"/>
      <c r="AF51" s="84" t="str">
        <f t="shared" ref="AF51" si="54">IF(AD51="","",WEEKNUM(AD51))</f>
        <v/>
      </c>
      <c r="AH51" s="84" t="str">
        <f t="shared" si="6"/>
        <v>PL_2_CR_2_AD_2_Jira_0_</v>
      </c>
      <c r="AI51" s="84" t="str">
        <f t="shared" si="7"/>
        <v>PL_2_CR_2_AD_2_Jira_0_</v>
      </c>
      <c r="AJ51" s="84" t="str">
        <f>IF(Z51&lt;&gt;"Done","",(_xlfn.CONCAT("PL_",DigitasUKAdOp_26Team[[#This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2" spans="1:36" ht="15.75" customHeight="1" x14ac:dyDescent="0.3">
      <c r="A52" s="85" t="str">
        <f t="shared" si="8"/>
        <v>Jan : Thursday</v>
      </c>
      <c r="B52" s="86">
        <v>46044</v>
      </c>
      <c r="C52" s="87" t="s">
        <v>318</v>
      </c>
      <c r="D52" s="88" t="s">
        <v>427</v>
      </c>
      <c r="E52" s="87" t="s">
        <v>428</v>
      </c>
      <c r="F52" s="88" t="s">
        <v>483</v>
      </c>
      <c r="G52" s="88" t="s">
        <v>484</v>
      </c>
      <c r="H52" s="87" t="s">
        <v>269</v>
      </c>
      <c r="I52" s="87" t="s">
        <v>250</v>
      </c>
      <c r="J52" s="88">
        <v>1</v>
      </c>
      <c r="K52" s="88">
        <v>1</v>
      </c>
      <c r="L52" s="88">
        <v>1</v>
      </c>
      <c r="M52" s="89">
        <v>46044</v>
      </c>
      <c r="N52" s="88">
        <v>0.25</v>
      </c>
      <c r="O52" s="90" t="s">
        <v>432</v>
      </c>
      <c r="Q52" s="91">
        <f t="shared" si="0"/>
        <v>4</v>
      </c>
      <c r="R52" s="91" t="str">
        <f t="shared" si="1"/>
        <v>Jan</v>
      </c>
      <c r="S52" s="92" t="str">
        <f t="shared" si="2"/>
        <v>Thursday</v>
      </c>
      <c r="T52" s="93" t="s">
        <v>237</v>
      </c>
      <c r="U52" s="94" t="s">
        <v>433</v>
      </c>
      <c r="W52" s="95">
        <v>0.25</v>
      </c>
      <c r="X52" s="96"/>
      <c r="Y52" s="97">
        <f t="shared" si="10"/>
        <v>46044</v>
      </c>
      <c r="Z52" s="98" t="str">
        <f>SUBSTITUTE('Digitas UK Task 26'!$O52, "Complet", "Not Requir")</f>
        <v>Not Required</v>
      </c>
      <c r="AA52" s="98" t="str">
        <f t="shared" si="4"/>
        <v>RE: WELLA | FY26Q3 NNE - UK | TAG REQUEST</v>
      </c>
      <c r="AB52" s="99"/>
      <c r="AF52" s="84" t="str">
        <f t="shared" si="5"/>
        <v/>
      </c>
      <c r="AH52" s="84" t="str">
        <f t="shared" si="6"/>
        <v>PL_1_CR_1_AD_1_Jira_0_</v>
      </c>
      <c r="AI52" s="84" t="str">
        <f t="shared" si="7"/>
        <v>PL_1_CR_1_AD_1_Jira_0_</v>
      </c>
      <c r="AJ52" s="84" t="str">
        <f>IF(Z52&lt;&gt;"Done","",(_xlfn.CONCAT("PL_",DigitasUKAdOp_26Team[[#This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3" spans="1:36" ht="15.75" customHeight="1" x14ac:dyDescent="0.3">
      <c r="A53" s="85" t="str">
        <f t="shared" si="8"/>
        <v>Jan : Thursday</v>
      </c>
      <c r="B53" s="86">
        <v>46044</v>
      </c>
      <c r="C53" s="87" t="s">
        <v>318</v>
      </c>
      <c r="D53" s="88" t="s">
        <v>427</v>
      </c>
      <c r="E53" s="87" t="s">
        <v>428</v>
      </c>
      <c r="F53" s="88" t="s">
        <v>485</v>
      </c>
      <c r="G53" s="88" t="s">
        <v>484</v>
      </c>
      <c r="H53" s="87" t="s">
        <v>269</v>
      </c>
      <c r="I53" s="87" t="s">
        <v>250</v>
      </c>
      <c r="J53" s="88">
        <v>1</v>
      </c>
      <c r="K53" s="88">
        <v>1</v>
      </c>
      <c r="L53" s="88">
        <v>1</v>
      </c>
      <c r="M53" s="89">
        <v>46044</v>
      </c>
      <c r="N53" s="88">
        <v>0.25</v>
      </c>
      <c r="O53" s="90" t="s">
        <v>432</v>
      </c>
      <c r="Q53" s="91">
        <f t="shared" si="0"/>
        <v>4</v>
      </c>
      <c r="R53" s="91" t="str">
        <f t="shared" si="1"/>
        <v>Jan</v>
      </c>
      <c r="S53" s="92" t="str">
        <f t="shared" si="2"/>
        <v>Thursday</v>
      </c>
      <c r="T53" s="93" t="s">
        <v>237</v>
      </c>
      <c r="U53" s="94" t="s">
        <v>433</v>
      </c>
      <c r="W53" s="95">
        <v>0.25</v>
      </c>
      <c r="X53" s="96"/>
      <c r="Y53" s="97">
        <f t="shared" si="10"/>
        <v>46044</v>
      </c>
      <c r="Z53" s="98" t="str">
        <f>SUBSTITUTE('Digitas UK Task 26'!$O53, "Complet", "Not Requir")</f>
        <v>Not Required</v>
      </c>
      <c r="AA53" s="98" t="str">
        <f t="shared" si="4"/>
        <v>RE: WELLA | FY26Q3 NNE - UK | TAG REQUEST</v>
      </c>
      <c r="AB53" s="99"/>
      <c r="AF53" s="84" t="str">
        <f t="shared" si="5"/>
        <v/>
      </c>
      <c r="AH53" s="84" t="str">
        <f t="shared" si="6"/>
        <v>PL_1_CR_1_AD_1_Jira_0_</v>
      </c>
      <c r="AI53" s="84" t="str">
        <f t="shared" si="7"/>
        <v>PL_1_CR_1_AD_1_Jira_0_</v>
      </c>
      <c r="AJ53" s="84" t="str">
        <f>IF(Z53&lt;&gt;"Done","",(_xlfn.CONCAT("PL_",DigitasUKAdOp_26Team[[#This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4" spans="1:36" ht="15.75" customHeight="1" x14ac:dyDescent="0.3">
      <c r="A54" s="85" t="str">
        <f t="shared" ref="A54:A59" si="55">IF(B54="","",TEXT(B54,"MMM : DDDD"))</f>
        <v>Jan : Thursday</v>
      </c>
      <c r="B54" s="86">
        <v>46044</v>
      </c>
      <c r="C54" s="87" t="s">
        <v>344</v>
      </c>
      <c r="D54" s="88" t="s">
        <v>452</v>
      </c>
      <c r="E54" s="87" t="s">
        <v>428</v>
      </c>
      <c r="F54" s="88" t="s">
        <v>457</v>
      </c>
      <c r="G54" s="88" t="s">
        <v>486</v>
      </c>
      <c r="H54" s="87" t="s">
        <v>269</v>
      </c>
      <c r="I54" s="87" t="s">
        <v>246</v>
      </c>
      <c r="J54" s="88">
        <v>3</v>
      </c>
      <c r="K54" s="88">
        <v>3</v>
      </c>
      <c r="L54" s="88">
        <v>3</v>
      </c>
      <c r="M54" s="89">
        <v>46044</v>
      </c>
      <c r="N54" s="88">
        <v>0.5</v>
      </c>
      <c r="O54" s="90" t="s">
        <v>432</v>
      </c>
      <c r="Q54" s="91">
        <f t="shared" ref="Q54:Q59" si="56">IF(B54="","",WEEKNUM(B54))</f>
        <v>4</v>
      </c>
      <c r="R54" s="91" t="str">
        <f t="shared" ref="R54:R59" si="57">IF(B54="","",TEXT(B54,"MMM"))</f>
        <v>Jan</v>
      </c>
      <c r="S54" s="92" t="str">
        <f t="shared" ref="S54:S59" si="58">IF(B54="","",TEXT(B54,"DDDD"))</f>
        <v>Thursday</v>
      </c>
      <c r="T54" s="93" t="s">
        <v>250</v>
      </c>
      <c r="U54" s="94" t="s">
        <v>433</v>
      </c>
      <c r="W54" s="95">
        <v>0.25</v>
      </c>
      <c r="X54" s="96"/>
      <c r="Y54" s="97">
        <f t="shared" ref="Y54:Y59" si="59">IF(M54="","",M54)</f>
        <v>46044</v>
      </c>
      <c r="Z54" s="98" t="str">
        <f>SUBSTITUTE('Digitas UK Task 26'!$O54, "Complet", "Not Requir")</f>
        <v>Not Required</v>
      </c>
      <c r="AA54" s="98" t="str">
        <f t="shared" ref="AA54:AA59" si="60">IF(G54="","",G54)</f>
        <v>RE: Digitas x Monzo | Tagging support</v>
      </c>
      <c r="AB54" s="99"/>
      <c r="AF54" s="84" t="str">
        <f t="shared" ref="AF54:AF59" si="61">IF(AD54="","",WEEKNUM(AD54))</f>
        <v/>
      </c>
      <c r="AH54" s="84" t="str">
        <f t="shared" si="6"/>
        <v>PL_3_CR_3_AD_3_Jira_0_</v>
      </c>
      <c r="AI54" s="84" t="str">
        <f t="shared" si="7"/>
        <v>PL_3_CR_3_AD_3_Jira_0_</v>
      </c>
      <c r="AJ54" s="84" t="str">
        <f>IF(Z54&lt;&gt;"Done","",(_xlfn.CONCAT("PL_",DigitasUKAdOp_26Team[[#This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5" spans="1:36" ht="15.75" customHeight="1" x14ac:dyDescent="0.3">
      <c r="A55" s="85" t="str">
        <f t="shared" si="55"/>
        <v>Jan : Thursday</v>
      </c>
      <c r="B55" s="86">
        <v>46044</v>
      </c>
      <c r="C55" s="87" t="s">
        <v>43</v>
      </c>
      <c r="D55" s="88" t="s">
        <v>481</v>
      </c>
      <c r="E55" s="87" t="s">
        <v>428</v>
      </c>
      <c r="F55" s="88" t="s">
        <v>450</v>
      </c>
      <c r="G55" s="88" t="s">
        <v>482</v>
      </c>
      <c r="H55" s="87" t="s">
        <v>244</v>
      </c>
      <c r="I55" s="87" t="s">
        <v>237</v>
      </c>
      <c r="J55" s="88">
        <v>40</v>
      </c>
      <c r="K55" s="88">
        <v>40</v>
      </c>
      <c r="L55" s="88">
        <v>40</v>
      </c>
      <c r="M55" s="89">
        <v>46044</v>
      </c>
      <c r="N55" s="88">
        <v>3</v>
      </c>
      <c r="O55" s="90" t="s">
        <v>432</v>
      </c>
      <c r="Q55" s="91">
        <f t="shared" si="56"/>
        <v>4</v>
      </c>
      <c r="R55" s="91" t="str">
        <f t="shared" si="57"/>
        <v>Jan</v>
      </c>
      <c r="S55" s="92" t="str">
        <f t="shared" si="58"/>
        <v>Thursday</v>
      </c>
      <c r="T55" s="93" t="s">
        <v>246</v>
      </c>
      <c r="U55" s="94" t="s">
        <v>433</v>
      </c>
      <c r="W55" s="95">
        <v>1.5</v>
      </c>
      <c r="X55" s="96"/>
      <c r="Y55" s="97">
        <f t="shared" si="59"/>
        <v>46044</v>
      </c>
      <c r="Z55" s="98" t="str">
        <f>SUBSTITUTE('Digitas UK Task 26'!$O55, "Complet", "Not Requir")</f>
        <v>Not Required</v>
      </c>
      <c r="AA55" s="98" t="str">
        <f t="shared" si="60"/>
        <v>Crocs - S1 - Trafficking request</v>
      </c>
      <c r="AB55" s="99"/>
      <c r="AF55" s="84" t="str">
        <f t="shared" si="61"/>
        <v/>
      </c>
      <c r="AH55" s="84" t="str">
        <f t="shared" si="6"/>
        <v>PL_40_CR_40_AD_40_Jira_0_</v>
      </c>
      <c r="AI55" s="84" t="str">
        <f t="shared" si="7"/>
        <v>PL_40_CR_40_AD_40_Jira_0_</v>
      </c>
      <c r="AJ55" s="84" t="str">
        <f>IF(Z55&lt;&gt;"Done","",(_xlfn.CONCAT("PL_",DigitasUKAdOp_26Team[[#This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6" spans="1:36" ht="15.75" customHeight="1" x14ac:dyDescent="0.3">
      <c r="A56" s="85" t="str">
        <f t="shared" si="55"/>
        <v>Jan : Thursday</v>
      </c>
      <c r="B56" s="86">
        <v>46044</v>
      </c>
      <c r="C56" s="87" t="s">
        <v>43</v>
      </c>
      <c r="D56" s="88" t="s">
        <v>481</v>
      </c>
      <c r="E56" s="87" t="s">
        <v>428</v>
      </c>
      <c r="F56" s="88" t="s">
        <v>450</v>
      </c>
      <c r="G56" s="88" t="s">
        <v>482</v>
      </c>
      <c r="H56" s="87" t="s">
        <v>443</v>
      </c>
      <c r="I56" s="87" t="s">
        <v>237</v>
      </c>
      <c r="J56" s="88">
        <v>0</v>
      </c>
      <c r="K56" s="88">
        <v>0</v>
      </c>
      <c r="L56" s="88">
        <v>0</v>
      </c>
      <c r="M56" s="89">
        <v>46044</v>
      </c>
      <c r="N56" s="88">
        <v>1.5</v>
      </c>
      <c r="O56" s="90" t="s">
        <v>432</v>
      </c>
      <c r="Q56" s="91">
        <f t="shared" si="56"/>
        <v>4</v>
      </c>
      <c r="R56" s="91" t="str">
        <f t="shared" si="57"/>
        <v>Jan</v>
      </c>
      <c r="S56" s="92" t="str">
        <f t="shared" si="58"/>
        <v>Thursday</v>
      </c>
      <c r="T56" s="93" t="s">
        <v>237</v>
      </c>
      <c r="U56" s="94" t="s">
        <v>444</v>
      </c>
      <c r="W56" s="95">
        <v>0</v>
      </c>
      <c r="X56" s="96"/>
      <c r="Y56" s="97">
        <f t="shared" si="59"/>
        <v>46044</v>
      </c>
      <c r="Z56" s="98" t="str">
        <f>SUBSTITUTE('Digitas UK Task 26'!$O56, "Complet", "Not Requir")</f>
        <v>Not Required</v>
      </c>
      <c r="AA56" s="98" t="str">
        <f t="shared" si="60"/>
        <v>Crocs - S1 - Trafficking request</v>
      </c>
      <c r="AB56" s="99"/>
      <c r="AF56" s="84" t="str">
        <f t="shared" si="61"/>
        <v/>
      </c>
      <c r="AH56" s="84" t="str">
        <f t="shared" si="6"/>
        <v>PL_0_CR_0_AD_0_Jira_0_</v>
      </c>
      <c r="AI56" s="84" t="str">
        <f t="shared" si="7"/>
        <v/>
      </c>
      <c r="AJ56" s="84" t="str">
        <f>IF(Z56&lt;&gt;"Done","",(_xlfn.CONCAT("PL_",DigitasUKAdOp_26Team[[#This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7" spans="1:36" ht="15.75" customHeight="1" x14ac:dyDescent="0.3">
      <c r="A57" s="85" t="str">
        <f t="shared" si="55"/>
        <v>Jan : Thursday</v>
      </c>
      <c r="B57" s="86">
        <v>46044</v>
      </c>
      <c r="C57" s="87" t="s">
        <v>43</v>
      </c>
      <c r="D57" s="88" t="s">
        <v>481</v>
      </c>
      <c r="E57" s="87" t="s">
        <v>428</v>
      </c>
      <c r="F57" s="88" t="s">
        <v>487</v>
      </c>
      <c r="G57" s="88" t="s">
        <v>482</v>
      </c>
      <c r="H57" s="87" t="s">
        <v>269</v>
      </c>
      <c r="I57" s="87" t="s">
        <v>237</v>
      </c>
      <c r="J57" s="88">
        <v>10</v>
      </c>
      <c r="K57" s="88">
        <v>10</v>
      </c>
      <c r="L57" s="88">
        <v>10</v>
      </c>
      <c r="M57" s="89">
        <v>46044</v>
      </c>
      <c r="N57" s="88">
        <v>0.5</v>
      </c>
      <c r="O57" s="90" t="s">
        <v>432</v>
      </c>
      <c r="Q57" s="91">
        <f t="shared" si="56"/>
        <v>4</v>
      </c>
      <c r="R57" s="91" t="str">
        <f t="shared" si="57"/>
        <v>Jan</v>
      </c>
      <c r="S57" s="92" t="str">
        <f t="shared" si="58"/>
        <v>Thursday</v>
      </c>
      <c r="T57" s="93" t="s">
        <v>246</v>
      </c>
      <c r="U57" s="94" t="s">
        <v>433</v>
      </c>
      <c r="W57" s="95">
        <v>0.25</v>
      </c>
      <c r="X57" s="96"/>
      <c r="Y57" s="97">
        <f t="shared" si="59"/>
        <v>46044</v>
      </c>
      <c r="Z57" s="98" t="str">
        <f>SUBSTITUTE('Digitas UK Task 26'!$O57, "Complet", "Not Requir")</f>
        <v>Not Required</v>
      </c>
      <c r="AA57" s="98" t="str">
        <f t="shared" si="60"/>
        <v>Crocs - S1 - Trafficking request</v>
      </c>
      <c r="AB57" s="99"/>
      <c r="AF57" s="84" t="str">
        <f t="shared" si="61"/>
        <v/>
      </c>
      <c r="AH57" s="84" t="str">
        <f t="shared" si="6"/>
        <v>PL_10_CR_10_AD_10_Jira_0_</v>
      </c>
      <c r="AI57" s="84" t="str">
        <f t="shared" si="7"/>
        <v>PL_10_CR_10_AD_10_Jira_0_</v>
      </c>
      <c r="AJ57" s="84" t="str">
        <f>IF(Z57&lt;&gt;"Done","",(_xlfn.CONCAT("PL_",DigitasUKAdOp_26Team[[#This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8" spans="1:36" ht="15.75" customHeight="1" x14ac:dyDescent="0.3">
      <c r="A58" s="85" t="str">
        <f t="shared" si="55"/>
        <v>Jan : Thursday</v>
      </c>
      <c r="B58" s="86">
        <v>46044</v>
      </c>
      <c r="C58" s="87" t="s">
        <v>43</v>
      </c>
      <c r="D58" s="88" t="s">
        <v>481</v>
      </c>
      <c r="E58" s="87" t="s">
        <v>428</v>
      </c>
      <c r="F58" s="88" t="s">
        <v>488</v>
      </c>
      <c r="G58" s="88" t="s">
        <v>482</v>
      </c>
      <c r="H58" s="87" t="s">
        <v>269</v>
      </c>
      <c r="I58" s="87" t="s">
        <v>237</v>
      </c>
      <c r="J58" s="88">
        <v>10</v>
      </c>
      <c r="K58" s="88">
        <v>10</v>
      </c>
      <c r="L58" s="88">
        <v>10</v>
      </c>
      <c r="M58" s="89">
        <v>46044</v>
      </c>
      <c r="N58" s="88">
        <v>0.5</v>
      </c>
      <c r="O58" s="90" t="s">
        <v>432</v>
      </c>
      <c r="Q58" s="91">
        <f t="shared" si="56"/>
        <v>4</v>
      </c>
      <c r="R58" s="91" t="str">
        <f t="shared" si="57"/>
        <v>Jan</v>
      </c>
      <c r="S58" s="92" t="str">
        <f t="shared" si="58"/>
        <v>Thursday</v>
      </c>
      <c r="T58" s="93" t="s">
        <v>246</v>
      </c>
      <c r="U58" s="94" t="s">
        <v>433</v>
      </c>
      <c r="W58" s="95">
        <v>0.25</v>
      </c>
      <c r="X58" s="96"/>
      <c r="Y58" s="97">
        <f t="shared" si="59"/>
        <v>46044</v>
      </c>
      <c r="Z58" s="98" t="str">
        <f>SUBSTITUTE('Digitas UK Task 26'!$O58, "Complet", "Not Requir")</f>
        <v>Not Required</v>
      </c>
      <c r="AA58" s="98" t="str">
        <f t="shared" si="60"/>
        <v>Crocs - S1 - Trafficking request</v>
      </c>
      <c r="AB58" s="99"/>
      <c r="AF58" s="84" t="str">
        <f t="shared" si="61"/>
        <v/>
      </c>
      <c r="AH58" s="84" t="str">
        <f t="shared" si="6"/>
        <v>PL_10_CR_10_AD_10_Jira_0_</v>
      </c>
      <c r="AI58" s="84" t="str">
        <f t="shared" si="7"/>
        <v>PL_10_CR_10_AD_10_Jira_0_</v>
      </c>
      <c r="AJ58" s="84" t="str">
        <f>IF(Z58&lt;&gt;"Done","",(_xlfn.CONCAT("PL_",DigitasUKAdOp_26Team[[#This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9" spans="1:36" ht="15.75" customHeight="1" x14ac:dyDescent="0.3">
      <c r="A59" s="85" t="str">
        <f t="shared" si="55"/>
        <v>Jan : Thursday</v>
      </c>
      <c r="B59" s="86">
        <v>46044</v>
      </c>
      <c r="C59" s="87" t="s">
        <v>43</v>
      </c>
      <c r="D59" s="88" t="s">
        <v>481</v>
      </c>
      <c r="E59" s="87" t="s">
        <v>428</v>
      </c>
      <c r="F59" s="88" t="s">
        <v>489</v>
      </c>
      <c r="G59" s="88" t="s">
        <v>482</v>
      </c>
      <c r="H59" s="87" t="s">
        <v>269</v>
      </c>
      <c r="I59" s="87" t="s">
        <v>237</v>
      </c>
      <c r="J59" s="88">
        <v>10</v>
      </c>
      <c r="K59" s="88">
        <v>10</v>
      </c>
      <c r="L59" s="88">
        <v>10</v>
      </c>
      <c r="M59" s="89">
        <v>46044</v>
      </c>
      <c r="N59" s="88">
        <v>0.5</v>
      </c>
      <c r="O59" s="90" t="s">
        <v>432</v>
      </c>
      <c r="Q59" s="91">
        <f t="shared" si="56"/>
        <v>4</v>
      </c>
      <c r="R59" s="91" t="str">
        <f t="shared" si="57"/>
        <v>Jan</v>
      </c>
      <c r="S59" s="92" t="str">
        <f t="shared" si="58"/>
        <v>Thursday</v>
      </c>
      <c r="T59" s="93" t="s">
        <v>246</v>
      </c>
      <c r="U59" s="94" t="s">
        <v>433</v>
      </c>
      <c r="W59" s="95">
        <v>0.25</v>
      </c>
      <c r="X59" s="96"/>
      <c r="Y59" s="97">
        <f t="shared" si="59"/>
        <v>46044</v>
      </c>
      <c r="Z59" s="98" t="str">
        <f>SUBSTITUTE('Digitas UK Task 26'!$O59, "Complet", "Not Requir")</f>
        <v>Not Required</v>
      </c>
      <c r="AA59" s="98" t="str">
        <f t="shared" si="60"/>
        <v>Crocs - S1 - Trafficking request</v>
      </c>
      <c r="AB59" s="99"/>
      <c r="AF59" s="84" t="str">
        <f t="shared" si="61"/>
        <v/>
      </c>
      <c r="AH59" s="84" t="str">
        <f t="shared" si="6"/>
        <v>PL_10_CR_10_AD_10_Jira_0_</v>
      </c>
      <c r="AI59" s="84" t="str">
        <f t="shared" si="7"/>
        <v>PL_10_CR_10_AD_10_Jira_0_</v>
      </c>
      <c r="AJ59" s="84" t="str">
        <f>IF(Z59&lt;&gt;"Done","",(_xlfn.CONCAT("PL_",DigitasUKAdOp_26Team[[#This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0" spans="1:36" ht="15.75" customHeight="1" x14ac:dyDescent="0.3">
      <c r="A60" s="85" t="str">
        <f t="shared" si="8"/>
        <v>Jan : Thursday</v>
      </c>
      <c r="B60" s="86">
        <v>46044</v>
      </c>
      <c r="C60" s="87" t="s">
        <v>344</v>
      </c>
      <c r="D60" s="88" t="s">
        <v>452</v>
      </c>
      <c r="E60" s="87" t="s">
        <v>428</v>
      </c>
      <c r="F60" s="88" t="s">
        <v>458</v>
      </c>
      <c r="G60" s="88" t="s">
        <v>486</v>
      </c>
      <c r="H60" s="87" t="s">
        <v>269</v>
      </c>
      <c r="I60" s="87" t="s">
        <v>250</v>
      </c>
      <c r="J60" s="88">
        <v>5</v>
      </c>
      <c r="K60" s="88">
        <v>5</v>
      </c>
      <c r="L60" s="88">
        <v>5</v>
      </c>
      <c r="M60" s="89">
        <v>46044</v>
      </c>
      <c r="N60" s="88">
        <v>0.25</v>
      </c>
      <c r="O60" s="90" t="s">
        <v>432</v>
      </c>
      <c r="Q60" s="91">
        <f t="shared" si="0"/>
        <v>4</v>
      </c>
      <c r="R60" s="91" t="str">
        <f t="shared" si="1"/>
        <v>Jan</v>
      </c>
      <c r="S60" s="92" t="str">
        <f t="shared" si="2"/>
        <v>Thursday</v>
      </c>
      <c r="T60" s="93" t="s">
        <v>237</v>
      </c>
      <c r="U60" s="94" t="s">
        <v>433</v>
      </c>
      <c r="V60" s="95" t="s">
        <v>490</v>
      </c>
      <c r="W60" s="95">
        <v>0.25</v>
      </c>
      <c r="X60" s="96"/>
      <c r="Y60" s="97">
        <f t="shared" si="10"/>
        <v>46044</v>
      </c>
      <c r="Z60" s="98" t="str">
        <f>SUBSTITUTE('Digitas UK Task 26'!$O60, "Complet", "Not Requir")</f>
        <v>Not Required</v>
      </c>
      <c r="AA60" s="98" t="str">
        <f t="shared" ref="AA60:AA129" si="62">IF(G60="","",G60)</f>
        <v>RE: Digitas x Monzo | Tagging support</v>
      </c>
      <c r="AB60" s="99"/>
      <c r="AF60" s="84" t="str">
        <f t="shared" si="5"/>
        <v/>
      </c>
      <c r="AH60" s="84" t="str">
        <f t="shared" si="6"/>
        <v>PL_5_CR_5_AD_5_Jira_0_</v>
      </c>
      <c r="AI60" s="84" t="str">
        <f t="shared" si="7"/>
        <v>PL_5_CR_5_AD_5_Jira_0_</v>
      </c>
      <c r="AJ60" s="84" t="str">
        <f>IF(Z60&lt;&gt;"Done","",(_xlfn.CONCAT("PL_",DigitasUKAdOp_26Team[[#This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1" spans="1:36" ht="15.75" customHeight="1" x14ac:dyDescent="0.3">
      <c r="A61" s="85" t="str">
        <f t="shared" si="8"/>
        <v>Jan : Thursday</v>
      </c>
      <c r="B61" s="86">
        <v>46044</v>
      </c>
      <c r="C61" s="87" t="s">
        <v>344</v>
      </c>
      <c r="D61" s="88" t="s">
        <v>452</v>
      </c>
      <c r="E61" s="87" t="s">
        <v>428</v>
      </c>
      <c r="F61" s="88" t="s">
        <v>457</v>
      </c>
      <c r="G61" s="88" t="s">
        <v>486</v>
      </c>
      <c r="H61" s="87" t="s">
        <v>269</v>
      </c>
      <c r="I61" s="87" t="s">
        <v>250</v>
      </c>
      <c r="J61" s="88">
        <v>5</v>
      </c>
      <c r="K61" s="88">
        <v>5</v>
      </c>
      <c r="L61" s="88">
        <v>5</v>
      </c>
      <c r="M61" s="89">
        <v>46044</v>
      </c>
      <c r="N61" s="88">
        <v>0.25</v>
      </c>
      <c r="O61" s="90" t="s">
        <v>432</v>
      </c>
      <c r="Q61" s="91">
        <f t="shared" si="0"/>
        <v>4</v>
      </c>
      <c r="R61" s="91" t="str">
        <f t="shared" si="1"/>
        <v>Jan</v>
      </c>
      <c r="S61" s="92" t="str">
        <f t="shared" si="2"/>
        <v>Thursday</v>
      </c>
      <c r="T61" s="93" t="s">
        <v>237</v>
      </c>
      <c r="U61" s="94" t="s">
        <v>433</v>
      </c>
      <c r="V61" s="95" t="s">
        <v>490</v>
      </c>
      <c r="W61" s="95">
        <v>0.25</v>
      </c>
      <c r="X61" s="96"/>
      <c r="Y61" s="97">
        <f t="shared" si="10"/>
        <v>46044</v>
      </c>
      <c r="Z61" s="98" t="str">
        <f>SUBSTITUTE('Digitas UK Task 26'!$O61, "Complet", "Not Requir")</f>
        <v>Not Required</v>
      </c>
      <c r="AA61" s="98" t="str">
        <f t="shared" si="62"/>
        <v>RE: Digitas x Monzo | Tagging support</v>
      </c>
      <c r="AB61" s="99"/>
      <c r="AF61" s="84" t="str">
        <f t="shared" si="5"/>
        <v/>
      </c>
      <c r="AH61" s="84" t="str">
        <f t="shared" si="6"/>
        <v>PL_5_CR_5_AD_5_Jira_0_</v>
      </c>
      <c r="AI61" s="84" t="str">
        <f t="shared" si="7"/>
        <v>PL_5_CR_5_AD_5_Jira_0_</v>
      </c>
      <c r="AJ61" s="84" t="str">
        <f>IF(Z61&lt;&gt;"Done","",(_xlfn.CONCAT("PL_",DigitasUKAdOp_26Team[[#This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2" spans="1:36" ht="15.75" customHeight="1" x14ac:dyDescent="0.3">
      <c r="A62" s="85" t="str">
        <f t="shared" si="8"/>
        <v>Jan : Thursday</v>
      </c>
      <c r="B62" s="86">
        <v>46044</v>
      </c>
      <c r="C62" s="87" t="s">
        <v>344</v>
      </c>
      <c r="D62" s="88" t="s">
        <v>452</v>
      </c>
      <c r="E62" s="87" t="s">
        <v>428</v>
      </c>
      <c r="F62" s="88" t="s">
        <v>453</v>
      </c>
      <c r="G62" s="88" t="s">
        <v>486</v>
      </c>
      <c r="H62" s="87" t="s">
        <v>269</v>
      </c>
      <c r="I62" s="87" t="s">
        <v>246</v>
      </c>
      <c r="J62" s="88">
        <v>5</v>
      </c>
      <c r="K62" s="88">
        <v>5</v>
      </c>
      <c r="L62" s="88">
        <v>5</v>
      </c>
      <c r="M62" s="89">
        <v>46044</v>
      </c>
      <c r="N62" s="88">
        <v>0.25</v>
      </c>
      <c r="O62" s="90" t="s">
        <v>432</v>
      </c>
      <c r="Q62" s="91">
        <f t="shared" si="0"/>
        <v>4</v>
      </c>
      <c r="R62" s="91" t="str">
        <f t="shared" si="1"/>
        <v>Jan</v>
      </c>
      <c r="S62" s="92" t="str">
        <f t="shared" si="2"/>
        <v>Thursday</v>
      </c>
      <c r="T62" s="93" t="s">
        <v>237</v>
      </c>
      <c r="U62" s="94" t="s">
        <v>433</v>
      </c>
      <c r="V62" s="95" t="s">
        <v>490</v>
      </c>
      <c r="W62" s="95">
        <v>0.25</v>
      </c>
      <c r="X62" s="96"/>
      <c r="Y62" s="97">
        <f t="shared" si="10"/>
        <v>46044</v>
      </c>
      <c r="Z62" s="98" t="str">
        <f>SUBSTITUTE('Digitas UK Task 26'!$O62, "Complet", "Not Requir")</f>
        <v>Not Required</v>
      </c>
      <c r="AA62" s="98" t="str">
        <f t="shared" si="62"/>
        <v>RE: Digitas x Monzo | Tagging support</v>
      </c>
      <c r="AB62" s="99"/>
      <c r="AF62" s="84" t="str">
        <f t="shared" si="5"/>
        <v/>
      </c>
      <c r="AH62" s="84" t="str">
        <f t="shared" si="6"/>
        <v>PL_5_CR_5_AD_5_Jira_0_</v>
      </c>
      <c r="AI62" s="84" t="str">
        <f t="shared" si="7"/>
        <v>PL_5_CR_5_AD_5_Jira_0_</v>
      </c>
      <c r="AJ62" s="84" t="str">
        <f>IF(Z62&lt;&gt;"Done","",(_xlfn.CONCAT("PL_",DigitasUKAdOp_26Team[[#This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3" spans="1:36" ht="15.75" customHeight="1" x14ac:dyDescent="0.3">
      <c r="A63" s="85" t="str">
        <f t="shared" si="8"/>
        <v>Jan : Thursday</v>
      </c>
      <c r="B63" s="86">
        <v>46044</v>
      </c>
      <c r="C63" s="87" t="s">
        <v>344</v>
      </c>
      <c r="D63" s="88" t="s">
        <v>452</v>
      </c>
      <c r="E63" s="87" t="s">
        <v>428</v>
      </c>
      <c r="F63" s="88" t="s">
        <v>456</v>
      </c>
      <c r="G63" s="88" t="s">
        <v>486</v>
      </c>
      <c r="H63" s="87" t="s">
        <v>269</v>
      </c>
      <c r="I63" s="87" t="s">
        <v>246</v>
      </c>
      <c r="J63" s="88">
        <v>5</v>
      </c>
      <c r="K63" s="88">
        <v>5</v>
      </c>
      <c r="L63" s="88">
        <v>5</v>
      </c>
      <c r="M63" s="89">
        <v>46044</v>
      </c>
      <c r="N63" s="88">
        <v>0.25</v>
      </c>
      <c r="O63" s="90" t="s">
        <v>432</v>
      </c>
      <c r="Q63" s="91">
        <f t="shared" si="0"/>
        <v>4</v>
      </c>
      <c r="R63" s="91" t="str">
        <f t="shared" si="1"/>
        <v>Jan</v>
      </c>
      <c r="S63" s="92" t="str">
        <f t="shared" si="2"/>
        <v>Thursday</v>
      </c>
      <c r="T63" s="93" t="s">
        <v>237</v>
      </c>
      <c r="U63" s="94" t="s">
        <v>433</v>
      </c>
      <c r="V63" s="95" t="s">
        <v>490</v>
      </c>
      <c r="W63" s="95">
        <v>0.25</v>
      </c>
      <c r="X63" s="96"/>
      <c r="Y63" s="97">
        <f t="shared" si="10"/>
        <v>46044</v>
      </c>
      <c r="Z63" s="98" t="str">
        <f>SUBSTITUTE('Digitas UK Task 26'!$O63, "Complet", "Not Requir")</f>
        <v>Not Required</v>
      </c>
      <c r="AA63" s="98" t="str">
        <f t="shared" si="62"/>
        <v>RE: Digitas x Monzo | Tagging support</v>
      </c>
      <c r="AB63" s="99"/>
      <c r="AF63" s="84" t="str">
        <f t="shared" si="5"/>
        <v/>
      </c>
      <c r="AH63" s="84" t="str">
        <f t="shared" si="6"/>
        <v>PL_5_CR_5_AD_5_Jira_0_</v>
      </c>
      <c r="AI63" s="84" t="str">
        <f t="shared" si="7"/>
        <v>PL_5_CR_5_AD_5_Jira_0_</v>
      </c>
      <c r="AJ63" s="84" t="str">
        <f>IF(Z63&lt;&gt;"Done","",(_xlfn.CONCAT("PL_",DigitasUKAdOp_26Team[[#This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4" spans="1:36" ht="15.75" customHeight="1" x14ac:dyDescent="0.3">
      <c r="A64" s="85" t="str">
        <f t="shared" si="8"/>
        <v>Jan : Thursday</v>
      </c>
      <c r="B64" s="86">
        <v>46044</v>
      </c>
      <c r="C64" s="87" t="s">
        <v>344</v>
      </c>
      <c r="D64" s="88" t="s">
        <v>452</v>
      </c>
      <c r="E64" s="87" t="s">
        <v>428</v>
      </c>
      <c r="F64" s="88" t="s">
        <v>457</v>
      </c>
      <c r="G64" s="88" t="s">
        <v>486</v>
      </c>
      <c r="H64" s="87" t="s">
        <v>269</v>
      </c>
      <c r="I64" s="87" t="s">
        <v>237</v>
      </c>
      <c r="J64" s="88">
        <v>5</v>
      </c>
      <c r="K64" s="88">
        <v>5</v>
      </c>
      <c r="L64" s="88">
        <v>5</v>
      </c>
      <c r="M64" s="89">
        <v>46044</v>
      </c>
      <c r="N64" s="88">
        <v>0.25</v>
      </c>
      <c r="O64" s="90" t="s">
        <v>432</v>
      </c>
      <c r="Q64" s="91">
        <f t="shared" si="0"/>
        <v>4</v>
      </c>
      <c r="R64" s="91" t="str">
        <f t="shared" si="1"/>
        <v>Jan</v>
      </c>
      <c r="S64" s="92" t="str">
        <f t="shared" si="2"/>
        <v>Thursday</v>
      </c>
      <c r="T64" s="93" t="s">
        <v>250</v>
      </c>
      <c r="U64" s="94" t="s">
        <v>433</v>
      </c>
      <c r="W64" s="95">
        <v>0.25</v>
      </c>
      <c r="X64" s="96"/>
      <c r="Y64" s="97">
        <f t="shared" si="10"/>
        <v>46044</v>
      </c>
      <c r="Z64" s="98" t="str">
        <f>SUBSTITUTE('Digitas UK Task 26'!$O64, "Complet", "Not Requir")</f>
        <v>Not Required</v>
      </c>
      <c r="AA64" s="98" t="str">
        <f t="shared" si="62"/>
        <v>RE: Digitas x Monzo | Tagging support</v>
      </c>
      <c r="AB64" s="99"/>
      <c r="AF64" s="84" t="str">
        <f t="shared" si="5"/>
        <v/>
      </c>
      <c r="AH64" s="84" t="str">
        <f t="shared" si="6"/>
        <v>PL_5_CR_5_AD_5_Jira_0_</v>
      </c>
      <c r="AI64" s="84" t="str">
        <f t="shared" si="7"/>
        <v>PL_5_CR_5_AD_5_Jira_0_</v>
      </c>
      <c r="AJ64" s="84" t="str">
        <f>IF(Z64&lt;&gt;"Done","",(_xlfn.CONCAT("PL_",DigitasUKAdOp_26Team[[#This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5" spans="1:36" ht="15.75" customHeight="1" x14ac:dyDescent="0.3">
      <c r="A65" s="85" t="str">
        <f t="shared" ref="A65:A66" si="63">IF(B65="","",TEXT(B65,"MMM : DDDD"))</f>
        <v>Jan : Thursday</v>
      </c>
      <c r="B65" s="86">
        <v>46044</v>
      </c>
      <c r="C65" s="87" t="s">
        <v>344</v>
      </c>
      <c r="D65" s="88" t="s">
        <v>452</v>
      </c>
      <c r="E65" s="87" t="s">
        <v>428</v>
      </c>
      <c r="F65" s="88" t="s">
        <v>457</v>
      </c>
      <c r="G65" s="88" t="s">
        <v>486</v>
      </c>
      <c r="H65" s="87" t="s">
        <v>443</v>
      </c>
      <c r="I65" s="87" t="s">
        <v>237</v>
      </c>
      <c r="J65" s="88">
        <v>0</v>
      </c>
      <c r="K65" s="88">
        <v>0</v>
      </c>
      <c r="L65" s="88">
        <v>0</v>
      </c>
      <c r="M65" s="89">
        <v>46044</v>
      </c>
      <c r="N65" s="88">
        <v>0.75</v>
      </c>
      <c r="O65" s="90" t="s">
        <v>432</v>
      </c>
      <c r="Q65" s="91">
        <f t="shared" ref="Q65:Q66" si="64">IF(B65="","",WEEKNUM(B65))</f>
        <v>4</v>
      </c>
      <c r="R65" s="91" t="str">
        <f t="shared" ref="R65:R66" si="65">IF(B65="","",TEXT(B65,"MMM"))</f>
        <v>Jan</v>
      </c>
      <c r="S65" s="92" t="str">
        <f t="shared" ref="S65:S66" si="66">IF(B65="","",TEXT(B65,"DDDD"))</f>
        <v>Thursday</v>
      </c>
      <c r="T65" s="93" t="s">
        <v>237</v>
      </c>
      <c r="U65" s="94" t="s">
        <v>444</v>
      </c>
      <c r="W65" s="95">
        <v>0</v>
      </c>
      <c r="X65" s="96"/>
      <c r="Y65" s="97">
        <f t="shared" ref="Y65:Y66" si="67">IF(M65="","",M65)</f>
        <v>46044</v>
      </c>
      <c r="Z65" s="98" t="str">
        <f>SUBSTITUTE('Digitas UK Task 26'!$O65, "Complet", "Not Requir")</f>
        <v>Not Required</v>
      </c>
      <c r="AA65" s="98" t="str">
        <f t="shared" ref="AA65:AA66" si="68">IF(G65="","",G65)</f>
        <v>RE: Digitas x Monzo | Tagging support</v>
      </c>
      <c r="AB65" s="99"/>
      <c r="AF65" s="84" t="str">
        <f t="shared" ref="AF65:AF66" si="69">IF(AD65="","",WEEKNUM(AD65))</f>
        <v/>
      </c>
      <c r="AH65" s="84" t="str">
        <f t="shared" si="6"/>
        <v>PL_0_CR_0_AD_0_Jira_0_</v>
      </c>
      <c r="AI65" s="84" t="str">
        <f t="shared" si="7"/>
        <v/>
      </c>
      <c r="AJ65" s="84" t="str">
        <f>IF(Z65&lt;&gt;"Done","",(_xlfn.CONCAT("PL_",DigitasUKAdOp_26Team[[#This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6" spans="1:36" ht="15.75" customHeight="1" x14ac:dyDescent="0.3">
      <c r="A66" s="85" t="str">
        <f t="shared" si="63"/>
        <v>Jan : Friday</v>
      </c>
      <c r="B66" s="86">
        <v>46045</v>
      </c>
      <c r="C66" s="87" t="s">
        <v>338</v>
      </c>
      <c r="D66" s="88" t="s">
        <v>491</v>
      </c>
      <c r="E66" s="87" t="s">
        <v>428</v>
      </c>
      <c r="F66" s="88" t="s">
        <v>441</v>
      </c>
      <c r="G66" s="88" t="s">
        <v>492</v>
      </c>
      <c r="H66" s="87" t="s">
        <v>443</v>
      </c>
      <c r="I66" s="87" t="s">
        <v>237</v>
      </c>
      <c r="J66" s="88">
        <v>0</v>
      </c>
      <c r="K66" s="88">
        <v>0</v>
      </c>
      <c r="L66" s="88">
        <v>0</v>
      </c>
      <c r="M66" s="89">
        <v>46055</v>
      </c>
      <c r="N66" s="88">
        <v>1.5</v>
      </c>
      <c r="O66" s="90" t="s">
        <v>432</v>
      </c>
      <c r="P66" s="88" t="s">
        <v>493</v>
      </c>
      <c r="Q66" s="91">
        <f t="shared" si="64"/>
        <v>4</v>
      </c>
      <c r="R66" s="91" t="str">
        <f t="shared" si="65"/>
        <v>Jan</v>
      </c>
      <c r="S66" s="92" t="str">
        <f t="shared" si="66"/>
        <v>Friday</v>
      </c>
      <c r="T66" s="93" t="s">
        <v>237</v>
      </c>
      <c r="U66" s="94" t="s">
        <v>444</v>
      </c>
      <c r="W66" s="95">
        <v>0</v>
      </c>
      <c r="X66" s="96"/>
      <c r="Y66" s="97">
        <f t="shared" si="67"/>
        <v>46055</v>
      </c>
      <c r="Z66" s="98" t="str">
        <f>SUBSTITUTE('Digitas UK Task 26'!$O66, "Complet", "Not Requir")</f>
        <v>Not Required</v>
      </c>
      <c r="AA66" s="98" t="str">
        <f t="shared" si="68"/>
        <v>Trafficking Request - BN UK Vimkunya Doceree AB Testing</v>
      </c>
      <c r="AB66" s="99"/>
      <c r="AF66" s="84" t="str">
        <f t="shared" si="69"/>
        <v/>
      </c>
      <c r="AH66" s="84" t="str">
        <f t="shared" ref="AH66:AH129" si="70">IF(B66="","",_xlfn.CONCAT("PL_",J66,"_CR_",K66,"_AD_",L66,"_Jira_",IF(AND(C66="P&amp;G",ISNUMBER(SEARCH("TAAGPNG-",G66))),MID(G66,SEARCH("TAAGPNG-",G66)+8,LEN(G66)-SEARCH("TAAGPNG-",G66)-7),"0"),"_"))</f>
        <v>PL_0_CR_0_AD_0_Jira_0_</v>
      </c>
      <c r="AI66" s="84" t="str">
        <f t="shared" ref="AI66:AI129" si="71">IF(U66&lt;&gt;"Done","",_xlfn.CONCAT("PL_",J66,"_CR_",K66,"_AD_",L66,"_Jira_",IF(AND(C66="P&amp;G",ISNUMBER(SEARCH("TAAGPNG-",G66))),MID(G66,SEARCH("TAAGPNG-",G66)+8,LEN(G66)-SEARCH("TAAGPNG-",G66)-7),"0"),"_"))</f>
        <v/>
      </c>
      <c r="AJ66" s="84" t="str">
        <f>IF(Z66&lt;&gt;"Done","",(_xlfn.CONCAT("PL_",DigitasUKAdOp_26Team[[#This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7" spans="1:36" ht="15.75" customHeight="1" x14ac:dyDescent="0.3">
      <c r="A67" s="85" t="str">
        <f t="shared" si="8"/>
        <v>Jan : Friday</v>
      </c>
      <c r="B67" s="86">
        <v>46045</v>
      </c>
      <c r="C67" s="87" t="s">
        <v>338</v>
      </c>
      <c r="D67" s="88" t="s">
        <v>491</v>
      </c>
      <c r="E67" s="87" t="s">
        <v>428</v>
      </c>
      <c r="F67" s="88" t="s">
        <v>441</v>
      </c>
      <c r="G67" s="88" t="s">
        <v>492</v>
      </c>
      <c r="H67" s="87" t="s">
        <v>269</v>
      </c>
      <c r="I67" s="87" t="s">
        <v>237</v>
      </c>
      <c r="J67" s="88">
        <v>20</v>
      </c>
      <c r="K67" s="88">
        <v>20</v>
      </c>
      <c r="L67" s="88">
        <v>20</v>
      </c>
      <c r="M67" s="89">
        <v>46055</v>
      </c>
      <c r="N67" s="88">
        <v>3</v>
      </c>
      <c r="O67" s="90" t="s">
        <v>432</v>
      </c>
      <c r="P67" s="88" t="s">
        <v>493</v>
      </c>
      <c r="Q67" s="91">
        <f t="shared" si="0"/>
        <v>4</v>
      </c>
      <c r="R67" s="91" t="str">
        <f t="shared" si="1"/>
        <v>Jan</v>
      </c>
      <c r="S67" s="92" t="str">
        <f t="shared" si="2"/>
        <v>Friday</v>
      </c>
      <c r="T67" s="93" t="s">
        <v>250</v>
      </c>
      <c r="U67" s="94" t="s">
        <v>433</v>
      </c>
      <c r="V67" s="95" t="s">
        <v>494</v>
      </c>
      <c r="W67" s="95">
        <v>1</v>
      </c>
      <c r="X67" s="96"/>
      <c r="Y67" s="97">
        <f t="shared" si="10"/>
        <v>46055</v>
      </c>
      <c r="Z67" s="98" t="str">
        <f>SUBSTITUTE('Digitas UK Task 26'!$O67, "Complet", "Not Requir")</f>
        <v>Not Required</v>
      </c>
      <c r="AA67" s="98" t="str">
        <f t="shared" si="62"/>
        <v>Trafficking Request - BN UK Vimkunya Doceree AB Testing</v>
      </c>
      <c r="AB67" s="99"/>
      <c r="AF67" s="84" t="str">
        <f t="shared" si="5"/>
        <v/>
      </c>
      <c r="AH67" s="84" t="str">
        <f t="shared" si="70"/>
        <v>PL_20_CR_20_AD_20_Jira_0_</v>
      </c>
      <c r="AI67" s="84" t="str">
        <f t="shared" si="71"/>
        <v>PL_20_CR_20_AD_20_Jira_0_</v>
      </c>
      <c r="AJ67" s="84" t="str">
        <f>IF(Z67&lt;&gt;"Done","",(_xlfn.CONCAT("PL_",DigitasUKAdOp_26Team[[#This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8" spans="1:36" ht="15.75" customHeight="1" x14ac:dyDescent="0.3">
      <c r="A68" s="85" t="str">
        <f t="shared" ref="A68" si="72">IF(B68="","",TEXT(B68,"MMM : DDDD"))</f>
        <v>Jan : Friday</v>
      </c>
      <c r="B68" s="86">
        <v>46045</v>
      </c>
      <c r="C68" s="87" t="s">
        <v>338</v>
      </c>
      <c r="D68" s="88" t="s">
        <v>491</v>
      </c>
      <c r="E68" s="87" t="s">
        <v>428</v>
      </c>
      <c r="F68" s="88" t="s">
        <v>441</v>
      </c>
      <c r="G68" s="88" t="s">
        <v>492</v>
      </c>
      <c r="H68" s="87" t="s">
        <v>443</v>
      </c>
      <c r="I68" s="87" t="s">
        <v>237</v>
      </c>
      <c r="J68" s="88">
        <v>0</v>
      </c>
      <c r="K68" s="88">
        <v>0</v>
      </c>
      <c r="L68" s="88">
        <v>0</v>
      </c>
      <c r="M68" s="89">
        <v>46055</v>
      </c>
      <c r="N68" s="88">
        <v>1</v>
      </c>
      <c r="O68" s="90" t="s">
        <v>432</v>
      </c>
      <c r="P68" s="88" t="s">
        <v>493</v>
      </c>
      <c r="Q68" s="91">
        <f t="shared" ref="Q68" si="73">IF(B68="","",WEEKNUM(B68))</f>
        <v>4</v>
      </c>
      <c r="R68" s="91" t="str">
        <f t="shared" ref="R68" si="74">IF(B68="","",TEXT(B68,"MMM"))</f>
        <v>Jan</v>
      </c>
      <c r="S68" s="92" t="str">
        <f t="shared" ref="S68" si="75">IF(B68="","",TEXT(B68,"DDDD"))</f>
        <v>Friday</v>
      </c>
      <c r="T68" s="93" t="s">
        <v>237</v>
      </c>
      <c r="U68" s="94" t="s">
        <v>444</v>
      </c>
      <c r="W68" s="95">
        <v>0</v>
      </c>
      <c r="X68" s="96"/>
      <c r="Y68" s="97">
        <f t="shared" ref="Y68" si="76">IF(M68="","",M68)</f>
        <v>46055</v>
      </c>
      <c r="Z68" s="98" t="str">
        <f>SUBSTITUTE('Digitas UK Task 26'!$O68, "Complet", "Not Requir")</f>
        <v>Not Required</v>
      </c>
      <c r="AA68" s="98" t="str">
        <f t="shared" ref="AA68" si="77">IF(G68="","",G68)</f>
        <v>Trafficking Request - BN UK Vimkunya Doceree AB Testing</v>
      </c>
      <c r="AB68" s="99"/>
      <c r="AF68" s="84" t="str">
        <f t="shared" ref="AF68" si="78">IF(AD68="","",WEEKNUM(AD68))</f>
        <v/>
      </c>
      <c r="AH68" s="84" t="str">
        <f t="shared" si="70"/>
        <v>PL_0_CR_0_AD_0_Jira_0_</v>
      </c>
      <c r="AI68" s="84" t="str">
        <f t="shared" si="71"/>
        <v/>
      </c>
      <c r="AJ68" s="84" t="str">
        <f>IF(Z68&lt;&gt;"Done","",(_xlfn.CONCAT("PL_",DigitasUKAdOp_26Team[[#This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9" spans="1:36" ht="15.75" customHeight="1" x14ac:dyDescent="0.3">
      <c r="A69" s="85" t="str">
        <f t="shared" si="8"/>
        <v>Jan : Tuesday</v>
      </c>
      <c r="B69" s="86">
        <v>46049</v>
      </c>
      <c r="C69" s="87" t="s">
        <v>318</v>
      </c>
      <c r="D69" s="88" t="s">
        <v>427</v>
      </c>
      <c r="E69" s="87" t="s">
        <v>428</v>
      </c>
      <c r="F69" s="88" t="s">
        <v>495</v>
      </c>
      <c r="G69" s="88" t="s">
        <v>462</v>
      </c>
      <c r="H69" s="87" t="s">
        <v>269</v>
      </c>
      <c r="I69" s="87" t="s">
        <v>250</v>
      </c>
      <c r="J69" s="88">
        <v>1</v>
      </c>
      <c r="K69" s="88">
        <v>1</v>
      </c>
      <c r="L69" s="88">
        <v>1</v>
      </c>
      <c r="M69" s="89">
        <v>46049</v>
      </c>
      <c r="N69" s="88">
        <v>0.25</v>
      </c>
      <c r="O69" s="90" t="s">
        <v>432</v>
      </c>
      <c r="Q69" s="91">
        <f t="shared" si="0"/>
        <v>5</v>
      </c>
      <c r="R69" s="91" t="str">
        <f t="shared" si="1"/>
        <v>Jan</v>
      </c>
      <c r="S69" s="92" t="str">
        <f t="shared" si="2"/>
        <v>Tuesday</v>
      </c>
      <c r="T69" s="93" t="s">
        <v>237</v>
      </c>
      <c r="U69" s="94" t="s">
        <v>433</v>
      </c>
      <c r="W69" s="95">
        <v>0.25</v>
      </c>
      <c r="X69" s="96"/>
      <c r="Y69" s="97">
        <f t="shared" si="10"/>
        <v>46049</v>
      </c>
      <c r="Z69" s="98" t="str">
        <f>SUBSTITUTE('Digitas UK Task 26'!$O69, "Complet", "Not Requir")</f>
        <v>Not Required</v>
      </c>
      <c r="AA69" s="98" t="str">
        <f t="shared" si="62"/>
        <v>RE: WELLA | FY26Q3 ULTIMATE COLOR UK | TAG REQUEST</v>
      </c>
      <c r="AB69" s="99"/>
      <c r="AF69" s="84" t="str">
        <f t="shared" si="5"/>
        <v/>
      </c>
      <c r="AH69" s="84" t="str">
        <f t="shared" si="70"/>
        <v>PL_1_CR_1_AD_1_Jira_0_</v>
      </c>
      <c r="AI69" s="84" t="str">
        <f t="shared" si="71"/>
        <v>PL_1_CR_1_AD_1_Jira_0_</v>
      </c>
      <c r="AJ69" s="84" t="str">
        <f>IF(Z69&lt;&gt;"Done","",(_xlfn.CONCAT("PL_",DigitasUKAdOp_26Team[[#This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0" spans="1:36" ht="15.75" customHeight="1" x14ac:dyDescent="0.3">
      <c r="A70" s="85" t="str">
        <f t="shared" si="8"/>
        <v>Jan : Tuesday</v>
      </c>
      <c r="B70" s="86">
        <v>46049</v>
      </c>
      <c r="C70" s="87" t="s">
        <v>334</v>
      </c>
      <c r="D70" s="88" t="s">
        <v>496</v>
      </c>
      <c r="E70" s="87" t="s">
        <v>428</v>
      </c>
      <c r="F70" s="88" t="s">
        <v>469</v>
      </c>
      <c r="G70" s="88" t="s">
        <v>497</v>
      </c>
      <c r="H70" s="87" t="s">
        <v>443</v>
      </c>
      <c r="I70" s="87" t="s">
        <v>246</v>
      </c>
      <c r="J70" s="88">
        <v>0</v>
      </c>
      <c r="K70" s="88">
        <v>0</v>
      </c>
      <c r="L70" s="88">
        <v>0</v>
      </c>
      <c r="M70" s="89">
        <v>46049</v>
      </c>
      <c r="N70" s="88">
        <v>1</v>
      </c>
      <c r="O70" s="90" t="s">
        <v>432</v>
      </c>
      <c r="Q70" s="91">
        <f t="shared" si="0"/>
        <v>5</v>
      </c>
      <c r="R70" s="91" t="str">
        <f t="shared" si="1"/>
        <v>Jan</v>
      </c>
      <c r="S70" s="92" t="str">
        <f t="shared" si="2"/>
        <v>Tuesday</v>
      </c>
      <c r="T70" s="93" t="s">
        <v>246</v>
      </c>
      <c r="U70" s="94" t="s">
        <v>444</v>
      </c>
      <c r="W70" s="95">
        <v>0</v>
      </c>
      <c r="X70" s="96"/>
      <c r="Y70" s="97">
        <f t="shared" si="10"/>
        <v>46049</v>
      </c>
      <c r="Z70" s="98" t="str">
        <f>SUBSTITUTE('Digitas UK Task 26'!$O70, "Complet", "Not Requir")</f>
        <v>Not Required</v>
      </c>
      <c r="AA70" s="98" t="str">
        <f t="shared" si="62"/>
        <v>Klaviyo EMEA - Trafficking Request - MailChimp - Q1 2026</v>
      </c>
      <c r="AB70" s="99"/>
      <c r="AF70" s="84" t="str">
        <f t="shared" ref="AF70:AF140" si="79">IF(AD70="","",WEEKNUM(AD70))</f>
        <v/>
      </c>
      <c r="AH70" s="84" t="str">
        <f t="shared" si="70"/>
        <v>PL_0_CR_0_AD_0_Jira_0_</v>
      </c>
      <c r="AI70" s="84" t="str">
        <f t="shared" si="71"/>
        <v/>
      </c>
      <c r="AJ70" s="84" t="str">
        <f>IF(Z70&lt;&gt;"Done","",(_xlfn.CONCAT("PL_",DigitasUKAdOp_26Team[[#This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1" spans="1:36" ht="15.75" customHeight="1" x14ac:dyDescent="0.3">
      <c r="A71" s="85" t="str">
        <f t="shared" si="8"/>
        <v>Jan : Tuesday</v>
      </c>
      <c r="B71" s="86">
        <v>46049</v>
      </c>
      <c r="C71" s="87" t="s">
        <v>334</v>
      </c>
      <c r="D71" s="88" t="s">
        <v>496</v>
      </c>
      <c r="E71" s="87" t="s">
        <v>428</v>
      </c>
      <c r="F71" s="88" t="s">
        <v>470</v>
      </c>
      <c r="G71" s="88" t="s">
        <v>497</v>
      </c>
      <c r="H71" s="87" t="s">
        <v>443</v>
      </c>
      <c r="I71" s="87" t="s">
        <v>246</v>
      </c>
      <c r="J71" s="88">
        <v>0</v>
      </c>
      <c r="K71" s="88">
        <v>0</v>
      </c>
      <c r="L71" s="88">
        <v>0</v>
      </c>
      <c r="M71" s="89">
        <v>46049</v>
      </c>
      <c r="N71" s="88">
        <v>1</v>
      </c>
      <c r="O71" s="90" t="s">
        <v>432</v>
      </c>
      <c r="Q71" s="91">
        <f t="shared" ref="Q71:Q141" si="80">IF(B71="","",WEEKNUM(B71))</f>
        <v>5</v>
      </c>
      <c r="R71" s="91" t="str">
        <f t="shared" ref="R71:R141" si="81">IF(B71="","",TEXT(B71,"MMM"))</f>
        <v>Jan</v>
      </c>
      <c r="S71" s="92" t="str">
        <f t="shared" ref="S71:S141" si="82">IF(B71="","",TEXT(B71,"DDDD"))</f>
        <v>Tuesday</v>
      </c>
      <c r="T71" s="93" t="s">
        <v>246</v>
      </c>
      <c r="U71" s="94" t="s">
        <v>444</v>
      </c>
      <c r="W71" s="95">
        <v>0</v>
      </c>
      <c r="X71" s="96"/>
      <c r="Y71" s="97">
        <f t="shared" si="10"/>
        <v>46049</v>
      </c>
      <c r="Z71" s="98" t="str">
        <f>SUBSTITUTE('Digitas UK Task 26'!$O71, "Complet", "Not Requir")</f>
        <v>Not Required</v>
      </c>
      <c r="AA71" s="98" t="str">
        <f t="shared" si="62"/>
        <v>Klaviyo EMEA - Trafficking Request - MailChimp - Q1 2026</v>
      </c>
      <c r="AB71" s="99"/>
      <c r="AF71" s="84" t="str">
        <f t="shared" si="79"/>
        <v/>
      </c>
      <c r="AH71" s="84" t="str">
        <f t="shared" si="70"/>
        <v>PL_0_CR_0_AD_0_Jira_0_</v>
      </c>
      <c r="AI71" s="84" t="str">
        <f t="shared" si="71"/>
        <v/>
      </c>
      <c r="AJ71" s="84" t="str">
        <f>IF(Z71&lt;&gt;"Done","",(_xlfn.CONCAT("PL_",DigitasUKAdOp_26Team[[#This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2" spans="1:36" ht="15.75" customHeight="1" x14ac:dyDescent="0.3">
      <c r="A72" s="85" t="str">
        <f t="shared" si="8"/>
        <v>Jan : Tuesday</v>
      </c>
      <c r="B72" s="86">
        <v>46049</v>
      </c>
      <c r="C72" s="87" t="s">
        <v>334</v>
      </c>
      <c r="D72" s="88" t="s">
        <v>496</v>
      </c>
      <c r="E72" s="87" t="s">
        <v>428</v>
      </c>
      <c r="F72" s="88" t="s">
        <v>498</v>
      </c>
      <c r="G72" s="88" t="s">
        <v>497</v>
      </c>
      <c r="H72" s="87" t="s">
        <v>443</v>
      </c>
      <c r="I72" s="87" t="s">
        <v>237</v>
      </c>
      <c r="J72" s="88">
        <v>0</v>
      </c>
      <c r="K72" s="88">
        <v>0</v>
      </c>
      <c r="L72" s="88">
        <v>0</v>
      </c>
      <c r="M72" s="89">
        <v>46049</v>
      </c>
      <c r="N72" s="88">
        <v>1.5</v>
      </c>
      <c r="O72" s="90" t="s">
        <v>432</v>
      </c>
      <c r="Q72" s="91">
        <f t="shared" si="80"/>
        <v>5</v>
      </c>
      <c r="R72" s="91" t="str">
        <f t="shared" si="81"/>
        <v>Jan</v>
      </c>
      <c r="S72" s="92" t="str">
        <f t="shared" si="82"/>
        <v>Tuesday</v>
      </c>
      <c r="T72" s="93" t="s">
        <v>237</v>
      </c>
      <c r="U72" s="94" t="s">
        <v>444</v>
      </c>
      <c r="W72" s="95">
        <v>0</v>
      </c>
      <c r="X72" s="96"/>
      <c r="Y72" s="97">
        <f t="shared" si="10"/>
        <v>46049</v>
      </c>
      <c r="Z72" s="98" t="str">
        <f>SUBSTITUTE('Digitas UK Task 26'!$O72, "Complet", "Not Requir")</f>
        <v>Not Required</v>
      </c>
      <c r="AA72" s="98" t="str">
        <f t="shared" si="62"/>
        <v>Klaviyo EMEA - Trafficking Request - MailChimp - Q1 2026</v>
      </c>
      <c r="AB72" s="99"/>
      <c r="AF72" s="84" t="str">
        <f t="shared" si="79"/>
        <v/>
      </c>
      <c r="AH72" s="84" t="str">
        <f t="shared" si="70"/>
        <v>PL_0_CR_0_AD_0_Jira_0_</v>
      </c>
      <c r="AI72" s="84" t="str">
        <f t="shared" si="71"/>
        <v/>
      </c>
      <c r="AJ72" s="84" t="str">
        <f>IF(Z72&lt;&gt;"Done","",(_xlfn.CONCAT("PL_",DigitasUKAdOp_26Team[[#This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3" spans="1:36" ht="15.75" customHeight="1" x14ac:dyDescent="0.3">
      <c r="A73" s="85" t="str">
        <f t="shared" ref="A73:A74" si="83">IF(B73="","",TEXT(B73,"MMM : DDDD"))</f>
        <v>Jan : Tuesday</v>
      </c>
      <c r="B73" s="86">
        <v>46049</v>
      </c>
      <c r="C73" s="87" t="s">
        <v>334</v>
      </c>
      <c r="D73" s="88" t="s">
        <v>496</v>
      </c>
      <c r="E73" s="87" t="s">
        <v>428</v>
      </c>
      <c r="F73" s="88" t="s">
        <v>472</v>
      </c>
      <c r="G73" s="88" t="s">
        <v>497</v>
      </c>
      <c r="H73" s="87" t="s">
        <v>443</v>
      </c>
      <c r="I73" s="87" t="s">
        <v>250</v>
      </c>
      <c r="J73" s="88">
        <v>0</v>
      </c>
      <c r="K73" s="88">
        <v>0</v>
      </c>
      <c r="L73" s="88">
        <v>0</v>
      </c>
      <c r="M73" s="89">
        <v>46049</v>
      </c>
      <c r="N73" s="88">
        <v>1.5</v>
      </c>
      <c r="O73" s="90" t="s">
        <v>432</v>
      </c>
      <c r="Q73" s="91">
        <f t="shared" si="80"/>
        <v>5</v>
      </c>
      <c r="R73" s="91" t="str">
        <f t="shared" si="81"/>
        <v>Jan</v>
      </c>
      <c r="S73" s="92" t="str">
        <f t="shared" si="82"/>
        <v>Tuesday</v>
      </c>
      <c r="T73" s="93" t="s">
        <v>250</v>
      </c>
      <c r="U73" s="94" t="s">
        <v>444</v>
      </c>
      <c r="W73" s="95">
        <v>0</v>
      </c>
      <c r="X73" s="96"/>
      <c r="Y73" s="97">
        <f t="shared" si="10"/>
        <v>46049</v>
      </c>
      <c r="Z73" s="98" t="str">
        <f>SUBSTITUTE('Digitas UK Task 26'!$O73, "Complet", "Not Requir")</f>
        <v>Not Required</v>
      </c>
      <c r="AA73" s="98" t="str">
        <f t="shared" si="62"/>
        <v>Klaviyo EMEA - Trafficking Request - MailChimp - Q1 2026</v>
      </c>
      <c r="AB73" s="99"/>
      <c r="AF73" s="84" t="str">
        <f t="shared" si="79"/>
        <v/>
      </c>
      <c r="AH73" s="84" t="str">
        <f t="shared" si="70"/>
        <v>PL_0_CR_0_AD_0_Jira_0_</v>
      </c>
      <c r="AI73" s="84" t="str">
        <f t="shared" si="71"/>
        <v/>
      </c>
      <c r="AJ73" s="84" t="str">
        <f>IF(Z73&lt;&gt;"Done","",(_xlfn.CONCAT("PL_",DigitasUKAdOp_26Team[[#This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4" spans="1:36" ht="15.75" customHeight="1" x14ac:dyDescent="0.3">
      <c r="A74" s="85" t="str">
        <f t="shared" si="83"/>
        <v>Jan : Tuesday</v>
      </c>
      <c r="B74" s="86">
        <v>46049</v>
      </c>
      <c r="C74" s="87" t="s">
        <v>318</v>
      </c>
      <c r="D74" s="88" t="s">
        <v>427</v>
      </c>
      <c r="E74" s="87" t="s">
        <v>428</v>
      </c>
      <c r="F74" s="88" t="s">
        <v>499</v>
      </c>
      <c r="G74" s="88" t="s">
        <v>500</v>
      </c>
      <c r="H74" s="87" t="s">
        <v>269</v>
      </c>
      <c r="I74" s="87" t="s">
        <v>431</v>
      </c>
      <c r="J74" s="88">
        <v>4</v>
      </c>
      <c r="K74" s="88">
        <v>4</v>
      </c>
      <c r="L74" s="88">
        <v>4</v>
      </c>
      <c r="M74" s="89">
        <v>46049</v>
      </c>
      <c r="N74" s="88">
        <v>0.5</v>
      </c>
      <c r="O74" s="90" t="s">
        <v>432</v>
      </c>
      <c r="Q74" s="91">
        <f t="shared" si="80"/>
        <v>5</v>
      </c>
      <c r="R74" s="91" t="str">
        <f t="shared" si="81"/>
        <v>Jan</v>
      </c>
      <c r="S74" s="92" t="str">
        <f t="shared" si="82"/>
        <v>Tuesday</v>
      </c>
      <c r="T74" s="93" t="s">
        <v>246</v>
      </c>
      <c r="U74" s="94" t="s">
        <v>433</v>
      </c>
      <c r="W74" s="95">
        <v>0.25</v>
      </c>
      <c r="X74" s="96"/>
      <c r="Y74" s="97">
        <f t="shared" si="10"/>
        <v>46049</v>
      </c>
      <c r="Z74" s="98" t="str">
        <f>SUBSTITUTE('Digitas UK Task 26'!$O74, "Complet", "Not Requir")</f>
        <v>Not Required</v>
      </c>
      <c r="AA74" s="98" t="str">
        <f t="shared" si="62"/>
        <v>WELLA | FY26Q3 ULTIMATE COLOR - ITALY | TAG REQUEST</v>
      </c>
      <c r="AB74" s="99"/>
      <c r="AF74" s="84" t="str">
        <f t="shared" si="79"/>
        <v/>
      </c>
      <c r="AH74" s="84" t="str">
        <f t="shared" si="70"/>
        <v>PL_4_CR_4_AD_4_Jira_0_</v>
      </c>
      <c r="AI74" s="84" t="str">
        <f t="shared" si="71"/>
        <v>PL_4_CR_4_AD_4_Jira_0_</v>
      </c>
      <c r="AJ74" s="84" t="str">
        <f>IF(Z74&lt;&gt;"Done","",(_xlfn.CONCAT("PL_",DigitasUKAdOp_26Team[[#This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5" spans="1:36" ht="15.75" customHeight="1" x14ac:dyDescent="0.3">
      <c r="A75" s="85" t="str">
        <f>IF(B75="","",TEXT(B75,"MMM : DDDD"))</f>
        <v>Jan : Tuesday</v>
      </c>
      <c r="B75" s="86">
        <v>46049</v>
      </c>
      <c r="C75" s="87" t="s">
        <v>344</v>
      </c>
      <c r="D75" s="88" t="s">
        <v>452</v>
      </c>
      <c r="E75" s="87" t="s">
        <v>428</v>
      </c>
      <c r="F75" s="88" t="s">
        <v>501</v>
      </c>
      <c r="G75" s="88" t="s">
        <v>502</v>
      </c>
      <c r="H75" s="87" t="s">
        <v>443</v>
      </c>
      <c r="I75" s="87" t="s">
        <v>246</v>
      </c>
      <c r="J75" s="88">
        <v>0</v>
      </c>
      <c r="K75" s="88">
        <v>0</v>
      </c>
      <c r="L75" s="88">
        <v>0</v>
      </c>
      <c r="M75" s="89">
        <v>46049</v>
      </c>
      <c r="N75" s="88">
        <v>1</v>
      </c>
      <c r="O75" s="90" t="s">
        <v>432</v>
      </c>
      <c r="Q75" s="91">
        <f t="shared" si="80"/>
        <v>5</v>
      </c>
      <c r="R75" s="91" t="str">
        <f t="shared" si="81"/>
        <v>Jan</v>
      </c>
      <c r="S75" s="92" t="str">
        <f t="shared" si="82"/>
        <v>Tuesday</v>
      </c>
      <c r="T75" s="93" t="s">
        <v>246</v>
      </c>
      <c r="U75" s="94" t="s">
        <v>444</v>
      </c>
      <c r="W75" s="95">
        <v>0</v>
      </c>
      <c r="X75" s="96"/>
      <c r="Y75" s="97">
        <f t="shared" si="10"/>
        <v>46049</v>
      </c>
      <c r="Z75" s="98" t="str">
        <f>SUBSTITUTE('Digitas UK Task 26'!$O75, "Complet", "Not Requir")</f>
        <v>Not Required</v>
      </c>
      <c r="AA75" s="98" t="str">
        <f t="shared" si="62"/>
        <v>RE: Digitas x Monzo | Tagging support I OLV</v>
      </c>
      <c r="AB75" s="99"/>
      <c r="AF75" s="84" t="str">
        <f t="shared" si="79"/>
        <v/>
      </c>
      <c r="AH75" s="84" t="str">
        <f t="shared" si="70"/>
        <v>PL_0_CR_0_AD_0_Jira_0_</v>
      </c>
      <c r="AI75" s="84" t="str">
        <f t="shared" si="71"/>
        <v/>
      </c>
      <c r="AJ75" s="84" t="str">
        <f>IF(Z75&lt;&gt;"Done","",(_xlfn.CONCAT("PL_",DigitasUKAdOp_26Team[[#This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6" spans="1:36" ht="15.75" customHeight="1" x14ac:dyDescent="0.3">
      <c r="A76" s="85" t="str">
        <f>IF(B76="","",TEXT(B76,"MMM : DDDD"))</f>
        <v>Jan : Tuesday</v>
      </c>
      <c r="B76" s="86">
        <v>46049</v>
      </c>
      <c r="C76" s="87" t="s">
        <v>334</v>
      </c>
      <c r="D76" s="88" t="s">
        <v>465</v>
      </c>
      <c r="E76" s="87" t="s">
        <v>428</v>
      </c>
      <c r="F76" s="88" t="s">
        <v>498</v>
      </c>
      <c r="G76" s="88" t="s">
        <v>503</v>
      </c>
      <c r="H76" s="87" t="s">
        <v>443</v>
      </c>
      <c r="I76" s="87" t="s">
        <v>237</v>
      </c>
      <c r="J76" s="88">
        <v>0</v>
      </c>
      <c r="K76" s="88">
        <v>0</v>
      </c>
      <c r="L76" s="88">
        <v>0</v>
      </c>
      <c r="M76" s="89">
        <v>46049</v>
      </c>
      <c r="N76" s="88">
        <v>1</v>
      </c>
      <c r="O76" s="90" t="s">
        <v>432</v>
      </c>
      <c r="Q76" s="91">
        <f t="shared" si="80"/>
        <v>5</v>
      </c>
      <c r="R76" s="91" t="str">
        <f t="shared" si="81"/>
        <v>Jan</v>
      </c>
      <c r="S76" s="92" t="str">
        <f t="shared" si="82"/>
        <v>Tuesday</v>
      </c>
      <c r="T76" s="93" t="s">
        <v>237</v>
      </c>
      <c r="U76" s="94" t="s">
        <v>444</v>
      </c>
      <c r="W76" s="95">
        <v>0</v>
      </c>
      <c r="X76" s="96"/>
      <c r="Y76" s="97">
        <f t="shared" si="10"/>
        <v>46049</v>
      </c>
      <c r="Z76" s="98" t="str">
        <f>SUBSTITUTE('Digitas UK Task 26'!$O76, "Complet", "Not Requir")</f>
        <v>Not Required</v>
      </c>
      <c r="AA76" s="98" t="str">
        <f t="shared" si="62"/>
        <v>Klaviyo EMEA - Trafficking Request - Demand Gen - Q1 2026</v>
      </c>
      <c r="AB76" s="99"/>
      <c r="AF76" s="84" t="str">
        <f t="shared" si="79"/>
        <v/>
      </c>
      <c r="AH76" s="84" t="str">
        <f t="shared" si="70"/>
        <v>PL_0_CR_0_AD_0_Jira_0_</v>
      </c>
      <c r="AI76" s="84" t="str">
        <f t="shared" si="71"/>
        <v/>
      </c>
      <c r="AJ76" s="84" t="str">
        <f>IF(Z76&lt;&gt;"Done","",(_xlfn.CONCAT("PL_",DigitasUKAdOp_26Team[[#This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7" spans="1:36" ht="15.75" customHeight="1" x14ac:dyDescent="0.3">
      <c r="A77" s="85" t="str">
        <f>IF(B77="","",TEXT(B77,"MMM : DDDD"))</f>
        <v>Jan : Tuesday</v>
      </c>
      <c r="B77" s="86">
        <v>46049</v>
      </c>
      <c r="C77" s="87" t="s">
        <v>334</v>
      </c>
      <c r="D77" s="88" t="s">
        <v>465</v>
      </c>
      <c r="E77" s="87" t="s">
        <v>428</v>
      </c>
      <c r="F77" s="88" t="s">
        <v>469</v>
      </c>
      <c r="G77" s="88" t="s">
        <v>503</v>
      </c>
      <c r="H77" s="87" t="s">
        <v>443</v>
      </c>
      <c r="I77" s="87" t="s">
        <v>250</v>
      </c>
      <c r="J77" s="88">
        <v>0</v>
      </c>
      <c r="K77" s="88">
        <v>0</v>
      </c>
      <c r="L77" s="88">
        <v>0</v>
      </c>
      <c r="M77" s="89">
        <v>46049</v>
      </c>
      <c r="N77" s="88">
        <v>1</v>
      </c>
      <c r="O77" s="90" t="s">
        <v>432</v>
      </c>
      <c r="Q77" s="91">
        <f t="shared" si="80"/>
        <v>5</v>
      </c>
      <c r="R77" s="91" t="str">
        <f t="shared" si="81"/>
        <v>Jan</v>
      </c>
      <c r="S77" s="92" t="str">
        <f t="shared" si="82"/>
        <v>Tuesday</v>
      </c>
      <c r="T77" s="93" t="s">
        <v>250</v>
      </c>
      <c r="U77" s="94" t="s">
        <v>444</v>
      </c>
      <c r="W77" s="95">
        <v>0</v>
      </c>
      <c r="X77" s="96"/>
      <c r="Y77" s="97">
        <f t="shared" si="10"/>
        <v>46049</v>
      </c>
      <c r="Z77" s="98" t="str">
        <f>SUBSTITUTE('Digitas UK Task 26'!$O77, "Complet", "Not Requir")</f>
        <v>Not Required</v>
      </c>
      <c r="AA77" s="98" t="str">
        <f t="shared" si="62"/>
        <v>Klaviyo EMEA - Trafficking Request - Demand Gen - Q1 2026</v>
      </c>
      <c r="AB77" s="99"/>
      <c r="AF77" s="84" t="str">
        <f t="shared" si="79"/>
        <v/>
      </c>
      <c r="AH77" s="84" t="str">
        <f t="shared" si="70"/>
        <v>PL_0_CR_0_AD_0_Jira_0_</v>
      </c>
      <c r="AI77" s="84" t="str">
        <f t="shared" si="71"/>
        <v/>
      </c>
      <c r="AJ77" s="84" t="str">
        <f>IF(Z77&lt;&gt;"Done","",(_xlfn.CONCAT("PL_",DigitasUKAdOp_26Team[[#This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8" spans="1:36" ht="15.75" customHeight="1" x14ac:dyDescent="0.3">
      <c r="A78" s="85" t="str">
        <f t="shared" ref="A78:A143" si="84">IF(B78="","",TEXT(B78,"MMM : DDDD"))</f>
        <v>Jan : Tuesday</v>
      </c>
      <c r="B78" s="86">
        <v>46049</v>
      </c>
      <c r="C78" s="87" t="s">
        <v>334</v>
      </c>
      <c r="D78" s="88" t="s">
        <v>504</v>
      </c>
      <c r="E78" s="87" t="s">
        <v>428</v>
      </c>
      <c r="F78" s="88" t="s">
        <v>505</v>
      </c>
      <c r="G78" s="88" t="s">
        <v>506</v>
      </c>
      <c r="H78" s="87" t="s">
        <v>443</v>
      </c>
      <c r="I78" s="87" t="s">
        <v>237</v>
      </c>
      <c r="J78" s="88">
        <v>0</v>
      </c>
      <c r="K78" s="88">
        <v>0</v>
      </c>
      <c r="L78" s="88">
        <v>0</v>
      </c>
      <c r="M78" s="89">
        <v>46049</v>
      </c>
      <c r="N78" s="88">
        <v>1</v>
      </c>
      <c r="O78" s="90" t="s">
        <v>432</v>
      </c>
      <c r="Q78" s="91">
        <f t="shared" si="80"/>
        <v>5</v>
      </c>
      <c r="R78" s="91" t="str">
        <f t="shared" si="81"/>
        <v>Jan</v>
      </c>
      <c r="S78" s="92" t="str">
        <f t="shared" si="82"/>
        <v>Tuesday</v>
      </c>
      <c r="T78" s="93" t="s">
        <v>237</v>
      </c>
      <c r="U78" s="94" t="s">
        <v>444</v>
      </c>
      <c r="W78" s="95">
        <v>0</v>
      </c>
      <c r="X78" s="96"/>
      <c r="Y78" s="97">
        <f t="shared" si="10"/>
        <v>46049</v>
      </c>
      <c r="Z78" s="98" t="str">
        <f>SUBSTITUTE('Digitas UK Task 26'!$O78, "Complet", "Not Requir")</f>
        <v>Not Required</v>
      </c>
      <c r="AA78" s="98" t="str">
        <f t="shared" si="62"/>
        <v>Klaviyo EMEA - Trafficking Request - OLV - Q1 2026</v>
      </c>
      <c r="AB78" s="99"/>
      <c r="AF78" s="84" t="str">
        <f t="shared" si="79"/>
        <v/>
      </c>
      <c r="AH78" s="84" t="str">
        <f t="shared" si="70"/>
        <v>PL_0_CR_0_AD_0_Jira_0_</v>
      </c>
      <c r="AI78" s="84" t="str">
        <f t="shared" si="71"/>
        <v/>
      </c>
      <c r="AJ78" s="84" t="str">
        <f>IF(Z78&lt;&gt;"Done","",(_xlfn.CONCAT("PL_",DigitasUKAdOp_26Team[[#This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9" spans="1:36" ht="15.75" customHeight="1" x14ac:dyDescent="0.3">
      <c r="A79" s="85" t="str">
        <f t="shared" si="84"/>
        <v>Jan : Tuesday</v>
      </c>
      <c r="B79" s="86">
        <v>46049</v>
      </c>
      <c r="C79" s="87" t="s">
        <v>334</v>
      </c>
      <c r="D79" s="88" t="s">
        <v>504</v>
      </c>
      <c r="E79" s="87" t="s">
        <v>428</v>
      </c>
      <c r="F79" s="88" t="s">
        <v>469</v>
      </c>
      <c r="G79" s="88" t="s">
        <v>506</v>
      </c>
      <c r="H79" s="87" t="s">
        <v>443</v>
      </c>
      <c r="I79" s="87" t="s">
        <v>250</v>
      </c>
      <c r="J79" s="88">
        <v>0</v>
      </c>
      <c r="K79" s="88">
        <v>0</v>
      </c>
      <c r="L79" s="88">
        <v>0</v>
      </c>
      <c r="M79" s="89">
        <v>46049</v>
      </c>
      <c r="N79" s="88">
        <v>1</v>
      </c>
      <c r="O79" s="90" t="s">
        <v>432</v>
      </c>
      <c r="Q79" s="91">
        <f t="shared" si="80"/>
        <v>5</v>
      </c>
      <c r="R79" s="91" t="str">
        <f t="shared" si="81"/>
        <v>Jan</v>
      </c>
      <c r="S79" s="92" t="str">
        <f t="shared" si="82"/>
        <v>Tuesday</v>
      </c>
      <c r="T79" s="93" t="s">
        <v>250</v>
      </c>
      <c r="U79" s="94" t="s">
        <v>444</v>
      </c>
      <c r="W79" s="95">
        <v>0</v>
      </c>
      <c r="X79" s="96"/>
      <c r="Y79" s="97">
        <f t="shared" si="10"/>
        <v>46049</v>
      </c>
      <c r="Z79" s="98" t="str">
        <f>SUBSTITUTE('Digitas UK Task 26'!$O79, "Complet", "Not Requir")</f>
        <v>Not Required</v>
      </c>
      <c r="AA79" s="98" t="str">
        <f t="shared" si="62"/>
        <v>Klaviyo EMEA - Trafficking Request - OLV - Q1 2026</v>
      </c>
      <c r="AB79" s="99"/>
      <c r="AF79" s="84" t="str">
        <f t="shared" si="79"/>
        <v/>
      </c>
      <c r="AH79" s="84" t="str">
        <f t="shared" si="70"/>
        <v>PL_0_CR_0_AD_0_Jira_0_</v>
      </c>
      <c r="AI79" s="84" t="str">
        <f t="shared" si="71"/>
        <v/>
      </c>
      <c r="AJ79" s="84" t="str">
        <f>IF(Z79&lt;&gt;"Done","",(_xlfn.CONCAT("PL_",DigitasUKAdOp_26Team[[#This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80" spans="1:36" ht="15.75" customHeight="1" x14ac:dyDescent="0.3">
      <c r="A80" s="85" t="str">
        <f t="shared" si="84"/>
        <v>Jan : Tuesday</v>
      </c>
      <c r="B80" s="86">
        <v>46049</v>
      </c>
      <c r="C80" s="87" t="s">
        <v>334</v>
      </c>
      <c r="D80" s="88" t="s">
        <v>504</v>
      </c>
      <c r="E80" s="87" t="s">
        <v>428</v>
      </c>
      <c r="F80" s="88" t="s">
        <v>498</v>
      </c>
      <c r="G80" s="88" t="s">
        <v>506</v>
      </c>
      <c r="H80" s="87" t="s">
        <v>443</v>
      </c>
      <c r="I80" s="87" t="s">
        <v>246</v>
      </c>
      <c r="J80" s="88">
        <v>0</v>
      </c>
      <c r="K80" s="88">
        <v>0</v>
      </c>
      <c r="L80" s="88">
        <v>0</v>
      </c>
      <c r="M80" s="89">
        <v>46049</v>
      </c>
      <c r="N80" s="88">
        <v>1</v>
      </c>
      <c r="O80" s="90" t="s">
        <v>432</v>
      </c>
      <c r="Q80" s="91">
        <f t="shared" si="80"/>
        <v>5</v>
      </c>
      <c r="R80" s="91" t="str">
        <f t="shared" si="81"/>
        <v>Jan</v>
      </c>
      <c r="S80" s="92" t="str">
        <f t="shared" si="82"/>
        <v>Tuesday</v>
      </c>
      <c r="T80" s="93" t="s">
        <v>246</v>
      </c>
      <c r="U80" s="94" t="s">
        <v>444</v>
      </c>
      <c r="W80" s="95">
        <v>0</v>
      </c>
      <c r="X80" s="96"/>
      <c r="Y80" s="97">
        <f t="shared" si="10"/>
        <v>46049</v>
      </c>
      <c r="Z80" s="98" t="str">
        <f>SUBSTITUTE('Digitas UK Task 26'!$O80, "Complet", "Not Requir")</f>
        <v>Not Required</v>
      </c>
      <c r="AA80" s="98" t="str">
        <f t="shared" si="62"/>
        <v>Klaviyo EMEA - Trafficking Request - OLV - Q1 2026</v>
      </c>
      <c r="AB80" s="99"/>
      <c r="AF80" s="84" t="str">
        <f t="shared" si="79"/>
        <v/>
      </c>
      <c r="AH80" s="84" t="str">
        <f t="shared" si="70"/>
        <v>PL_0_CR_0_AD_0_Jira_0_</v>
      </c>
      <c r="AI80" s="84" t="str">
        <f t="shared" si="71"/>
        <v/>
      </c>
      <c r="AJ80" s="84" t="str">
        <f>IF(Z80&lt;&gt;"Done","",(_xlfn.CONCAT("PL_",DigitasUKAdOp_26Team[[#This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81" spans="1:36" ht="15.75" customHeight="1" x14ac:dyDescent="0.3">
      <c r="A81" s="85" t="str">
        <f t="shared" si="84"/>
        <v>Jan : Tuesday</v>
      </c>
      <c r="B81" s="86">
        <v>46049</v>
      </c>
      <c r="C81" s="87" t="s">
        <v>318</v>
      </c>
      <c r="D81" s="88" t="s">
        <v>427</v>
      </c>
      <c r="E81" s="87" t="s">
        <v>428</v>
      </c>
      <c r="F81" s="88" t="s">
        <v>499</v>
      </c>
      <c r="G81" s="88" t="s">
        <v>500</v>
      </c>
      <c r="H81" s="87" t="s">
        <v>443</v>
      </c>
      <c r="I81" s="87" t="s">
        <v>431</v>
      </c>
      <c r="J81" s="88">
        <v>0</v>
      </c>
      <c r="K81" s="88">
        <v>0</v>
      </c>
      <c r="L81" s="88">
        <v>0</v>
      </c>
      <c r="M81" s="89">
        <v>46049</v>
      </c>
      <c r="N81" s="88">
        <v>0.5</v>
      </c>
      <c r="O81" s="90" t="s">
        <v>432</v>
      </c>
      <c r="Q81" s="91">
        <f t="shared" si="80"/>
        <v>5</v>
      </c>
      <c r="R81" s="91" t="str">
        <f t="shared" si="81"/>
        <v>Jan</v>
      </c>
      <c r="S81" s="92" t="str">
        <f t="shared" si="82"/>
        <v>Tuesday</v>
      </c>
      <c r="T81" s="93" t="s">
        <v>431</v>
      </c>
      <c r="U81" s="94" t="s">
        <v>444</v>
      </c>
      <c r="W81" s="95">
        <v>0</v>
      </c>
      <c r="X81" s="96"/>
      <c r="Y81" s="97">
        <f t="shared" si="10"/>
        <v>46049</v>
      </c>
      <c r="Z81" s="98" t="str">
        <f>SUBSTITUTE('Digitas UK Task 26'!$O81, "Complet", "Not Requir")</f>
        <v>Not Required</v>
      </c>
      <c r="AA81" s="98" t="str">
        <f t="shared" si="62"/>
        <v>WELLA | FY26Q3 ULTIMATE COLOR - ITALY | TAG REQUEST</v>
      </c>
      <c r="AB81" s="99"/>
      <c r="AF81" s="84" t="str">
        <f t="shared" si="79"/>
        <v/>
      </c>
      <c r="AH81" s="84" t="str">
        <f t="shared" si="70"/>
        <v>PL_0_CR_0_AD_0_Jira_0_</v>
      </c>
      <c r="AI81" s="84" t="str">
        <f t="shared" si="71"/>
        <v/>
      </c>
      <c r="AJ81" s="84" t="str">
        <f>IF(Z81&lt;&gt;"Done","",(_xlfn.CONCAT("PL_",DigitasUKAdOp_26Team[[#This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82" spans="1:36" ht="15.75" customHeight="1" x14ac:dyDescent="0.3">
      <c r="A82" s="85" t="str">
        <f>IF(B82="","",TEXT(B82,"MMM : DDDD"))</f>
        <v>Jan : Wednesday</v>
      </c>
      <c r="B82" s="86">
        <v>46050</v>
      </c>
      <c r="C82" s="87" t="s">
        <v>334</v>
      </c>
      <c r="D82" s="88" t="s">
        <v>465</v>
      </c>
      <c r="E82" s="87" t="s">
        <v>428</v>
      </c>
      <c r="F82" s="88" t="s">
        <v>498</v>
      </c>
      <c r="G82" s="88" t="s">
        <v>503</v>
      </c>
      <c r="H82" s="87" t="s">
        <v>269</v>
      </c>
      <c r="I82" s="87" t="s">
        <v>237</v>
      </c>
      <c r="J82" s="88">
        <v>6</v>
      </c>
      <c r="K82" s="88">
        <v>6</v>
      </c>
      <c r="L82" s="88">
        <v>6</v>
      </c>
      <c r="M82" s="89">
        <v>46050</v>
      </c>
      <c r="N82" s="88">
        <v>0.5</v>
      </c>
      <c r="O82" s="90" t="s">
        <v>432</v>
      </c>
      <c r="Q82" s="91">
        <f t="shared" ref="Q82:Q83" si="85">IF(B82="","",WEEKNUM(B82))</f>
        <v>5</v>
      </c>
      <c r="R82" s="91" t="str">
        <f t="shared" ref="R82:R83" si="86">IF(B82="","",TEXT(B82,"MMM"))</f>
        <v>Jan</v>
      </c>
      <c r="S82" s="92" t="str">
        <f t="shared" ref="S82:S83" si="87">IF(B82="","",TEXT(B82,"DDDD"))</f>
        <v>Wednesday</v>
      </c>
      <c r="T82" s="93" t="s">
        <v>250</v>
      </c>
      <c r="U82" s="94" t="s">
        <v>433</v>
      </c>
      <c r="W82" s="95">
        <v>0.25</v>
      </c>
      <c r="X82" s="96"/>
      <c r="Y82" s="97">
        <f t="shared" ref="Y82:Y83" si="88">IF(M82="","",M82)</f>
        <v>46050</v>
      </c>
      <c r="Z82" s="98" t="str">
        <f>SUBSTITUTE('Digitas UK Task 26'!$O82, "Complet", "Not Requir")</f>
        <v>Not Required</v>
      </c>
      <c r="AA82" s="98" t="str">
        <f t="shared" ref="AA82:AA83" si="89">IF(G82="","",G82)</f>
        <v>Klaviyo EMEA - Trafficking Request - Demand Gen - Q1 2026</v>
      </c>
      <c r="AB82" s="99"/>
      <c r="AF82" s="84" t="str">
        <f t="shared" ref="AF82:AF83" si="90">IF(AD82="","",WEEKNUM(AD82))</f>
        <v/>
      </c>
      <c r="AH82" s="84" t="str">
        <f t="shared" si="70"/>
        <v>PL_6_CR_6_AD_6_Jira_0_</v>
      </c>
      <c r="AI82" s="84" t="str">
        <f t="shared" si="71"/>
        <v>PL_6_CR_6_AD_6_Jira_0_</v>
      </c>
      <c r="AJ82" s="84" t="str">
        <f>IF(Z82&lt;&gt;"Done","",(_xlfn.CONCAT("PL_",DigitasUKAdOp_26Team[[#This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83" spans="1:36" ht="15.75" customHeight="1" x14ac:dyDescent="0.3">
      <c r="A83" s="85" t="str">
        <f t="shared" ref="A83" si="91">IF(B83="","",TEXT(B83,"MMM : DDDD"))</f>
        <v>Jan : Wednesday</v>
      </c>
      <c r="B83" s="86">
        <v>46050</v>
      </c>
      <c r="C83" s="87" t="s">
        <v>334</v>
      </c>
      <c r="D83" s="88" t="s">
        <v>504</v>
      </c>
      <c r="E83" s="87" t="s">
        <v>428</v>
      </c>
      <c r="F83" s="88" t="s">
        <v>505</v>
      </c>
      <c r="G83" s="88" t="s">
        <v>506</v>
      </c>
      <c r="H83" s="87" t="s">
        <v>443</v>
      </c>
      <c r="I83" s="87" t="s">
        <v>237</v>
      </c>
      <c r="J83" s="88">
        <v>0</v>
      </c>
      <c r="K83" s="88">
        <v>0</v>
      </c>
      <c r="L83" s="88">
        <v>0</v>
      </c>
      <c r="M83" s="89">
        <v>46050</v>
      </c>
      <c r="N83" s="88">
        <v>0.75</v>
      </c>
      <c r="O83" s="90" t="s">
        <v>432</v>
      </c>
      <c r="Q83" s="91">
        <f t="shared" si="85"/>
        <v>5</v>
      </c>
      <c r="R83" s="91" t="str">
        <f t="shared" si="86"/>
        <v>Jan</v>
      </c>
      <c r="S83" s="92" t="str">
        <f t="shared" si="87"/>
        <v>Wednesday</v>
      </c>
      <c r="T83" s="93" t="s">
        <v>237</v>
      </c>
      <c r="U83" s="94" t="s">
        <v>444</v>
      </c>
      <c r="W83" s="95">
        <v>0</v>
      </c>
      <c r="X83" s="96"/>
      <c r="Y83" s="97">
        <f t="shared" si="88"/>
        <v>46050</v>
      </c>
      <c r="Z83" s="98" t="str">
        <f>SUBSTITUTE('Digitas UK Task 26'!$O83, "Complet", "Not Requir")</f>
        <v>Not Required</v>
      </c>
      <c r="AA83" s="98" t="str">
        <f t="shared" si="89"/>
        <v>Klaviyo EMEA - Trafficking Request - OLV - Q1 2026</v>
      </c>
      <c r="AB83" s="99"/>
      <c r="AF83" s="84" t="str">
        <f t="shared" si="90"/>
        <v/>
      </c>
      <c r="AH83" s="84" t="str">
        <f t="shared" si="70"/>
        <v>PL_0_CR_0_AD_0_Jira_0_</v>
      </c>
      <c r="AI83" s="84" t="str">
        <f t="shared" si="71"/>
        <v/>
      </c>
      <c r="AJ83" s="84" t="str">
        <f>IF(Z83&lt;&gt;"Done","",(_xlfn.CONCAT("PL_",DigitasUKAdOp_26Team[[#This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84" spans="1:36" ht="15.75" customHeight="1" x14ac:dyDescent="0.3">
      <c r="A84" s="85" t="str">
        <f t="shared" si="84"/>
        <v>Jan : Wednesday</v>
      </c>
      <c r="B84" s="86">
        <v>46050</v>
      </c>
      <c r="C84" s="87" t="s">
        <v>318</v>
      </c>
      <c r="D84" s="88" t="s">
        <v>507</v>
      </c>
      <c r="E84" s="87" t="s">
        <v>428</v>
      </c>
      <c r="F84" s="88" t="s">
        <v>450</v>
      </c>
      <c r="G84" s="88" t="s">
        <v>484</v>
      </c>
      <c r="H84" s="87" t="s">
        <v>269</v>
      </c>
      <c r="I84" s="87" t="s">
        <v>246</v>
      </c>
      <c r="J84" s="88">
        <v>0</v>
      </c>
      <c r="K84" s="88">
        <v>0</v>
      </c>
      <c r="L84" s="88">
        <v>0</v>
      </c>
      <c r="M84" s="89">
        <v>46049</v>
      </c>
      <c r="N84" s="88">
        <v>0</v>
      </c>
      <c r="O84" s="90" t="s">
        <v>432</v>
      </c>
      <c r="Q84" s="91">
        <f t="shared" si="80"/>
        <v>5</v>
      </c>
      <c r="R84" s="91" t="str">
        <f t="shared" si="81"/>
        <v>Jan</v>
      </c>
      <c r="S84" s="92" t="str">
        <f t="shared" si="82"/>
        <v>Wednesday</v>
      </c>
      <c r="T84" s="93" t="s">
        <v>246</v>
      </c>
      <c r="U84" s="94" t="s">
        <v>444</v>
      </c>
      <c r="W84" s="95">
        <v>0</v>
      </c>
      <c r="X84" s="96"/>
      <c r="Y84" s="97">
        <f t="shared" si="10"/>
        <v>46049</v>
      </c>
      <c r="Z84" s="98" t="str">
        <f>SUBSTITUTE('Digitas UK Task 26'!$O84, "Complet", "Not Requir")</f>
        <v>Not Required</v>
      </c>
      <c r="AA84" s="98" t="str">
        <f t="shared" si="62"/>
        <v>RE: WELLA | FY26Q3 NNE - UK | TAG REQUEST</v>
      </c>
      <c r="AB84" s="99"/>
      <c r="AF84" s="84" t="str">
        <f t="shared" si="79"/>
        <v/>
      </c>
      <c r="AH84" s="84" t="str">
        <f t="shared" si="70"/>
        <v>PL_0_CR_0_AD_0_Jira_0_</v>
      </c>
      <c r="AI84" s="84" t="str">
        <f t="shared" si="71"/>
        <v/>
      </c>
      <c r="AJ84" s="84" t="str">
        <f>IF(Z84&lt;&gt;"Done","",(_xlfn.CONCAT("PL_",DigitasUKAdOp_26Team[[#This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85" spans="1:36" ht="15.75" customHeight="1" x14ac:dyDescent="0.3">
      <c r="A85" s="85" t="str">
        <f>IF(B85="","",TEXT(B85,"MMM : DDDD"))</f>
        <v>Jan : Wednesday</v>
      </c>
      <c r="B85" s="86">
        <v>46050</v>
      </c>
      <c r="C85" s="87" t="s">
        <v>344</v>
      </c>
      <c r="D85" s="88" t="s">
        <v>452</v>
      </c>
      <c r="E85" s="87" t="s">
        <v>428</v>
      </c>
      <c r="F85" s="88" t="s">
        <v>501</v>
      </c>
      <c r="G85" s="88" t="s">
        <v>502</v>
      </c>
      <c r="H85" s="87" t="s">
        <v>269</v>
      </c>
      <c r="I85" s="87" t="s">
        <v>246</v>
      </c>
      <c r="J85" s="88">
        <v>0</v>
      </c>
      <c r="K85" s="88">
        <v>0</v>
      </c>
      <c r="L85" s="88">
        <v>0</v>
      </c>
      <c r="M85" s="89">
        <v>46049</v>
      </c>
      <c r="N85" s="88">
        <v>0</v>
      </c>
      <c r="O85" s="90" t="s">
        <v>432</v>
      </c>
      <c r="Q85" s="91">
        <f t="shared" ref="Q85:Q88" si="92">IF(B85="","",WEEKNUM(B85))</f>
        <v>5</v>
      </c>
      <c r="R85" s="91" t="str">
        <f t="shared" ref="R85:R88" si="93">IF(B85="","",TEXT(B85,"MMM"))</f>
        <v>Jan</v>
      </c>
      <c r="S85" s="92" t="str">
        <f t="shared" ref="S85:S88" si="94">IF(B85="","",TEXT(B85,"DDDD"))</f>
        <v>Wednesday</v>
      </c>
      <c r="T85" s="93" t="s">
        <v>246</v>
      </c>
      <c r="U85" s="94" t="s">
        <v>444</v>
      </c>
      <c r="W85" s="95">
        <v>0</v>
      </c>
      <c r="X85" s="96"/>
      <c r="Y85" s="97">
        <f t="shared" ref="Y85:Y88" si="95">IF(M85="","",M85)</f>
        <v>46049</v>
      </c>
      <c r="Z85" s="98" t="str">
        <f>SUBSTITUTE('Digitas UK Task 26'!$O85, "Complet", "Not Requir")</f>
        <v>Not Required</v>
      </c>
      <c r="AA85" s="98" t="str">
        <f t="shared" ref="AA85:AA88" si="96">IF(G85="","",G85)</f>
        <v>RE: Digitas x Monzo | Tagging support I OLV</v>
      </c>
      <c r="AB85" s="99"/>
      <c r="AF85" s="84" t="str">
        <f t="shared" ref="AF85:AF88" si="97">IF(AD85="","",WEEKNUM(AD85))</f>
        <v/>
      </c>
      <c r="AH85" s="84" t="str">
        <f t="shared" si="70"/>
        <v>PL_0_CR_0_AD_0_Jira_0_</v>
      </c>
      <c r="AI85" s="84" t="str">
        <f t="shared" si="71"/>
        <v/>
      </c>
      <c r="AJ85" s="84" t="str">
        <f>IF(Z85&lt;&gt;"Done","",(_xlfn.CONCAT("PL_",DigitasUKAdOp_26Team[[#This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86" spans="1:36" ht="15.75" customHeight="1" x14ac:dyDescent="0.3">
      <c r="A86" s="85" t="str">
        <f t="shared" ref="A86" si="98">IF(B86="","",TEXT(B86,"MMM : DDDD"))</f>
        <v>Jan : Wednesday</v>
      </c>
      <c r="B86" s="86">
        <v>46050</v>
      </c>
      <c r="C86" s="87" t="s">
        <v>334</v>
      </c>
      <c r="D86" s="88" t="s">
        <v>504</v>
      </c>
      <c r="E86" s="87" t="s">
        <v>428</v>
      </c>
      <c r="F86" s="88" t="s">
        <v>498</v>
      </c>
      <c r="G86" s="88" t="s">
        <v>506</v>
      </c>
      <c r="H86" s="87" t="s">
        <v>269</v>
      </c>
      <c r="I86" s="87" t="s">
        <v>246</v>
      </c>
      <c r="J86" s="88">
        <v>0</v>
      </c>
      <c r="K86" s="88">
        <v>0</v>
      </c>
      <c r="L86" s="88">
        <v>0</v>
      </c>
      <c r="M86" s="89">
        <v>46049</v>
      </c>
      <c r="N86" s="88">
        <v>0</v>
      </c>
      <c r="O86" s="90" t="s">
        <v>432</v>
      </c>
      <c r="Q86" s="91">
        <f t="shared" si="92"/>
        <v>5</v>
      </c>
      <c r="R86" s="91" t="str">
        <f t="shared" si="93"/>
        <v>Jan</v>
      </c>
      <c r="S86" s="92" t="str">
        <f t="shared" si="94"/>
        <v>Wednesday</v>
      </c>
      <c r="T86" s="93" t="s">
        <v>246</v>
      </c>
      <c r="U86" s="94" t="s">
        <v>444</v>
      </c>
      <c r="W86" s="95">
        <v>0</v>
      </c>
      <c r="X86" s="96"/>
      <c r="Y86" s="97">
        <f t="shared" si="95"/>
        <v>46049</v>
      </c>
      <c r="Z86" s="98" t="str">
        <f>SUBSTITUTE('Digitas UK Task 26'!$O86, "Complet", "Not Requir")</f>
        <v>Not Required</v>
      </c>
      <c r="AA86" s="98" t="str">
        <f t="shared" si="96"/>
        <v>Klaviyo EMEA - Trafficking Request - OLV - Q1 2026</v>
      </c>
      <c r="AB86" s="99"/>
      <c r="AF86" s="84" t="str">
        <f t="shared" si="97"/>
        <v/>
      </c>
      <c r="AH86" s="84" t="str">
        <f t="shared" si="70"/>
        <v>PL_0_CR_0_AD_0_Jira_0_</v>
      </c>
      <c r="AI86" s="84" t="str">
        <f t="shared" si="71"/>
        <v/>
      </c>
      <c r="AJ86" s="84" t="str">
        <f>IF(Z86&lt;&gt;"Done","",(_xlfn.CONCAT("PL_",DigitasUKAdOp_26Team[[#This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87" spans="1:36" ht="15.75" customHeight="1" x14ac:dyDescent="0.3">
      <c r="A87" s="85" t="str">
        <f>IF(B87="","",TEXT(B87,"MMM : DDDD"))</f>
        <v>Jan : Wednesday</v>
      </c>
      <c r="B87" s="86">
        <v>46050</v>
      </c>
      <c r="C87" s="87" t="s">
        <v>334</v>
      </c>
      <c r="D87" s="88" t="s">
        <v>465</v>
      </c>
      <c r="E87" s="87" t="s">
        <v>428</v>
      </c>
      <c r="F87" s="88" t="s">
        <v>469</v>
      </c>
      <c r="G87" s="88" t="s">
        <v>503</v>
      </c>
      <c r="H87" s="87" t="s">
        <v>443</v>
      </c>
      <c r="I87" s="87" t="s">
        <v>250</v>
      </c>
      <c r="J87" s="88">
        <v>0</v>
      </c>
      <c r="K87" s="88">
        <v>0</v>
      </c>
      <c r="L87" s="88">
        <v>0</v>
      </c>
      <c r="M87" s="89">
        <v>46049</v>
      </c>
      <c r="N87" s="88">
        <v>1</v>
      </c>
      <c r="O87" s="90" t="s">
        <v>432</v>
      </c>
      <c r="Q87" s="91">
        <f t="shared" si="92"/>
        <v>5</v>
      </c>
      <c r="R87" s="91" t="str">
        <f t="shared" si="93"/>
        <v>Jan</v>
      </c>
      <c r="S87" s="92" t="str">
        <f t="shared" si="94"/>
        <v>Wednesday</v>
      </c>
      <c r="T87" s="93" t="s">
        <v>250</v>
      </c>
      <c r="U87" s="94" t="s">
        <v>444</v>
      </c>
      <c r="W87" s="95">
        <v>0</v>
      </c>
      <c r="X87" s="96"/>
      <c r="Y87" s="97">
        <f t="shared" si="95"/>
        <v>46049</v>
      </c>
      <c r="Z87" s="98" t="str">
        <f>SUBSTITUTE('Digitas UK Task 26'!$O87, "Complet", "Not Requir")</f>
        <v>Not Required</v>
      </c>
      <c r="AA87" s="98" t="str">
        <f t="shared" si="96"/>
        <v>Klaviyo EMEA - Trafficking Request - Demand Gen - Q1 2026</v>
      </c>
      <c r="AB87" s="99"/>
      <c r="AF87" s="84" t="str">
        <f t="shared" si="97"/>
        <v/>
      </c>
      <c r="AH87" s="84" t="str">
        <f t="shared" si="70"/>
        <v>PL_0_CR_0_AD_0_Jira_0_</v>
      </c>
      <c r="AI87" s="84" t="str">
        <f t="shared" si="71"/>
        <v/>
      </c>
      <c r="AJ87" s="84" t="str">
        <f>IF(Z87&lt;&gt;"Done","",(_xlfn.CONCAT("PL_",DigitasUKAdOp_26Team[[#This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88" spans="1:36" ht="15.75" customHeight="1" x14ac:dyDescent="0.3">
      <c r="A88" s="85" t="str">
        <f t="shared" ref="A88" si="99">IF(B88="","",TEXT(B88,"MMM : DDDD"))</f>
        <v>Jan : Wednesday</v>
      </c>
      <c r="B88" s="86">
        <v>46050</v>
      </c>
      <c r="C88" s="87" t="s">
        <v>334</v>
      </c>
      <c r="D88" s="88" t="s">
        <v>504</v>
      </c>
      <c r="E88" s="87" t="s">
        <v>428</v>
      </c>
      <c r="F88" s="88" t="s">
        <v>469</v>
      </c>
      <c r="G88" s="88" t="s">
        <v>506</v>
      </c>
      <c r="H88" s="87" t="s">
        <v>443</v>
      </c>
      <c r="I88" s="87" t="s">
        <v>250</v>
      </c>
      <c r="J88" s="88">
        <v>0</v>
      </c>
      <c r="K88" s="88">
        <v>0</v>
      </c>
      <c r="L88" s="88">
        <v>0</v>
      </c>
      <c r="M88" s="89">
        <v>46049</v>
      </c>
      <c r="N88" s="88">
        <v>1</v>
      </c>
      <c r="O88" s="90" t="s">
        <v>432</v>
      </c>
      <c r="Q88" s="91">
        <f t="shared" si="92"/>
        <v>5</v>
      </c>
      <c r="R88" s="91" t="str">
        <f t="shared" si="93"/>
        <v>Jan</v>
      </c>
      <c r="S88" s="92" t="str">
        <f t="shared" si="94"/>
        <v>Wednesday</v>
      </c>
      <c r="T88" s="93" t="s">
        <v>250</v>
      </c>
      <c r="U88" s="94" t="s">
        <v>444</v>
      </c>
      <c r="W88" s="95">
        <v>0</v>
      </c>
      <c r="X88" s="96"/>
      <c r="Y88" s="97">
        <f t="shared" si="95"/>
        <v>46049</v>
      </c>
      <c r="Z88" s="98" t="str">
        <f>SUBSTITUTE('Digitas UK Task 26'!$O88, "Complet", "Not Requir")</f>
        <v>Not Required</v>
      </c>
      <c r="AA88" s="98" t="str">
        <f t="shared" si="96"/>
        <v>Klaviyo EMEA - Trafficking Request - OLV - Q1 2026</v>
      </c>
      <c r="AB88" s="99"/>
      <c r="AF88" s="84" t="str">
        <f t="shared" si="97"/>
        <v/>
      </c>
      <c r="AH88" s="84" t="str">
        <f t="shared" si="70"/>
        <v>PL_0_CR_0_AD_0_Jira_0_</v>
      </c>
      <c r="AI88" s="84" t="str">
        <f t="shared" si="71"/>
        <v/>
      </c>
      <c r="AJ88" s="84" t="str">
        <f>IF(Z88&lt;&gt;"Done","",(_xlfn.CONCAT("PL_",DigitasUKAdOp_26Team[[#This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89" spans="1:36" ht="15.75" customHeight="1" x14ac:dyDescent="0.3">
      <c r="A89" s="85" t="str">
        <f t="shared" si="84"/>
        <v>Jan : Wednesday</v>
      </c>
      <c r="B89" s="86">
        <v>46050</v>
      </c>
      <c r="C89" s="87" t="s">
        <v>334</v>
      </c>
      <c r="D89" s="88" t="s">
        <v>465</v>
      </c>
      <c r="E89" s="87" t="s">
        <v>428</v>
      </c>
      <c r="F89" s="88" t="s">
        <v>469</v>
      </c>
      <c r="G89" s="88" t="s">
        <v>506</v>
      </c>
      <c r="H89" s="87" t="s">
        <v>269</v>
      </c>
      <c r="I89" s="87" t="s">
        <v>250</v>
      </c>
      <c r="J89" s="88">
        <v>6</v>
      </c>
      <c r="K89" s="88">
        <v>6</v>
      </c>
      <c r="L89" s="88">
        <v>6</v>
      </c>
      <c r="M89" s="89">
        <v>46050</v>
      </c>
      <c r="N89" s="88">
        <v>0.5</v>
      </c>
      <c r="O89" s="90" t="s">
        <v>432</v>
      </c>
      <c r="Q89" s="91">
        <f t="shared" si="80"/>
        <v>5</v>
      </c>
      <c r="R89" s="91" t="str">
        <f t="shared" si="81"/>
        <v>Jan</v>
      </c>
      <c r="S89" s="92" t="str">
        <f t="shared" si="82"/>
        <v>Wednesday</v>
      </c>
      <c r="T89" s="93" t="s">
        <v>237</v>
      </c>
      <c r="U89" s="94" t="s">
        <v>433</v>
      </c>
      <c r="W89" s="95">
        <v>0.5</v>
      </c>
      <c r="X89" s="96"/>
      <c r="Y89" s="97">
        <f t="shared" ref="Y89:Y158" si="100">IF(M89="","",M89)</f>
        <v>46050</v>
      </c>
      <c r="Z89" s="98" t="str">
        <f>SUBSTITUTE('Digitas UK Task 26'!$O89, "Complet", "Not Requir")</f>
        <v>Not Required</v>
      </c>
      <c r="AA89" s="98" t="str">
        <f t="shared" si="62"/>
        <v>Klaviyo EMEA - Trafficking Request - OLV - Q1 2026</v>
      </c>
      <c r="AB89" s="99"/>
      <c r="AF89" s="84" t="str">
        <f t="shared" si="79"/>
        <v/>
      </c>
      <c r="AH89" s="84" t="str">
        <f t="shared" si="70"/>
        <v>PL_6_CR_6_AD_6_Jira_0_</v>
      </c>
      <c r="AI89" s="84" t="str">
        <f t="shared" si="71"/>
        <v>PL_6_CR_6_AD_6_Jira_0_</v>
      </c>
      <c r="AJ89" s="84" t="str">
        <f>IF(Z89&lt;&gt;"Done","",(_xlfn.CONCAT("PL_",DigitasUKAdOp_26Team[[#This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90" spans="1:36" ht="15.75" customHeight="1" x14ac:dyDescent="0.3">
      <c r="A90" s="85" t="str">
        <f>IF(B90="","",TEXT(B90,"MMM : DDDD"))</f>
        <v>Jan : Wednesday</v>
      </c>
      <c r="B90" s="86">
        <v>46050</v>
      </c>
      <c r="C90" s="87" t="s">
        <v>318</v>
      </c>
      <c r="D90" s="88" t="s">
        <v>507</v>
      </c>
      <c r="E90" s="87" t="s">
        <v>428</v>
      </c>
      <c r="F90" s="88" t="s">
        <v>508</v>
      </c>
      <c r="G90" s="88" t="s">
        <v>484</v>
      </c>
      <c r="H90" s="87" t="s">
        <v>269</v>
      </c>
      <c r="I90" s="87" t="s">
        <v>246</v>
      </c>
      <c r="J90" s="88">
        <v>5</v>
      </c>
      <c r="K90" s="88">
        <v>5</v>
      </c>
      <c r="L90" s="88">
        <v>5</v>
      </c>
      <c r="M90" s="89">
        <v>46050</v>
      </c>
      <c r="N90" s="88">
        <v>0.5</v>
      </c>
      <c r="O90" s="90" t="s">
        <v>432</v>
      </c>
      <c r="Q90" s="91">
        <f>IF(B90="","",WEEKNUM(B90))</f>
        <v>5</v>
      </c>
      <c r="R90" s="91" t="str">
        <f>IF(B90="","",TEXT(B90,"MMM"))</f>
        <v>Jan</v>
      </c>
      <c r="S90" s="92" t="str">
        <f>IF(B90="","",TEXT(B90,"DDDD"))</f>
        <v>Wednesday</v>
      </c>
      <c r="T90" s="93" t="s">
        <v>250</v>
      </c>
      <c r="U90" s="94" t="s">
        <v>433</v>
      </c>
      <c r="W90" s="95">
        <v>0.25</v>
      </c>
      <c r="X90" s="96"/>
      <c r="Y90" s="97">
        <f>IF(M90="","",M90)</f>
        <v>46050</v>
      </c>
      <c r="Z90" s="98" t="str">
        <f>SUBSTITUTE('Digitas UK Task 26'!$O90, "Complet", "Not Requir")</f>
        <v>Not Required</v>
      </c>
      <c r="AA90" s="98" t="str">
        <f>IF(G90="","",G90)</f>
        <v>RE: WELLA | FY26Q3 NNE - UK | TAG REQUEST</v>
      </c>
      <c r="AB90" s="99"/>
      <c r="AF90" s="84" t="str">
        <f>IF(AD90="","",WEEKNUM(AD90))</f>
        <v/>
      </c>
      <c r="AH90" s="84" t="str">
        <f t="shared" si="70"/>
        <v>PL_5_CR_5_AD_5_Jira_0_</v>
      </c>
      <c r="AI90" s="84" t="str">
        <f t="shared" si="71"/>
        <v>PL_5_CR_5_AD_5_Jira_0_</v>
      </c>
      <c r="AJ90" s="84" t="str">
        <f>IF(Z90&lt;&gt;"Done","",(_xlfn.CONCAT("PL_",DigitasUKAdOp_26Team[[#This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91" spans="1:36" ht="15.75" customHeight="1" x14ac:dyDescent="0.3">
      <c r="A91" s="85" t="str">
        <f>IF(B91="","",TEXT(B91,"MMM : DDDD"))</f>
        <v>Jan : Wednesday</v>
      </c>
      <c r="B91" s="86">
        <v>46050</v>
      </c>
      <c r="C91" s="87" t="s">
        <v>344</v>
      </c>
      <c r="D91" s="88" t="s">
        <v>452</v>
      </c>
      <c r="E91" s="87" t="s">
        <v>428</v>
      </c>
      <c r="F91" s="88" t="s">
        <v>501</v>
      </c>
      <c r="G91" s="88" t="s">
        <v>502</v>
      </c>
      <c r="H91" s="87" t="s">
        <v>269</v>
      </c>
      <c r="I91" s="87" t="s">
        <v>246</v>
      </c>
      <c r="J91" s="88">
        <v>5</v>
      </c>
      <c r="K91" s="88">
        <v>5</v>
      </c>
      <c r="L91" s="88">
        <v>5</v>
      </c>
      <c r="M91" s="89">
        <v>46050</v>
      </c>
      <c r="N91" s="88">
        <v>0.5</v>
      </c>
      <c r="O91" s="90" t="s">
        <v>432</v>
      </c>
      <c r="Q91" s="91">
        <f>IF(B91="","",WEEKNUM(B91))</f>
        <v>5</v>
      </c>
      <c r="R91" s="91" t="str">
        <f>IF(B91="","",TEXT(B91,"MMM"))</f>
        <v>Jan</v>
      </c>
      <c r="S91" s="92" t="str">
        <f>IF(B91="","",TEXT(B91,"DDDD"))</f>
        <v>Wednesday</v>
      </c>
      <c r="T91" s="93" t="s">
        <v>237</v>
      </c>
      <c r="U91" s="94" t="s">
        <v>433</v>
      </c>
      <c r="W91" s="95">
        <v>0.5</v>
      </c>
      <c r="X91" s="96"/>
      <c r="Y91" s="97">
        <f>IF(M91="","",M91)</f>
        <v>46050</v>
      </c>
      <c r="Z91" s="98" t="str">
        <f>SUBSTITUTE('Digitas UK Task 26'!$O91, "Complet", "Not Requir")</f>
        <v>Not Required</v>
      </c>
      <c r="AA91" s="98" t="str">
        <f>IF(G91="","",G91)</f>
        <v>RE: Digitas x Monzo | Tagging support I OLV</v>
      </c>
      <c r="AB91" s="99"/>
      <c r="AF91" s="84" t="str">
        <f>IF(AD91="","",WEEKNUM(AD91))</f>
        <v/>
      </c>
      <c r="AH91" s="84" t="str">
        <f t="shared" si="70"/>
        <v>PL_5_CR_5_AD_5_Jira_0_</v>
      </c>
      <c r="AI91" s="84" t="str">
        <f t="shared" si="71"/>
        <v>PL_5_CR_5_AD_5_Jira_0_</v>
      </c>
      <c r="AJ91" s="84" t="str">
        <f>IF(Z91&lt;&gt;"Done","",(_xlfn.CONCAT("PL_",DigitasUKAdOp_26Team[[#This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92" spans="1:36" ht="15.75" customHeight="1" x14ac:dyDescent="0.3">
      <c r="A92" s="85" t="str">
        <f>IF(B92="","",TEXT(B92,"MMM : DDDD"))</f>
        <v>Jan : Wednesday</v>
      </c>
      <c r="B92" s="86">
        <v>46050</v>
      </c>
      <c r="C92" s="87" t="s">
        <v>334</v>
      </c>
      <c r="D92" s="88" t="s">
        <v>504</v>
      </c>
      <c r="E92" s="87" t="s">
        <v>428</v>
      </c>
      <c r="F92" s="88" t="s">
        <v>466</v>
      </c>
      <c r="G92" s="88" t="s">
        <v>509</v>
      </c>
      <c r="H92" s="87" t="s">
        <v>269</v>
      </c>
      <c r="I92" s="87" t="s">
        <v>246</v>
      </c>
      <c r="J92" s="88">
        <v>15</v>
      </c>
      <c r="K92" s="88">
        <v>15</v>
      </c>
      <c r="L92" s="88">
        <v>15</v>
      </c>
      <c r="M92" s="89">
        <v>46050</v>
      </c>
      <c r="N92" s="88">
        <v>1</v>
      </c>
      <c r="O92" s="90" t="s">
        <v>432</v>
      </c>
      <c r="Q92" s="91">
        <f>IF(B92="","",WEEKNUM(B92))</f>
        <v>5</v>
      </c>
      <c r="R92" s="91" t="str">
        <f>IF(B92="","",TEXT(B92,"MMM"))</f>
        <v>Jan</v>
      </c>
      <c r="S92" s="92" t="str">
        <f>IF(B92="","",TEXT(B92,"DDDD"))</f>
        <v>Wednesday</v>
      </c>
      <c r="T92" s="93" t="s">
        <v>237</v>
      </c>
      <c r="U92" s="94" t="s">
        <v>433</v>
      </c>
      <c r="V92" s="95" t="s">
        <v>510</v>
      </c>
      <c r="W92" s="95">
        <v>0.5</v>
      </c>
      <c r="X92" s="96"/>
      <c r="Y92" s="97">
        <f>IF(M92="","",M92)</f>
        <v>46050</v>
      </c>
      <c r="Z92" s="98" t="str">
        <f>SUBSTITUTE('Digitas UK Task 26'!$O92, "Complet", "Not Requir")</f>
        <v>Not Required</v>
      </c>
      <c r="AA92" s="98" t="str">
        <f>IF(G92="","",G92)</f>
        <v>Re: Klaviyo EMEA - Trafficking Request - OLV - Q1 2026</v>
      </c>
      <c r="AB92" s="99"/>
      <c r="AF92" s="84" t="str">
        <f>IF(AD92="","",WEEKNUM(AD92))</f>
        <v/>
      </c>
      <c r="AH92" s="84" t="str">
        <f t="shared" si="70"/>
        <v>PL_15_CR_15_AD_15_Jira_0_</v>
      </c>
      <c r="AI92" s="84" t="str">
        <f t="shared" si="71"/>
        <v>PL_15_CR_15_AD_15_Jira_0_</v>
      </c>
      <c r="AJ92" s="84" t="str">
        <f>IF(Z92&lt;&gt;"Done","",(_xlfn.CONCAT("PL_",DigitasUKAdOp_26Team[[#This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93" spans="1:36" ht="15.75" customHeight="1" x14ac:dyDescent="0.3">
      <c r="A93" s="85" t="str">
        <f>IF(B93="","",TEXT(B93,"MMM : DDDD"))</f>
        <v>Jan : Wednesday</v>
      </c>
      <c r="B93" s="86">
        <v>46050</v>
      </c>
      <c r="C93" s="87" t="s">
        <v>334</v>
      </c>
      <c r="D93" s="88" t="s">
        <v>465</v>
      </c>
      <c r="E93" s="87" t="s">
        <v>428</v>
      </c>
      <c r="F93" s="88" t="s">
        <v>471</v>
      </c>
      <c r="G93" s="88" t="s">
        <v>511</v>
      </c>
      <c r="H93" s="87" t="s">
        <v>269</v>
      </c>
      <c r="I93" s="87" t="s">
        <v>431</v>
      </c>
      <c r="J93" s="88">
        <v>3</v>
      </c>
      <c r="K93" s="88">
        <v>3</v>
      </c>
      <c r="L93" s="88">
        <v>3</v>
      </c>
      <c r="M93" s="89">
        <v>46050</v>
      </c>
      <c r="N93" s="88">
        <v>0.5</v>
      </c>
      <c r="O93" s="90" t="s">
        <v>432</v>
      </c>
      <c r="Q93" s="91">
        <f t="shared" si="80"/>
        <v>5</v>
      </c>
      <c r="R93" s="91" t="str">
        <f t="shared" si="81"/>
        <v>Jan</v>
      </c>
      <c r="S93" s="92" t="str">
        <f t="shared" si="82"/>
        <v>Wednesday</v>
      </c>
      <c r="T93" s="93" t="s">
        <v>237</v>
      </c>
      <c r="U93" s="94" t="s">
        <v>433</v>
      </c>
      <c r="V93" s="95" t="s">
        <v>510</v>
      </c>
      <c r="W93" s="95">
        <v>0.25</v>
      </c>
      <c r="X93" s="96"/>
      <c r="Y93" s="97">
        <f t="shared" si="100"/>
        <v>46050</v>
      </c>
      <c r="Z93" s="98" t="str">
        <f>SUBSTITUTE('Digitas UK Task 26'!$O93, "Complet", "Not Requir")</f>
        <v>Not Required</v>
      </c>
      <c r="AA93" s="98" t="str">
        <f t="shared" si="62"/>
        <v>RE: Klaviyo EMEA - Trafficking Request - Demand Gen - Q1 2026</v>
      </c>
      <c r="AB93" s="99"/>
      <c r="AF93" s="84" t="str">
        <f t="shared" si="79"/>
        <v/>
      </c>
      <c r="AH93" s="84" t="str">
        <f t="shared" si="70"/>
        <v>PL_3_CR_3_AD_3_Jira_0_</v>
      </c>
      <c r="AI93" s="84" t="str">
        <f t="shared" si="71"/>
        <v>PL_3_CR_3_AD_3_Jira_0_</v>
      </c>
      <c r="AJ93" s="84" t="str">
        <f>IF(Z93&lt;&gt;"Done","",(_xlfn.CONCAT("PL_",DigitasUKAdOp_26Team[[#This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94" spans="1:36" ht="15.75" customHeight="1" x14ac:dyDescent="0.3">
      <c r="A94" s="85" t="str">
        <f>IF(B94="","",TEXT(B94,"MMM : DDDD"))</f>
        <v>Jan : Wednesday</v>
      </c>
      <c r="B94" s="86">
        <v>46050</v>
      </c>
      <c r="C94" s="87" t="s">
        <v>334</v>
      </c>
      <c r="D94" s="88" t="s">
        <v>465</v>
      </c>
      <c r="E94" s="87" t="s">
        <v>428</v>
      </c>
      <c r="F94" s="88" t="s">
        <v>498</v>
      </c>
      <c r="G94" s="88" t="s">
        <v>503</v>
      </c>
      <c r="H94" s="87" t="s">
        <v>443</v>
      </c>
      <c r="I94" s="87" t="s">
        <v>237</v>
      </c>
      <c r="J94" s="88">
        <v>0</v>
      </c>
      <c r="K94" s="88">
        <v>0</v>
      </c>
      <c r="L94" s="88">
        <v>0</v>
      </c>
      <c r="M94" s="89">
        <v>46050</v>
      </c>
      <c r="N94" s="88">
        <v>0.75</v>
      </c>
      <c r="O94" s="90" t="s">
        <v>432</v>
      </c>
      <c r="Q94" s="91">
        <f t="shared" si="80"/>
        <v>5</v>
      </c>
      <c r="R94" s="91" t="str">
        <f t="shared" si="81"/>
        <v>Jan</v>
      </c>
      <c r="S94" s="92" t="str">
        <f t="shared" si="82"/>
        <v>Wednesday</v>
      </c>
      <c r="T94" s="93" t="s">
        <v>237</v>
      </c>
      <c r="U94" s="94" t="s">
        <v>444</v>
      </c>
      <c r="W94" s="95">
        <v>0</v>
      </c>
      <c r="X94" s="96"/>
      <c r="Y94" s="97">
        <f t="shared" si="100"/>
        <v>46050</v>
      </c>
      <c r="Z94" s="98" t="str">
        <f>SUBSTITUTE('Digitas UK Task 26'!$O94, "Complet", "Not Requir")</f>
        <v>Not Required</v>
      </c>
      <c r="AA94" s="98" t="str">
        <f t="shared" si="62"/>
        <v>Klaviyo EMEA - Trafficking Request - Demand Gen - Q1 2026</v>
      </c>
      <c r="AB94" s="99"/>
      <c r="AF94" s="84" t="str">
        <f t="shared" si="79"/>
        <v/>
      </c>
      <c r="AH94" s="84" t="str">
        <f t="shared" si="70"/>
        <v>PL_0_CR_0_AD_0_Jira_0_</v>
      </c>
      <c r="AI94" s="84" t="str">
        <f t="shared" si="71"/>
        <v/>
      </c>
      <c r="AJ94" s="84" t="str">
        <f>IF(Z94&lt;&gt;"Done","",(_xlfn.CONCAT("PL_",DigitasUKAdOp_26Team[[#This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95" spans="1:36" ht="15.75" customHeight="1" x14ac:dyDescent="0.3">
      <c r="A95" s="85" t="str">
        <f t="shared" ref="A95" si="101">IF(B95="","",TEXT(B95,"MMM : DDDD"))</f>
        <v>Jan : Wednesday</v>
      </c>
      <c r="B95" s="86">
        <v>46050</v>
      </c>
      <c r="C95" s="87" t="s">
        <v>43</v>
      </c>
      <c r="D95" s="88" t="s">
        <v>481</v>
      </c>
      <c r="E95" s="87" t="s">
        <v>428</v>
      </c>
      <c r="F95" s="88" t="s">
        <v>450</v>
      </c>
      <c r="G95" s="88" t="s">
        <v>512</v>
      </c>
      <c r="H95" s="87" t="s">
        <v>244</v>
      </c>
      <c r="I95" s="87" t="s">
        <v>237</v>
      </c>
      <c r="J95" s="88">
        <v>40</v>
      </c>
      <c r="K95" s="88">
        <v>40</v>
      </c>
      <c r="L95" s="88">
        <v>40</v>
      </c>
      <c r="M95" s="89">
        <v>46055</v>
      </c>
      <c r="N95" s="88">
        <v>3</v>
      </c>
      <c r="O95" s="90" t="s">
        <v>432</v>
      </c>
      <c r="Q95" s="91">
        <f t="shared" si="80"/>
        <v>5</v>
      </c>
      <c r="R95" s="91" t="str">
        <f t="shared" si="81"/>
        <v>Jan</v>
      </c>
      <c r="S95" s="92" t="str">
        <f t="shared" si="82"/>
        <v>Wednesday</v>
      </c>
      <c r="T95" s="93" t="s">
        <v>250</v>
      </c>
      <c r="U95" s="94" t="s">
        <v>433</v>
      </c>
      <c r="V95" s="95" t="s">
        <v>513</v>
      </c>
      <c r="W95" s="95">
        <v>1.5</v>
      </c>
      <c r="X95" s="96"/>
      <c r="Y95" s="97">
        <f t="shared" si="100"/>
        <v>46055</v>
      </c>
      <c r="Z95" s="98" t="str">
        <f>SUBSTITUTE('Digitas UK Task 26'!$O95, "Complet", "Not Requir")</f>
        <v>Not Required</v>
      </c>
      <c r="AA95" s="98" t="str">
        <f t="shared" si="62"/>
        <v>Crocs - S1 - Echo - trafficking</v>
      </c>
      <c r="AB95" s="99"/>
      <c r="AF95" s="84" t="str">
        <f t="shared" si="79"/>
        <v/>
      </c>
      <c r="AH95" s="84" t="str">
        <f t="shared" si="70"/>
        <v>PL_40_CR_40_AD_40_Jira_0_</v>
      </c>
      <c r="AI95" s="84" t="str">
        <f t="shared" si="71"/>
        <v>PL_40_CR_40_AD_40_Jira_0_</v>
      </c>
      <c r="AJ95" s="84" t="str">
        <f>IF(Z95&lt;&gt;"Done","",(_xlfn.CONCAT("PL_",DigitasUKAdOp_26Team[[#This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96" spans="1:36" ht="15.75" customHeight="1" x14ac:dyDescent="0.3">
      <c r="A96" s="85" t="str">
        <f t="shared" ref="A96" si="102">IF(B96="","",TEXT(B96,"MMM : DDDD"))</f>
        <v>Jan : Wednesday</v>
      </c>
      <c r="B96" s="86">
        <v>46050</v>
      </c>
      <c r="C96" s="87" t="s">
        <v>43</v>
      </c>
      <c r="D96" s="88" t="s">
        <v>481</v>
      </c>
      <c r="E96" s="87" t="s">
        <v>428</v>
      </c>
      <c r="F96" s="88" t="s">
        <v>450</v>
      </c>
      <c r="G96" s="88" t="s">
        <v>512</v>
      </c>
      <c r="H96" s="87" t="s">
        <v>443</v>
      </c>
      <c r="I96" s="87" t="s">
        <v>237</v>
      </c>
      <c r="J96" s="88">
        <v>0</v>
      </c>
      <c r="K96" s="88">
        <v>0</v>
      </c>
      <c r="L96" s="88">
        <v>0</v>
      </c>
      <c r="M96" s="89">
        <v>46050</v>
      </c>
      <c r="N96" s="88">
        <v>1.5</v>
      </c>
      <c r="O96" s="90" t="s">
        <v>432</v>
      </c>
      <c r="Q96" s="91">
        <f t="shared" ref="Q96" si="103">IF(B96="","",WEEKNUM(B96))</f>
        <v>5</v>
      </c>
      <c r="R96" s="91" t="str">
        <f t="shared" ref="R96" si="104">IF(B96="","",TEXT(B96,"MMM"))</f>
        <v>Jan</v>
      </c>
      <c r="S96" s="92" t="str">
        <f t="shared" ref="S96" si="105">IF(B96="","",TEXT(B96,"DDDD"))</f>
        <v>Wednesday</v>
      </c>
      <c r="T96" s="93" t="s">
        <v>237</v>
      </c>
      <c r="U96" s="94" t="s">
        <v>444</v>
      </c>
      <c r="W96" s="95">
        <v>0</v>
      </c>
      <c r="X96" s="96"/>
      <c r="Y96" s="97">
        <f t="shared" ref="Y96" si="106">IF(M96="","",M96)</f>
        <v>46050</v>
      </c>
      <c r="Z96" s="98" t="str">
        <f>SUBSTITUTE('Digitas UK Task 26'!$O96, "Complet", "Not Requir")</f>
        <v>Not Required</v>
      </c>
      <c r="AA96" s="98" t="str">
        <f t="shared" ref="AA96" si="107">IF(G96="","",G96)</f>
        <v>Crocs - S1 - Echo - trafficking</v>
      </c>
      <c r="AB96" s="99"/>
      <c r="AF96" s="84" t="str">
        <f t="shared" ref="AF96" si="108">IF(AD96="","",WEEKNUM(AD96))</f>
        <v/>
      </c>
      <c r="AH96" s="84" t="str">
        <f t="shared" si="70"/>
        <v>PL_0_CR_0_AD_0_Jira_0_</v>
      </c>
      <c r="AI96" s="84" t="str">
        <f t="shared" si="71"/>
        <v/>
      </c>
      <c r="AJ96" s="84" t="str">
        <f>IF(Z96&lt;&gt;"Done","",(_xlfn.CONCAT("PL_",DigitasUKAdOp_26Team[[#This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97" spans="1:36" ht="15.75" customHeight="1" x14ac:dyDescent="0.3">
      <c r="A97" s="85" t="str">
        <f>IF(B97="","",TEXT(B97,"MMM : DDDD"))</f>
        <v>Jan : Wednesday</v>
      </c>
      <c r="B97" s="86">
        <v>46050</v>
      </c>
      <c r="C97" s="87" t="s">
        <v>334</v>
      </c>
      <c r="D97" s="88" t="s">
        <v>504</v>
      </c>
      <c r="E97" s="87" t="s">
        <v>428</v>
      </c>
      <c r="F97" s="88" t="s">
        <v>472</v>
      </c>
      <c r="G97" s="88" t="s">
        <v>509</v>
      </c>
      <c r="H97" s="87" t="s">
        <v>269</v>
      </c>
      <c r="I97" s="87" t="s">
        <v>246</v>
      </c>
      <c r="J97" s="88">
        <v>15</v>
      </c>
      <c r="K97" s="88">
        <v>15</v>
      </c>
      <c r="L97" s="88">
        <v>15</v>
      </c>
      <c r="M97" s="89">
        <v>46050</v>
      </c>
      <c r="N97" s="88">
        <v>1</v>
      </c>
      <c r="O97" s="90" t="s">
        <v>432</v>
      </c>
      <c r="Q97" s="91">
        <f>IF(B97="","",WEEKNUM(B97))</f>
        <v>5</v>
      </c>
      <c r="R97" s="91" t="str">
        <f>IF(B97="","",TEXT(B97,"MMM"))</f>
        <v>Jan</v>
      </c>
      <c r="S97" s="92" t="str">
        <f>IF(B97="","",TEXT(B97,"DDDD"))</f>
        <v>Wednesday</v>
      </c>
      <c r="T97" s="93" t="s">
        <v>237</v>
      </c>
      <c r="U97" s="94" t="s">
        <v>433</v>
      </c>
      <c r="V97" s="95" t="s">
        <v>510</v>
      </c>
      <c r="W97" s="95">
        <v>0.5</v>
      </c>
      <c r="X97" s="96"/>
      <c r="Y97" s="97">
        <f>IF(M97="","",M97)</f>
        <v>46050</v>
      </c>
      <c r="Z97" s="98" t="str">
        <f>SUBSTITUTE('Digitas UK Task 26'!$O97, "Complet", "Not Requir")</f>
        <v>Not Required</v>
      </c>
      <c r="AA97" s="98" t="str">
        <f>IF(G97="","",G97)</f>
        <v>Re: Klaviyo EMEA - Trafficking Request - OLV - Q1 2026</v>
      </c>
      <c r="AB97" s="99"/>
      <c r="AF97" s="84" t="str">
        <f>IF(AD97="","",WEEKNUM(AD97))</f>
        <v/>
      </c>
      <c r="AH97" s="84" t="str">
        <f t="shared" si="70"/>
        <v>PL_15_CR_15_AD_15_Jira_0_</v>
      </c>
      <c r="AI97" s="84" t="str">
        <f t="shared" si="71"/>
        <v>PL_15_CR_15_AD_15_Jira_0_</v>
      </c>
      <c r="AJ97" s="84" t="str">
        <f>IF(Z97&lt;&gt;"Done","",(_xlfn.CONCAT("PL_",DigitasUKAdOp_26Team[[#This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98" spans="1:36" ht="15.75" customHeight="1" x14ac:dyDescent="0.3">
      <c r="A98" s="85" t="str">
        <f>IF(B98="","",TEXT(B98,"MMM : DDDD"))</f>
        <v>Jan : Wednesday</v>
      </c>
      <c r="B98" s="86">
        <v>46050</v>
      </c>
      <c r="C98" s="87" t="s">
        <v>318</v>
      </c>
      <c r="D98" s="88" t="s">
        <v>427</v>
      </c>
      <c r="E98" s="87" t="s">
        <v>428</v>
      </c>
      <c r="F98" s="88" t="s">
        <v>499</v>
      </c>
      <c r="G98" s="88" t="s">
        <v>500</v>
      </c>
      <c r="H98" s="87" t="s">
        <v>443</v>
      </c>
      <c r="I98" s="87" t="s">
        <v>431</v>
      </c>
      <c r="J98" s="88">
        <v>0</v>
      </c>
      <c r="K98" s="88">
        <v>0</v>
      </c>
      <c r="L98" s="88">
        <v>0</v>
      </c>
      <c r="M98" s="89">
        <v>46050</v>
      </c>
      <c r="N98" s="88">
        <v>0.5</v>
      </c>
      <c r="O98" s="90" t="s">
        <v>432</v>
      </c>
      <c r="Q98" s="91">
        <f t="shared" si="80"/>
        <v>5</v>
      </c>
      <c r="R98" s="91" t="str">
        <f t="shared" si="81"/>
        <v>Jan</v>
      </c>
      <c r="S98" s="92" t="str">
        <f t="shared" si="82"/>
        <v>Wednesday</v>
      </c>
      <c r="T98" s="93" t="s">
        <v>431</v>
      </c>
      <c r="U98" s="94" t="s">
        <v>444</v>
      </c>
      <c r="W98" s="95">
        <v>0</v>
      </c>
      <c r="X98" s="96"/>
      <c r="Y98" s="97">
        <f t="shared" si="100"/>
        <v>46050</v>
      </c>
      <c r="Z98" s="98" t="str">
        <f>SUBSTITUTE('Digitas UK Task 26'!$O98, "Complet", "Not Requir")</f>
        <v>Not Required</v>
      </c>
      <c r="AA98" s="98" t="str">
        <f t="shared" si="62"/>
        <v>WELLA | FY26Q3 ULTIMATE COLOR - ITALY | TAG REQUEST</v>
      </c>
      <c r="AB98" s="99"/>
      <c r="AF98" s="84" t="str">
        <f t="shared" si="79"/>
        <v/>
      </c>
      <c r="AH98" s="84" t="str">
        <f t="shared" si="70"/>
        <v>PL_0_CR_0_AD_0_Jira_0_</v>
      </c>
      <c r="AI98" s="84" t="str">
        <f t="shared" si="71"/>
        <v/>
      </c>
      <c r="AJ98" s="84" t="str">
        <f>IF(Z98&lt;&gt;"Done","",(_xlfn.CONCAT("PL_",DigitasUKAdOp_26Team[[#This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99" spans="1:36" ht="15.75" customHeight="1" x14ac:dyDescent="0.3">
      <c r="A99" s="85" t="str">
        <f>IF(B99="","",TEXT(B99,"MMM : DDDD"))</f>
        <v>Jan : Wednesday</v>
      </c>
      <c r="B99" s="86">
        <v>46050</v>
      </c>
      <c r="C99" s="87" t="s">
        <v>334</v>
      </c>
      <c r="D99" s="88" t="s">
        <v>465</v>
      </c>
      <c r="E99" s="87" t="s">
        <v>428</v>
      </c>
      <c r="F99" s="88" t="s">
        <v>471</v>
      </c>
      <c r="G99" s="88" t="s">
        <v>511</v>
      </c>
      <c r="H99" s="87" t="s">
        <v>443</v>
      </c>
      <c r="I99" s="87" t="s">
        <v>431</v>
      </c>
      <c r="J99" s="88">
        <v>0</v>
      </c>
      <c r="K99" s="88">
        <v>0</v>
      </c>
      <c r="L99" s="88">
        <v>0</v>
      </c>
      <c r="M99" s="89">
        <v>46050</v>
      </c>
      <c r="N99" s="88">
        <v>0.5</v>
      </c>
      <c r="O99" s="90" t="s">
        <v>432</v>
      </c>
      <c r="Q99" s="91">
        <f t="shared" si="80"/>
        <v>5</v>
      </c>
      <c r="R99" s="91" t="str">
        <f t="shared" si="81"/>
        <v>Jan</v>
      </c>
      <c r="S99" s="92" t="str">
        <f t="shared" si="82"/>
        <v>Wednesday</v>
      </c>
      <c r="T99" s="93" t="s">
        <v>431</v>
      </c>
      <c r="U99" s="94" t="s">
        <v>444</v>
      </c>
      <c r="W99" s="95">
        <v>0</v>
      </c>
      <c r="X99" s="96"/>
      <c r="Y99" s="97">
        <f t="shared" si="100"/>
        <v>46050</v>
      </c>
      <c r="Z99" s="98" t="str">
        <f>SUBSTITUTE('Digitas UK Task 26'!$O99, "Complet", "Not Requir")</f>
        <v>Not Required</v>
      </c>
      <c r="AA99" s="98" t="str">
        <f t="shared" si="62"/>
        <v>RE: Klaviyo EMEA - Trafficking Request - Demand Gen - Q1 2026</v>
      </c>
      <c r="AB99" s="99"/>
      <c r="AF99" s="84" t="str">
        <f t="shared" si="79"/>
        <v/>
      </c>
      <c r="AH99" s="84" t="str">
        <f t="shared" si="70"/>
        <v>PL_0_CR_0_AD_0_Jira_0_</v>
      </c>
      <c r="AI99" s="84" t="str">
        <f t="shared" si="71"/>
        <v/>
      </c>
      <c r="AJ99" s="84" t="str">
        <f>IF(Z99&lt;&gt;"Done","",(_xlfn.CONCAT("PL_",DigitasUKAdOp_26Team[[#This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00" spans="1:36" ht="15.75" customHeight="1" x14ac:dyDescent="0.3">
      <c r="A100" s="85" t="str">
        <f>IF(B100="","",TEXT(B100,"MMM : DDDD"))</f>
        <v>Jan : Wednesday</v>
      </c>
      <c r="B100" s="86">
        <v>46050</v>
      </c>
      <c r="C100" s="87" t="s">
        <v>334</v>
      </c>
      <c r="D100" s="88" t="s">
        <v>465</v>
      </c>
      <c r="E100" s="87" t="s">
        <v>428</v>
      </c>
      <c r="F100" s="88" t="s">
        <v>473</v>
      </c>
      <c r="G100" s="88" t="s">
        <v>511</v>
      </c>
      <c r="H100" s="87" t="s">
        <v>269</v>
      </c>
      <c r="I100" s="87" t="s">
        <v>431</v>
      </c>
      <c r="J100" s="88">
        <v>6</v>
      </c>
      <c r="K100" s="88">
        <v>6</v>
      </c>
      <c r="L100" s="88">
        <v>6</v>
      </c>
      <c r="M100" s="89">
        <v>46050</v>
      </c>
      <c r="N100" s="88">
        <v>0.5</v>
      </c>
      <c r="O100" s="90" t="s">
        <v>432</v>
      </c>
      <c r="Q100" s="91">
        <f t="shared" si="80"/>
        <v>5</v>
      </c>
      <c r="R100" s="91" t="str">
        <f t="shared" si="81"/>
        <v>Jan</v>
      </c>
      <c r="S100" s="92" t="str">
        <f t="shared" si="82"/>
        <v>Wednesday</v>
      </c>
      <c r="T100" s="93" t="s">
        <v>237</v>
      </c>
      <c r="U100" s="94" t="s">
        <v>433</v>
      </c>
      <c r="V100" s="95" t="s">
        <v>510</v>
      </c>
      <c r="W100" s="95">
        <v>0.25</v>
      </c>
      <c r="X100" s="96"/>
      <c r="Y100" s="97">
        <f t="shared" si="100"/>
        <v>46050</v>
      </c>
      <c r="Z100" s="98" t="str">
        <f>SUBSTITUTE('Digitas UK Task 26'!$O100, "Complet", "Not Requir")</f>
        <v>Not Required</v>
      </c>
      <c r="AA100" s="98" t="str">
        <f t="shared" si="62"/>
        <v>RE: Klaviyo EMEA - Trafficking Request - Demand Gen - Q1 2026</v>
      </c>
      <c r="AB100" s="99"/>
      <c r="AF100" s="84" t="str">
        <f t="shared" si="79"/>
        <v/>
      </c>
      <c r="AH100" s="84" t="str">
        <f t="shared" si="70"/>
        <v>PL_6_CR_6_AD_6_Jira_0_</v>
      </c>
      <c r="AI100" s="84" t="str">
        <f t="shared" si="71"/>
        <v>PL_6_CR_6_AD_6_Jira_0_</v>
      </c>
      <c r="AJ100" s="84" t="str">
        <f>IF(Z100&lt;&gt;"Done","",(_xlfn.CONCAT("PL_",DigitasUKAdOp_26Team[[#This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01" spans="1:36" ht="15.75" customHeight="1" x14ac:dyDescent="0.3">
      <c r="A101" s="85" t="str">
        <f>IF(B101="","",TEXT(B101,"MMM : DDDD"))</f>
        <v>Jan : Wednesday</v>
      </c>
      <c r="B101" s="86">
        <v>46050</v>
      </c>
      <c r="C101" s="87" t="s">
        <v>355</v>
      </c>
      <c r="D101" s="88" t="s">
        <v>514</v>
      </c>
      <c r="E101" s="87" t="s">
        <v>428</v>
      </c>
      <c r="F101" s="88" t="s">
        <v>515</v>
      </c>
      <c r="G101" s="88" t="s">
        <v>516</v>
      </c>
      <c r="H101" s="87" t="s">
        <v>269</v>
      </c>
      <c r="I101" s="87" t="s">
        <v>250</v>
      </c>
      <c r="J101" s="88">
        <v>200</v>
      </c>
      <c r="K101" s="88">
        <v>200</v>
      </c>
      <c r="L101" s="88">
        <v>200</v>
      </c>
      <c r="M101" s="89">
        <v>46050</v>
      </c>
      <c r="N101" s="88">
        <v>5</v>
      </c>
      <c r="O101" s="90" t="s">
        <v>432</v>
      </c>
      <c r="Q101" s="91">
        <f>IF(B101="","",WEEKNUM(B101))</f>
        <v>5</v>
      </c>
      <c r="R101" s="91" t="str">
        <f>IF(B101="","",TEXT(B101,"MMM"))</f>
        <v>Jan</v>
      </c>
      <c r="S101" s="92" t="str">
        <f>IF(B101="","",TEXT(B101,"DDDD"))</f>
        <v>Wednesday</v>
      </c>
      <c r="T101" s="93" t="s">
        <v>246</v>
      </c>
      <c r="U101" s="94" t="s">
        <v>433</v>
      </c>
      <c r="W101" s="95">
        <v>2.5</v>
      </c>
      <c r="X101" s="96"/>
      <c r="Y101" s="97"/>
      <c r="Z101" s="98"/>
      <c r="AA101" s="98"/>
      <c r="AB101" s="99"/>
      <c r="AH101" s="84" t="str">
        <f t="shared" si="70"/>
        <v>PL_200_CR_200_AD_200_Jira_0_</v>
      </c>
      <c r="AI101" s="84" t="str">
        <f t="shared" si="71"/>
        <v>PL_200_CR_200_AD_200_Jira_0_</v>
      </c>
      <c r="AJ101" s="84" t="str">
        <f>IF(Z101&lt;&gt;"Done","",(_xlfn.CONCAT("PL_",DigitasUKAdOp_26Team[[#This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02" spans="1:36" ht="15.75" customHeight="1" x14ac:dyDescent="0.35">
      <c r="A102" s="85" t="str">
        <f t="shared" ref="A102:A103" si="109">IF(B102="","",TEXT(B102,"MMM : DDDD"))</f>
        <v>Jan : Wednesday</v>
      </c>
      <c r="B102" s="86">
        <v>46050</v>
      </c>
      <c r="C102" s="87" t="s">
        <v>355</v>
      </c>
      <c r="D102" s="88" t="s">
        <v>514</v>
      </c>
      <c r="E102" s="87" t="s">
        <v>428</v>
      </c>
      <c r="F102" s="151" t="s">
        <v>517</v>
      </c>
      <c r="G102" s="88" t="s">
        <v>516</v>
      </c>
      <c r="H102" s="87" t="s">
        <v>269</v>
      </c>
      <c r="I102" s="87" t="s">
        <v>250</v>
      </c>
      <c r="J102" s="88">
        <v>100</v>
      </c>
      <c r="K102" s="88">
        <v>100</v>
      </c>
      <c r="L102" s="88">
        <v>100</v>
      </c>
      <c r="M102" s="89">
        <v>46050</v>
      </c>
      <c r="N102" s="88">
        <v>2</v>
      </c>
      <c r="O102" s="90" t="s">
        <v>432</v>
      </c>
      <c r="Q102" s="91">
        <f>IF(B102="","",WEEKNUM(B102))</f>
        <v>5</v>
      </c>
      <c r="R102" s="91" t="str">
        <f>IF(B102="","",TEXT(B102,"MMM"))</f>
        <v>Jan</v>
      </c>
      <c r="S102" s="92" t="str">
        <f>IF(B102="","",TEXT(B102,"DDDD"))</f>
        <v>Wednesday</v>
      </c>
      <c r="T102" s="93" t="s">
        <v>246</v>
      </c>
      <c r="U102" s="94" t="s">
        <v>433</v>
      </c>
      <c r="W102" s="95">
        <v>1</v>
      </c>
      <c r="X102" s="96"/>
      <c r="Y102" s="97"/>
      <c r="Z102" s="98"/>
      <c r="AA102" s="98"/>
      <c r="AB102" s="99"/>
      <c r="AH102" s="84" t="str">
        <f t="shared" si="70"/>
        <v>PL_100_CR_100_AD_100_Jira_0_</v>
      </c>
      <c r="AI102" s="84" t="str">
        <f t="shared" si="71"/>
        <v>PL_100_CR_100_AD_100_Jira_0_</v>
      </c>
      <c r="AJ102" s="84" t="str">
        <f>IF(Z102&lt;&gt;"Done","",(_xlfn.CONCAT("PL_",DigitasUKAdOp_26Team[[#This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03" spans="1:36" ht="15.75" customHeight="1" x14ac:dyDescent="0.35">
      <c r="A103" s="85" t="str">
        <f t="shared" si="109"/>
        <v>Jan : Wednesday</v>
      </c>
      <c r="B103" s="86">
        <v>46050</v>
      </c>
      <c r="C103" s="87" t="s">
        <v>355</v>
      </c>
      <c r="D103" s="88" t="s">
        <v>514</v>
      </c>
      <c r="E103" s="87" t="s">
        <v>428</v>
      </c>
      <c r="F103" s="151" t="s">
        <v>518</v>
      </c>
      <c r="G103" s="88" t="s">
        <v>516</v>
      </c>
      <c r="H103" s="87" t="s">
        <v>269</v>
      </c>
      <c r="I103" s="87" t="s">
        <v>250</v>
      </c>
      <c r="J103" s="88">
        <v>30</v>
      </c>
      <c r="K103" s="88">
        <v>30</v>
      </c>
      <c r="L103" s="88">
        <v>30</v>
      </c>
      <c r="M103" s="89">
        <v>46050</v>
      </c>
      <c r="N103" s="88">
        <v>1</v>
      </c>
      <c r="O103" s="90" t="s">
        <v>432</v>
      </c>
      <c r="Q103" s="91">
        <f>IF(B103="","",WEEKNUM(B103))</f>
        <v>5</v>
      </c>
      <c r="R103" s="91" t="str">
        <f>IF(B103="","",TEXT(B103,"MMM"))</f>
        <v>Jan</v>
      </c>
      <c r="S103" s="92" t="str">
        <f>IF(B103="","",TEXT(B103,"DDDD"))</f>
        <v>Wednesday</v>
      </c>
      <c r="T103" s="93" t="s">
        <v>246</v>
      </c>
      <c r="U103" s="94" t="s">
        <v>433</v>
      </c>
      <c r="W103" s="95">
        <v>0.5</v>
      </c>
      <c r="X103" s="96"/>
      <c r="Y103" s="97"/>
      <c r="Z103" s="98"/>
      <c r="AA103" s="98"/>
      <c r="AB103" s="99"/>
      <c r="AH103" s="84" t="str">
        <f t="shared" si="70"/>
        <v>PL_30_CR_30_AD_30_Jira_0_</v>
      </c>
      <c r="AI103" s="84" t="str">
        <f t="shared" si="71"/>
        <v>PL_30_CR_30_AD_30_Jira_0_</v>
      </c>
      <c r="AJ103" s="84" t="str">
        <f>IF(Z103&lt;&gt;"Done","",(_xlfn.CONCAT("PL_",DigitasUKAdOp_26Team[[#This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04" spans="1:36" ht="15.75" customHeight="1" x14ac:dyDescent="0.3">
      <c r="A104" s="85" t="str">
        <f t="shared" ref="A104:A106" si="110">IF(B104="","",TEXT(B104,"MMM : DDDD"))</f>
        <v>Jan : Thursday</v>
      </c>
      <c r="B104" s="86">
        <v>46051</v>
      </c>
      <c r="C104" s="87" t="s">
        <v>334</v>
      </c>
      <c r="D104" s="88" t="s">
        <v>504</v>
      </c>
      <c r="E104" s="87" t="s">
        <v>428</v>
      </c>
      <c r="F104" s="88" t="s">
        <v>473</v>
      </c>
      <c r="G104" s="88" t="s">
        <v>506</v>
      </c>
      <c r="H104" s="87" t="s">
        <v>269</v>
      </c>
      <c r="I104" s="87" t="s">
        <v>237</v>
      </c>
      <c r="J104" s="88">
        <v>30</v>
      </c>
      <c r="K104" s="88">
        <v>30</v>
      </c>
      <c r="L104" s="88">
        <v>30</v>
      </c>
      <c r="M104" s="89">
        <v>46050</v>
      </c>
      <c r="N104" s="88">
        <v>1</v>
      </c>
      <c r="O104" s="90" t="s">
        <v>432</v>
      </c>
      <c r="Q104" s="91">
        <f t="shared" si="80"/>
        <v>5</v>
      </c>
      <c r="R104" s="91" t="str">
        <f t="shared" si="81"/>
        <v>Jan</v>
      </c>
      <c r="S104" s="92" t="str">
        <f t="shared" si="82"/>
        <v>Thursday</v>
      </c>
      <c r="T104" s="93" t="s">
        <v>250</v>
      </c>
      <c r="U104" s="94" t="s">
        <v>433</v>
      </c>
      <c r="W104" s="95">
        <v>0.5</v>
      </c>
      <c r="X104" s="96"/>
      <c r="Y104" s="97">
        <f t="shared" si="100"/>
        <v>46050</v>
      </c>
      <c r="Z104" s="98" t="str">
        <f>SUBSTITUTE('Digitas UK Task 26'!$O104, "Complet", "Not Requir")</f>
        <v>Not Required</v>
      </c>
      <c r="AA104" s="98" t="str">
        <f t="shared" si="62"/>
        <v>Klaviyo EMEA - Trafficking Request - OLV - Q1 2026</v>
      </c>
      <c r="AB104" s="99"/>
      <c r="AF104" s="84" t="str">
        <f t="shared" si="79"/>
        <v/>
      </c>
      <c r="AH104" s="84" t="str">
        <f t="shared" si="70"/>
        <v>PL_30_CR_30_AD_30_Jira_0_</v>
      </c>
      <c r="AI104" s="84" t="str">
        <f t="shared" si="71"/>
        <v>PL_30_CR_30_AD_30_Jira_0_</v>
      </c>
      <c r="AJ104" s="84" t="str">
        <f>IF(Z104&lt;&gt;"Done","",(_xlfn.CONCAT("PL_",DigitasUKAdOp_26Team[[#This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05" spans="1:36" ht="15.75" customHeight="1" x14ac:dyDescent="0.3">
      <c r="A105" s="85" t="str">
        <f t="shared" si="110"/>
        <v>Jan : Thursday</v>
      </c>
      <c r="B105" s="86">
        <v>46051</v>
      </c>
      <c r="C105" s="87" t="s">
        <v>334</v>
      </c>
      <c r="D105" s="88" t="s">
        <v>504</v>
      </c>
      <c r="E105" s="87" t="s">
        <v>428</v>
      </c>
      <c r="F105" s="88" t="s">
        <v>498</v>
      </c>
      <c r="G105" s="88" t="s">
        <v>509</v>
      </c>
      <c r="H105" s="87" t="s">
        <v>269</v>
      </c>
      <c r="I105" s="87" t="s">
        <v>237</v>
      </c>
      <c r="J105" s="88">
        <v>20</v>
      </c>
      <c r="K105" s="88">
        <v>20</v>
      </c>
      <c r="L105" s="88">
        <v>20</v>
      </c>
      <c r="M105" s="89">
        <v>46050</v>
      </c>
      <c r="N105" s="88">
        <v>1</v>
      </c>
      <c r="O105" s="90" t="s">
        <v>432</v>
      </c>
      <c r="Q105" s="91">
        <f t="shared" ref="Q105:Q106" si="111">IF(B105="","",WEEKNUM(B105))</f>
        <v>5</v>
      </c>
      <c r="R105" s="91" t="str">
        <f t="shared" ref="R105:R106" si="112">IF(B105="","",TEXT(B105,"MMM"))</f>
        <v>Jan</v>
      </c>
      <c r="S105" s="92" t="str">
        <f t="shared" ref="S105:S106" si="113">IF(B105="","",TEXT(B105,"DDDD"))</f>
        <v>Thursday</v>
      </c>
      <c r="T105" s="93" t="s">
        <v>250</v>
      </c>
      <c r="U105" s="94" t="s">
        <v>433</v>
      </c>
      <c r="W105" s="95">
        <v>0.5</v>
      </c>
      <c r="X105" s="96"/>
      <c r="Y105" s="97">
        <f t="shared" ref="Y105:Y106" si="114">IF(M105="","",M105)</f>
        <v>46050</v>
      </c>
      <c r="Z105" s="98" t="str">
        <f>SUBSTITUTE('Digitas UK Task 26'!$O105, "Complet", "Not Requir")</f>
        <v>Not Required</v>
      </c>
      <c r="AA105" s="98" t="str">
        <f t="shared" ref="AA105:AA106" si="115">IF(G105="","",G105)</f>
        <v>Re: Klaviyo EMEA - Trafficking Request - OLV - Q1 2026</v>
      </c>
      <c r="AB105" s="99"/>
      <c r="AF105" s="84" t="str">
        <f t="shared" ref="AF105:AF106" si="116">IF(AD105="","",WEEKNUM(AD105))</f>
        <v/>
      </c>
      <c r="AH105" s="84" t="str">
        <f t="shared" si="70"/>
        <v>PL_20_CR_20_AD_20_Jira_0_</v>
      </c>
      <c r="AI105" s="84" t="str">
        <f t="shared" si="71"/>
        <v>PL_20_CR_20_AD_20_Jira_0_</v>
      </c>
      <c r="AJ105" s="84" t="str">
        <f>IF(Z105&lt;&gt;"Done","",(_xlfn.CONCAT("PL_",DigitasUKAdOp_26Team[[#This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06" spans="1:36" ht="15.75" customHeight="1" x14ac:dyDescent="0.3">
      <c r="A106" s="85" t="str">
        <f t="shared" si="110"/>
        <v>Jan : Thursday</v>
      </c>
      <c r="B106" s="86">
        <v>46051</v>
      </c>
      <c r="C106" s="87" t="s">
        <v>338</v>
      </c>
      <c r="D106" s="88" t="s">
        <v>519</v>
      </c>
      <c r="E106" s="87" t="s">
        <v>428</v>
      </c>
      <c r="F106" s="88" t="s">
        <v>441</v>
      </c>
      <c r="G106" s="88" t="s">
        <v>520</v>
      </c>
      <c r="H106" s="87" t="s">
        <v>521</v>
      </c>
      <c r="I106" s="87" t="s">
        <v>237</v>
      </c>
      <c r="J106" s="88">
        <v>0</v>
      </c>
      <c r="K106" s="88">
        <v>0</v>
      </c>
      <c r="L106" s="88">
        <v>0</v>
      </c>
      <c r="M106" s="89">
        <v>46051</v>
      </c>
      <c r="N106" s="88">
        <v>2</v>
      </c>
      <c r="O106" s="90" t="s">
        <v>432</v>
      </c>
      <c r="Q106" s="91">
        <f t="shared" si="111"/>
        <v>5</v>
      </c>
      <c r="R106" s="91" t="str">
        <f t="shared" si="112"/>
        <v>Jan</v>
      </c>
      <c r="S106" s="92" t="str">
        <f t="shared" si="113"/>
        <v>Thursday</v>
      </c>
      <c r="T106" s="93" t="s">
        <v>237</v>
      </c>
      <c r="U106" s="94" t="s">
        <v>444</v>
      </c>
      <c r="W106" s="95">
        <v>0</v>
      </c>
      <c r="X106" s="96"/>
      <c r="Y106" s="97">
        <f t="shared" si="114"/>
        <v>46051</v>
      </c>
      <c r="Z106" s="98" t="str">
        <f>SUBSTITUTE('Digitas UK Task 26'!$O106, "Complet", "Not Requir")</f>
        <v>Not Required</v>
      </c>
      <c r="AA106" s="98" t="str">
        <f t="shared" si="115"/>
        <v>RE: Trafficking Request - BN UK Vimkunya Doceree AB Testing</v>
      </c>
      <c r="AB106" s="99"/>
      <c r="AF106" s="84" t="str">
        <f t="shared" si="116"/>
        <v/>
      </c>
      <c r="AH106" s="84" t="str">
        <f t="shared" si="70"/>
        <v>PL_0_CR_0_AD_0_Jira_0_</v>
      </c>
      <c r="AI106" s="84" t="str">
        <f t="shared" si="71"/>
        <v/>
      </c>
      <c r="AJ106" s="84" t="str">
        <f>IF(Z106&lt;&gt;"Done","",(_xlfn.CONCAT("PL_",DigitasUKAdOp_26Team[[#This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07" spans="1:36" ht="15.75" customHeight="1" x14ac:dyDescent="0.3">
      <c r="A107" s="85" t="str">
        <f>IF(B107="","",TEXT(B107,"MMM : DDDD"))</f>
        <v>Jan : Thursday</v>
      </c>
      <c r="B107" s="86">
        <v>46051</v>
      </c>
      <c r="C107" s="87" t="s">
        <v>334</v>
      </c>
      <c r="D107" s="88" t="s">
        <v>504</v>
      </c>
      <c r="E107" s="87" t="s">
        <v>428</v>
      </c>
      <c r="F107" s="88" t="s">
        <v>469</v>
      </c>
      <c r="G107" s="88" t="s">
        <v>509</v>
      </c>
      <c r="H107" s="87" t="s">
        <v>269</v>
      </c>
      <c r="I107" s="87" t="s">
        <v>250</v>
      </c>
      <c r="J107" s="88">
        <v>50</v>
      </c>
      <c r="K107" s="88">
        <v>50</v>
      </c>
      <c r="L107" s="88">
        <v>50</v>
      </c>
      <c r="M107" s="89">
        <v>46051</v>
      </c>
      <c r="N107" s="88">
        <v>2</v>
      </c>
      <c r="O107" s="90" t="s">
        <v>432</v>
      </c>
      <c r="Q107" s="91">
        <f t="shared" ref="Q107:Q108" si="117">IF(B107="","",WEEKNUM(B107))</f>
        <v>5</v>
      </c>
      <c r="R107" s="91" t="str">
        <f t="shared" ref="R107:R108" si="118">IF(B107="","",TEXT(B107,"MMM"))</f>
        <v>Jan</v>
      </c>
      <c r="S107" s="92" t="str">
        <f t="shared" ref="S107:S108" si="119">IF(B107="","",TEXT(B107,"DDDD"))</f>
        <v>Thursday</v>
      </c>
      <c r="T107" s="93" t="s">
        <v>237</v>
      </c>
      <c r="U107" s="94" t="s">
        <v>433</v>
      </c>
      <c r="V107" s="95" t="s">
        <v>513</v>
      </c>
      <c r="W107" s="95">
        <v>1.5</v>
      </c>
      <c r="X107" s="96"/>
      <c r="Y107" s="97">
        <f t="shared" si="100"/>
        <v>46051</v>
      </c>
      <c r="Z107" s="98" t="str">
        <f>SUBSTITUTE('Digitas UK Task 26'!$O107, "Complet", "Not Requir")</f>
        <v>Not Required</v>
      </c>
      <c r="AA107" s="98" t="str">
        <f>IF(G101="","",G101)</f>
        <v>February VOD 2026 Part 1 2 &amp; 3</v>
      </c>
      <c r="AB107" s="99"/>
      <c r="AF107" s="84" t="str">
        <f t="shared" si="79"/>
        <v/>
      </c>
      <c r="AH107" s="84" t="str">
        <f t="shared" si="70"/>
        <v>PL_50_CR_50_AD_50_Jira_0_</v>
      </c>
      <c r="AI107" s="84" t="str">
        <f t="shared" si="71"/>
        <v>PL_50_CR_50_AD_50_Jira_0_</v>
      </c>
      <c r="AJ107" s="84" t="str">
        <f>IF(Z107&lt;&gt;"Done","",(_xlfn.CONCAT("PL_",DigitasUKAdOp_26Team[[#This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08" spans="1:36" ht="15.75" customHeight="1" x14ac:dyDescent="0.3">
      <c r="A108" s="85" t="str">
        <f>IF(B108="","",TEXT(B108,"MMM : DDDD"))</f>
        <v>Jan : Thursday</v>
      </c>
      <c r="B108" s="86">
        <v>46051</v>
      </c>
      <c r="C108" s="87" t="s">
        <v>334</v>
      </c>
      <c r="D108" s="88" t="s">
        <v>504</v>
      </c>
      <c r="E108" s="87" t="s">
        <v>428</v>
      </c>
      <c r="F108" s="88" t="s">
        <v>470</v>
      </c>
      <c r="G108" s="88" t="s">
        <v>509</v>
      </c>
      <c r="H108" s="87" t="s">
        <v>269</v>
      </c>
      <c r="I108" s="87" t="s">
        <v>250</v>
      </c>
      <c r="J108" s="88">
        <v>50</v>
      </c>
      <c r="K108" s="88">
        <v>50</v>
      </c>
      <c r="L108" s="88">
        <v>50</v>
      </c>
      <c r="M108" s="89">
        <v>46051</v>
      </c>
      <c r="N108" s="88">
        <v>2</v>
      </c>
      <c r="O108" s="90" t="s">
        <v>432</v>
      </c>
      <c r="Q108" s="91">
        <f t="shared" si="117"/>
        <v>5</v>
      </c>
      <c r="R108" s="91" t="str">
        <f t="shared" si="118"/>
        <v>Jan</v>
      </c>
      <c r="S108" s="92" t="str">
        <f t="shared" si="119"/>
        <v>Thursday</v>
      </c>
      <c r="T108" s="93" t="s">
        <v>237</v>
      </c>
      <c r="U108" s="94" t="s">
        <v>433</v>
      </c>
      <c r="V108" s="95" t="s">
        <v>513</v>
      </c>
      <c r="W108" s="95">
        <v>1.5</v>
      </c>
      <c r="X108" s="96"/>
      <c r="Y108" s="97">
        <f t="shared" si="100"/>
        <v>46051</v>
      </c>
      <c r="Z108" s="98" t="str">
        <f>SUBSTITUTE('Digitas UK Task 26'!$O108, "Complet", "Not Requir")</f>
        <v>Not Required</v>
      </c>
      <c r="AA108" s="98" t="str">
        <f>IF(G102="","",G102)</f>
        <v>February VOD 2026 Part 1 2 &amp; 3</v>
      </c>
      <c r="AB108" s="99"/>
      <c r="AF108" s="84" t="str">
        <f t="shared" si="79"/>
        <v/>
      </c>
      <c r="AH108" s="84" t="str">
        <f t="shared" si="70"/>
        <v>PL_50_CR_50_AD_50_Jira_0_</v>
      </c>
      <c r="AI108" s="84" t="str">
        <f t="shared" si="71"/>
        <v>PL_50_CR_50_AD_50_Jira_0_</v>
      </c>
      <c r="AJ108" s="84" t="str">
        <f>IF(Z108&lt;&gt;"Done","",(_xlfn.CONCAT("PL_",DigitasUKAdOp_26Team[[#This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09" spans="1:36" ht="15.75" customHeight="1" x14ac:dyDescent="0.3">
      <c r="A109" s="85" t="str">
        <f>IF(B109="","",TEXT(B109,"MMM : DDDD"))</f>
        <v>Jan : Thursday</v>
      </c>
      <c r="B109" s="86">
        <v>46051</v>
      </c>
      <c r="C109" s="87" t="s">
        <v>344</v>
      </c>
      <c r="D109" s="88" t="s">
        <v>452</v>
      </c>
      <c r="E109" s="87" t="s">
        <v>428</v>
      </c>
      <c r="F109" s="88" t="s">
        <v>522</v>
      </c>
      <c r="G109" s="88" t="s">
        <v>523</v>
      </c>
      <c r="H109" s="87" t="s">
        <v>269</v>
      </c>
      <c r="I109" s="87" t="s">
        <v>250</v>
      </c>
      <c r="J109" s="88">
        <v>30</v>
      </c>
      <c r="K109" s="88">
        <v>30</v>
      </c>
      <c r="L109" s="88">
        <v>30</v>
      </c>
      <c r="M109" s="89">
        <v>46051</v>
      </c>
      <c r="N109" s="88">
        <v>1</v>
      </c>
      <c r="O109" s="90" t="s">
        <v>432</v>
      </c>
      <c r="Q109" s="91">
        <f t="shared" ref="Q109" si="120">IF(B109="","",WEEKNUM(B109))</f>
        <v>5</v>
      </c>
      <c r="R109" s="91" t="str">
        <f t="shared" ref="R109" si="121">IF(B109="","",TEXT(B109,"MMM"))</f>
        <v>Jan</v>
      </c>
      <c r="S109" s="92" t="str">
        <f t="shared" ref="S109" si="122">IF(B109="","",TEXT(B109,"DDDD"))</f>
        <v>Thursday</v>
      </c>
      <c r="T109" s="93" t="s">
        <v>237</v>
      </c>
      <c r="U109" s="94" t="s">
        <v>433</v>
      </c>
      <c r="W109" s="95">
        <v>0.5</v>
      </c>
      <c r="X109" s="96"/>
      <c r="Y109" s="97">
        <f t="shared" si="100"/>
        <v>46051</v>
      </c>
      <c r="Z109" s="98" t="str">
        <f>SUBSTITUTE('Digitas UK Task 26'!$O109, "Complet", "Not Requir")</f>
        <v>Not Required</v>
      </c>
      <c r="AA109" s="98" t="str">
        <f>IF(G103="","",G103)</f>
        <v>February VOD 2026 Part 1 2 &amp; 3</v>
      </c>
      <c r="AB109" s="99"/>
      <c r="AF109" s="84" t="str">
        <f t="shared" si="79"/>
        <v/>
      </c>
      <c r="AH109" s="84" t="str">
        <f t="shared" si="70"/>
        <v>PL_30_CR_30_AD_30_Jira_0_</v>
      </c>
      <c r="AI109" s="84" t="str">
        <f t="shared" si="71"/>
        <v>PL_30_CR_30_AD_30_Jira_0_</v>
      </c>
      <c r="AJ109" s="84" t="str">
        <f>IF(Z109&lt;&gt;"Done","",(_xlfn.CONCAT("PL_",DigitasUKAdOp_26Team[[#This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10" spans="1:36" ht="15.75" customHeight="1" x14ac:dyDescent="0.3">
      <c r="A110" s="85" t="str">
        <f>IF(B110="","",TEXT(B110,"MMM : DDDD"))</f>
        <v>Jan : Thursday</v>
      </c>
      <c r="B110" s="86">
        <v>46051</v>
      </c>
      <c r="C110" s="87" t="s">
        <v>318</v>
      </c>
      <c r="D110" s="88" t="s">
        <v>448</v>
      </c>
      <c r="E110" s="87" t="s">
        <v>428</v>
      </c>
      <c r="F110" s="88" t="s">
        <v>474</v>
      </c>
      <c r="G110" s="88" t="s">
        <v>484</v>
      </c>
      <c r="H110" s="87" t="s">
        <v>269</v>
      </c>
      <c r="I110" s="87" t="s">
        <v>431</v>
      </c>
      <c r="J110" s="88">
        <v>2</v>
      </c>
      <c r="K110" s="88">
        <v>2</v>
      </c>
      <c r="L110" s="88">
        <v>2</v>
      </c>
      <c r="M110" s="89">
        <v>46051</v>
      </c>
      <c r="N110" s="88">
        <v>0.5</v>
      </c>
      <c r="O110" s="90" t="s">
        <v>432</v>
      </c>
      <c r="Q110" s="91">
        <f t="shared" si="80"/>
        <v>5</v>
      </c>
      <c r="R110" s="91" t="str">
        <f t="shared" si="81"/>
        <v>Jan</v>
      </c>
      <c r="S110" s="92" t="str">
        <f t="shared" si="82"/>
        <v>Thursday</v>
      </c>
      <c r="T110" s="93" t="s">
        <v>246</v>
      </c>
      <c r="U110" s="94" t="s">
        <v>433</v>
      </c>
      <c r="W110" s="95">
        <v>0.25</v>
      </c>
      <c r="X110" s="96"/>
      <c r="Y110" s="97">
        <f t="shared" si="100"/>
        <v>46051</v>
      </c>
      <c r="Z110" s="98" t="str">
        <f>SUBSTITUTE('Digitas UK Task 26'!$O110, "Complet", "Not Requir")</f>
        <v>Not Required</v>
      </c>
      <c r="AA110" s="98" t="str">
        <f t="shared" si="62"/>
        <v>RE: WELLA | FY26Q3 NNE - UK | TAG REQUEST</v>
      </c>
      <c r="AB110" s="99"/>
      <c r="AF110" s="84" t="str">
        <f t="shared" si="79"/>
        <v/>
      </c>
      <c r="AH110" s="84" t="str">
        <f t="shared" si="70"/>
        <v>PL_2_CR_2_AD_2_Jira_0_</v>
      </c>
      <c r="AI110" s="84" t="str">
        <f t="shared" si="71"/>
        <v>PL_2_CR_2_AD_2_Jira_0_</v>
      </c>
      <c r="AJ110" s="84" t="str">
        <f>IF(Z110&lt;&gt;"Done","",(_xlfn.CONCAT("PL_",DigitasUKAdOp_26Team[[#This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11" spans="1:36" ht="15.75" customHeight="1" x14ac:dyDescent="0.3">
      <c r="A111" s="85" t="str">
        <f>IF(B111="","",TEXT(B111,"MMM : DDDD"))</f>
        <v>Jan : Thursday</v>
      </c>
      <c r="B111" s="86">
        <v>46051</v>
      </c>
      <c r="C111" s="87" t="s">
        <v>344</v>
      </c>
      <c r="D111" s="88" t="s">
        <v>452</v>
      </c>
      <c r="E111" s="87" t="s">
        <v>428</v>
      </c>
      <c r="F111" s="88" t="s">
        <v>501</v>
      </c>
      <c r="G111" s="88" t="s">
        <v>524</v>
      </c>
      <c r="H111" s="87" t="s">
        <v>269</v>
      </c>
      <c r="I111" s="87" t="s">
        <v>246</v>
      </c>
      <c r="J111" s="88">
        <v>10</v>
      </c>
      <c r="K111" s="88">
        <v>10</v>
      </c>
      <c r="L111" s="88">
        <v>10</v>
      </c>
      <c r="M111" s="89">
        <v>46051</v>
      </c>
      <c r="N111" s="88">
        <v>1</v>
      </c>
      <c r="O111" s="90" t="s">
        <v>432</v>
      </c>
      <c r="Q111" s="91">
        <f t="shared" si="80"/>
        <v>5</v>
      </c>
      <c r="R111" s="91" t="str">
        <f t="shared" ref="R111" si="123">IF(B111="","",TEXT(B111,"MMM"))</f>
        <v>Jan</v>
      </c>
      <c r="S111" s="92" t="str">
        <f t="shared" ref="S111" si="124">IF(B111="","",TEXT(B111,"DDDD"))</f>
        <v>Thursday</v>
      </c>
      <c r="T111" s="93" t="s">
        <v>237</v>
      </c>
      <c r="U111" s="94" t="s">
        <v>433</v>
      </c>
      <c r="W111" s="95">
        <v>0.5</v>
      </c>
      <c r="X111" s="96"/>
      <c r="Y111" s="97">
        <f t="shared" ref="Y111" si="125">IF(M111="","",M111)</f>
        <v>46051</v>
      </c>
      <c r="Z111" s="98" t="str">
        <f>SUBSTITUTE('Digitas UK Task 26'!$O111, "Complet", "Not Requir")</f>
        <v>Not Required</v>
      </c>
      <c r="AA111" s="98" t="str">
        <f>IF(G105="","",G105)</f>
        <v>Re: Klaviyo EMEA - Trafficking Request - OLV - Q1 2026</v>
      </c>
      <c r="AB111" s="99"/>
      <c r="AF111" s="84" t="str">
        <f t="shared" ref="AF111" si="126">IF(AD111="","",WEEKNUM(AD111))</f>
        <v/>
      </c>
      <c r="AH111" s="84" t="str">
        <f t="shared" si="70"/>
        <v>PL_10_CR_10_AD_10_Jira_0_</v>
      </c>
      <c r="AI111" s="84" t="str">
        <f t="shared" si="71"/>
        <v>PL_10_CR_10_AD_10_Jira_0_</v>
      </c>
      <c r="AJ111" s="84" t="str">
        <f>IF(Z111&lt;&gt;"Done","",(_xlfn.CONCAT("PL_",DigitasUKAdOp_26Team[[#This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12" spans="1:36" ht="15.75" customHeight="1" x14ac:dyDescent="0.3">
      <c r="A112" s="85" t="str">
        <f t="shared" si="84"/>
        <v>Jan : Thursday</v>
      </c>
      <c r="B112" s="86">
        <v>46051</v>
      </c>
      <c r="C112" s="87" t="s">
        <v>338</v>
      </c>
      <c r="D112" s="88" t="s">
        <v>440</v>
      </c>
      <c r="E112" s="87" t="s">
        <v>428</v>
      </c>
      <c r="F112" s="88" t="s">
        <v>441</v>
      </c>
      <c r="G112" s="88" t="s">
        <v>520</v>
      </c>
      <c r="H112" s="87" t="s">
        <v>443</v>
      </c>
      <c r="I112" s="87" t="s">
        <v>237</v>
      </c>
      <c r="J112" s="88">
        <v>20</v>
      </c>
      <c r="K112" s="88">
        <v>20</v>
      </c>
      <c r="L112" s="88">
        <v>20</v>
      </c>
      <c r="M112" s="89">
        <v>46051</v>
      </c>
      <c r="N112" s="88">
        <v>1</v>
      </c>
      <c r="O112" s="90" t="s">
        <v>432</v>
      </c>
      <c r="Q112" s="91">
        <f t="shared" si="80"/>
        <v>5</v>
      </c>
      <c r="R112" s="91" t="str">
        <f t="shared" si="81"/>
        <v>Jan</v>
      </c>
      <c r="S112" s="92" t="str">
        <f t="shared" si="82"/>
        <v>Thursday</v>
      </c>
      <c r="T112" s="93" t="s">
        <v>237</v>
      </c>
      <c r="U112" s="94" t="s">
        <v>444</v>
      </c>
      <c r="W112" s="95">
        <v>0</v>
      </c>
      <c r="X112" s="96"/>
      <c r="Y112" s="97">
        <f t="shared" si="100"/>
        <v>46051</v>
      </c>
      <c r="Z112" s="98" t="str">
        <f>SUBSTITUTE('Digitas UK Task 26'!$O112, "Complet", "Not Requir")</f>
        <v>Not Required</v>
      </c>
      <c r="AA112" s="98" t="str">
        <f t="shared" si="62"/>
        <v>RE: Trafficking Request - BN UK Vimkunya Doceree AB Testing</v>
      </c>
      <c r="AB112" s="99"/>
      <c r="AF112" s="84" t="str">
        <f t="shared" si="79"/>
        <v/>
      </c>
      <c r="AH112" s="84" t="str">
        <f t="shared" si="70"/>
        <v>PL_20_CR_20_AD_20_Jira_0_</v>
      </c>
      <c r="AI112" s="84" t="str">
        <f t="shared" si="71"/>
        <v/>
      </c>
      <c r="AJ112" s="84" t="str">
        <f>IF(Z112&lt;&gt;"Done","",(_xlfn.CONCAT("PL_",DigitasUKAdOp_26Team[[#This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13" spans="1:36" ht="15.75" customHeight="1" x14ac:dyDescent="0.3">
      <c r="A113" s="85" t="str">
        <f t="shared" si="84"/>
        <v>Jan : Friday</v>
      </c>
      <c r="B113" s="86">
        <v>46052</v>
      </c>
      <c r="C113" s="87" t="s">
        <v>344</v>
      </c>
      <c r="D113" s="88" t="s">
        <v>452</v>
      </c>
      <c r="E113" s="87" t="s">
        <v>428</v>
      </c>
      <c r="F113" s="88" t="s">
        <v>522</v>
      </c>
      <c r="G113" s="88" t="s">
        <v>525</v>
      </c>
      <c r="H113" s="87" t="s">
        <v>269</v>
      </c>
      <c r="I113" s="87" t="s">
        <v>250</v>
      </c>
      <c r="J113" s="88">
        <v>10</v>
      </c>
      <c r="K113" s="88">
        <v>10</v>
      </c>
      <c r="L113" s="88">
        <v>10</v>
      </c>
      <c r="M113" s="89">
        <v>46052</v>
      </c>
      <c r="N113" s="88">
        <v>1</v>
      </c>
      <c r="O113" s="90" t="s">
        <v>432</v>
      </c>
      <c r="Q113" s="91">
        <f t="shared" si="80"/>
        <v>5</v>
      </c>
      <c r="R113" s="91" t="str">
        <f t="shared" si="81"/>
        <v>Jan</v>
      </c>
      <c r="S113" s="92" t="str">
        <f t="shared" si="82"/>
        <v>Friday</v>
      </c>
      <c r="T113" s="93" t="s">
        <v>237</v>
      </c>
      <c r="U113" s="94" t="s">
        <v>433</v>
      </c>
      <c r="W113" s="95">
        <v>0.5</v>
      </c>
      <c r="X113" s="96"/>
      <c r="Y113" s="97">
        <f t="shared" si="100"/>
        <v>46052</v>
      </c>
      <c r="Z113" s="98" t="str">
        <f>SUBSTITUTE('Digitas UK Task 26'!$O113, "Complet", "Not Requir")</f>
        <v>Not Required</v>
      </c>
      <c r="AA113" s="98" t="str">
        <f t="shared" si="62"/>
        <v>RE: RE: Digitas x Monzo | Tagging support I CTV</v>
      </c>
      <c r="AB113" s="99"/>
      <c r="AF113" s="84" t="str">
        <f t="shared" si="79"/>
        <v/>
      </c>
      <c r="AH113" s="84" t="str">
        <f t="shared" si="70"/>
        <v>PL_10_CR_10_AD_10_Jira_0_</v>
      </c>
      <c r="AI113" s="84" t="str">
        <f t="shared" si="71"/>
        <v>PL_10_CR_10_AD_10_Jira_0_</v>
      </c>
      <c r="AJ113" s="84" t="str">
        <f>IF(Z113&lt;&gt;"Done","",(_xlfn.CONCAT("PL_",DigitasUKAdOp_26Team[[#This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14" spans="1:36" ht="15.75" customHeight="1" x14ac:dyDescent="0.3">
      <c r="A114" s="85" t="str">
        <f t="shared" si="84"/>
        <v>Jan : Friday</v>
      </c>
      <c r="B114" s="86">
        <v>46052</v>
      </c>
      <c r="C114" s="87" t="s">
        <v>344</v>
      </c>
      <c r="D114" s="88" t="s">
        <v>452</v>
      </c>
      <c r="E114" s="87" t="s">
        <v>428</v>
      </c>
      <c r="F114" s="88" t="s">
        <v>501</v>
      </c>
      <c r="G114" s="88" t="s">
        <v>524</v>
      </c>
      <c r="H114" s="87" t="s">
        <v>269</v>
      </c>
      <c r="I114" s="87" t="s">
        <v>250</v>
      </c>
      <c r="J114" s="88">
        <v>3</v>
      </c>
      <c r="K114" s="88">
        <v>3</v>
      </c>
      <c r="L114" s="88">
        <v>3</v>
      </c>
      <c r="M114" s="89">
        <v>46052</v>
      </c>
      <c r="N114" s="88">
        <v>0.5</v>
      </c>
      <c r="O114" s="90" t="s">
        <v>432</v>
      </c>
      <c r="Q114" s="91">
        <f t="shared" si="80"/>
        <v>5</v>
      </c>
      <c r="R114" s="91" t="str">
        <f t="shared" si="81"/>
        <v>Jan</v>
      </c>
      <c r="S114" s="92" t="str">
        <f t="shared" si="82"/>
        <v>Friday</v>
      </c>
      <c r="T114" s="93" t="s">
        <v>237</v>
      </c>
      <c r="U114" s="94" t="s">
        <v>433</v>
      </c>
      <c r="W114" s="95">
        <v>0.5</v>
      </c>
      <c r="X114" s="96"/>
      <c r="Y114" s="97">
        <f t="shared" si="100"/>
        <v>46052</v>
      </c>
      <c r="Z114" s="98" t="str">
        <f>SUBSTITUTE('Digitas UK Task 26'!$O114, "Complet", "Not Requir")</f>
        <v>Not Required</v>
      </c>
      <c r="AA114" s="98" t="str">
        <f t="shared" si="62"/>
        <v>RE: RE: Digitas x Monzo | Tagging support I OLV</v>
      </c>
      <c r="AB114" s="99"/>
      <c r="AF114" s="84" t="str">
        <f t="shared" si="79"/>
        <v/>
      </c>
      <c r="AH114" s="84" t="str">
        <f t="shared" si="70"/>
        <v>PL_3_CR_3_AD_3_Jira_0_</v>
      </c>
      <c r="AI114" s="84" t="str">
        <f t="shared" si="71"/>
        <v>PL_3_CR_3_AD_3_Jira_0_</v>
      </c>
      <c r="AJ114" s="84" t="str">
        <f>IF(Z114&lt;&gt;"Done","",(_xlfn.CONCAT("PL_",DigitasUKAdOp_26Team[[#This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15" spans="1:36" ht="15.75" customHeight="1" x14ac:dyDescent="0.3">
      <c r="A115" s="85" t="str">
        <f t="shared" si="84"/>
        <v>Jan : Friday</v>
      </c>
      <c r="B115" s="86">
        <v>46052</v>
      </c>
      <c r="C115" s="87" t="s">
        <v>43</v>
      </c>
      <c r="D115" s="88" t="s">
        <v>526</v>
      </c>
      <c r="E115" s="87" t="s">
        <v>428</v>
      </c>
      <c r="F115" s="88" t="s">
        <v>450</v>
      </c>
      <c r="G115" s="88" t="s">
        <v>527</v>
      </c>
      <c r="H115" s="87" t="s">
        <v>244</v>
      </c>
      <c r="I115" s="87" t="s">
        <v>237</v>
      </c>
      <c r="J115" s="88">
        <v>40</v>
      </c>
      <c r="K115" s="88">
        <v>40</v>
      </c>
      <c r="L115" s="88">
        <v>40</v>
      </c>
      <c r="M115" s="89">
        <v>46055</v>
      </c>
      <c r="N115" s="88">
        <v>2.5</v>
      </c>
      <c r="O115" s="90" t="s">
        <v>432</v>
      </c>
      <c r="Q115" s="91">
        <f t="shared" si="80"/>
        <v>5</v>
      </c>
      <c r="R115" s="91" t="str">
        <f t="shared" si="81"/>
        <v>Jan</v>
      </c>
      <c r="S115" s="92" t="str">
        <f t="shared" si="82"/>
        <v>Friday</v>
      </c>
      <c r="T115" s="93" t="s">
        <v>250</v>
      </c>
      <c r="U115" s="94" t="s">
        <v>433</v>
      </c>
      <c r="W115" s="95">
        <v>1</v>
      </c>
      <c r="X115" s="96"/>
      <c r="Y115" s="97">
        <f t="shared" si="100"/>
        <v>46055</v>
      </c>
      <c r="Z115" s="98" t="str">
        <f>SUBSTITUTE('Digitas UK Task 26'!$O115, "Complet", "Not Requir")</f>
        <v>Not Required</v>
      </c>
      <c r="AA115" s="98" t="str">
        <f t="shared" si="62"/>
        <v>RE: Crocs - S1 - Echo - trafficking</v>
      </c>
      <c r="AB115" s="99"/>
      <c r="AF115" s="84" t="str">
        <f t="shared" si="79"/>
        <v/>
      </c>
      <c r="AH115" s="84" t="str">
        <f t="shared" si="70"/>
        <v>PL_40_CR_40_AD_40_Jira_0_</v>
      </c>
      <c r="AI115" s="84" t="str">
        <f t="shared" si="71"/>
        <v>PL_40_CR_40_AD_40_Jira_0_</v>
      </c>
      <c r="AJ115" s="84" t="str">
        <f>IF(Z115&lt;&gt;"Done","",(_xlfn.CONCAT("PL_",DigitasUKAdOp_26Team[[#This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16" spans="1:36" ht="15.75" customHeight="1" x14ac:dyDescent="0.3">
      <c r="A116" s="85" t="str">
        <f t="shared" si="84"/>
        <v>Jan : Friday</v>
      </c>
      <c r="B116" s="86">
        <v>46052</v>
      </c>
      <c r="C116" s="87" t="s">
        <v>43</v>
      </c>
      <c r="D116" s="88" t="s">
        <v>481</v>
      </c>
      <c r="E116" s="87" t="s">
        <v>428</v>
      </c>
      <c r="F116" s="88" t="s">
        <v>450</v>
      </c>
      <c r="G116" s="88" t="s">
        <v>527</v>
      </c>
      <c r="H116" s="87" t="s">
        <v>443</v>
      </c>
      <c r="I116" s="87" t="s">
        <v>237</v>
      </c>
      <c r="J116" s="88">
        <v>0</v>
      </c>
      <c r="K116" s="88">
        <v>0</v>
      </c>
      <c r="L116" s="88">
        <v>0</v>
      </c>
      <c r="M116" s="89">
        <v>46052</v>
      </c>
      <c r="N116" s="88">
        <v>1</v>
      </c>
      <c r="O116" s="90" t="s">
        <v>432</v>
      </c>
      <c r="Q116" s="91">
        <f t="shared" si="80"/>
        <v>5</v>
      </c>
      <c r="R116" s="91" t="str">
        <f t="shared" si="81"/>
        <v>Jan</v>
      </c>
      <c r="S116" s="92" t="str">
        <f t="shared" si="82"/>
        <v>Friday</v>
      </c>
      <c r="T116" s="93" t="s">
        <v>237</v>
      </c>
      <c r="U116" s="94" t="s">
        <v>444</v>
      </c>
      <c r="W116" s="95">
        <v>0</v>
      </c>
      <c r="X116" s="96"/>
      <c r="Y116" s="97">
        <f t="shared" si="100"/>
        <v>46052</v>
      </c>
      <c r="Z116" s="98" t="str">
        <f>SUBSTITUTE('Digitas UK Task 26'!$O116, "Complet", "Not Requir")</f>
        <v>Not Required</v>
      </c>
      <c r="AA116" s="98" t="str">
        <f t="shared" si="62"/>
        <v>RE: Crocs - S1 - Echo - trafficking</v>
      </c>
      <c r="AB116" s="99"/>
      <c r="AF116" s="84" t="str">
        <f t="shared" si="79"/>
        <v/>
      </c>
      <c r="AH116" s="84" t="str">
        <f t="shared" si="70"/>
        <v>PL_0_CR_0_AD_0_Jira_0_</v>
      </c>
      <c r="AI116" s="84" t="str">
        <f t="shared" si="71"/>
        <v/>
      </c>
      <c r="AJ116" s="84" t="str">
        <f>IF(Z116&lt;&gt;"Done","",(_xlfn.CONCAT("PL_",DigitasUKAdOp_26Team[[#This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17" spans="1:36" ht="15.75" customHeight="1" x14ac:dyDescent="0.3">
      <c r="A117" s="85" t="str">
        <f t="shared" si="84"/>
        <v>Jan : Friday</v>
      </c>
      <c r="B117" s="86">
        <v>46052</v>
      </c>
      <c r="C117" s="87" t="s">
        <v>43</v>
      </c>
      <c r="D117" s="88" t="s">
        <v>481</v>
      </c>
      <c r="E117" s="87" t="s">
        <v>428</v>
      </c>
      <c r="F117" s="88" t="s">
        <v>450</v>
      </c>
      <c r="G117" s="88" t="s">
        <v>527</v>
      </c>
      <c r="H117" s="87" t="s">
        <v>269</v>
      </c>
      <c r="I117" s="87" t="s">
        <v>237</v>
      </c>
      <c r="J117" s="88">
        <v>20</v>
      </c>
      <c r="K117" s="88">
        <v>20</v>
      </c>
      <c r="L117" s="88">
        <v>20</v>
      </c>
      <c r="M117" s="89">
        <v>46055</v>
      </c>
      <c r="N117" s="88">
        <v>0.5</v>
      </c>
      <c r="O117" s="90" t="s">
        <v>432</v>
      </c>
      <c r="Q117" s="91">
        <f t="shared" si="80"/>
        <v>5</v>
      </c>
      <c r="R117" s="91" t="str">
        <f t="shared" si="81"/>
        <v>Jan</v>
      </c>
      <c r="S117" s="92" t="str">
        <f t="shared" si="82"/>
        <v>Friday</v>
      </c>
      <c r="T117" s="93" t="s">
        <v>250</v>
      </c>
      <c r="U117" s="94" t="s">
        <v>433</v>
      </c>
      <c r="W117" s="95">
        <v>0.25</v>
      </c>
      <c r="X117" s="96"/>
      <c r="Y117" s="97">
        <f t="shared" si="100"/>
        <v>46055</v>
      </c>
      <c r="Z117" s="98" t="str">
        <f>SUBSTITUTE('Digitas UK Task 26'!$O117, "Complet", "Not Requir")</f>
        <v>Not Required</v>
      </c>
      <c r="AA117" s="98" t="str">
        <f t="shared" si="62"/>
        <v>RE: Crocs - S1 - Echo - trafficking</v>
      </c>
      <c r="AB117" s="99"/>
      <c r="AF117" s="84" t="str">
        <f t="shared" si="79"/>
        <v/>
      </c>
      <c r="AH117" s="84" t="str">
        <f t="shared" si="70"/>
        <v>PL_20_CR_20_AD_20_Jira_0_</v>
      </c>
      <c r="AI117" s="84" t="str">
        <f t="shared" si="71"/>
        <v>PL_20_CR_20_AD_20_Jira_0_</v>
      </c>
      <c r="AJ117" s="84" t="str">
        <f>IF(Z117&lt;&gt;"Done","",(_xlfn.CONCAT("PL_",DigitasUKAdOp_26Team[[#This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18" spans="1:36" ht="15.75" customHeight="1" x14ac:dyDescent="0.3">
      <c r="A118" s="85" t="str">
        <f t="shared" si="84"/>
        <v>Feb : Monday</v>
      </c>
      <c r="B118" s="86">
        <v>46055</v>
      </c>
      <c r="C118" s="87" t="s">
        <v>344</v>
      </c>
      <c r="D118" s="88" t="s">
        <v>452</v>
      </c>
      <c r="E118" s="87" t="s">
        <v>428</v>
      </c>
      <c r="F118" s="88" t="s">
        <v>450</v>
      </c>
      <c r="G118" s="88" t="s">
        <v>450</v>
      </c>
      <c r="H118" s="87" t="s">
        <v>451</v>
      </c>
      <c r="I118" s="87" t="s">
        <v>250</v>
      </c>
      <c r="J118" s="88">
        <v>0</v>
      </c>
      <c r="K118" s="88">
        <v>0</v>
      </c>
      <c r="L118" s="88">
        <v>0</v>
      </c>
      <c r="M118" s="89">
        <v>46055</v>
      </c>
      <c r="N118" s="88">
        <v>2</v>
      </c>
      <c r="O118" s="90" t="s">
        <v>432</v>
      </c>
      <c r="Q118" s="91">
        <f t="shared" si="80"/>
        <v>6</v>
      </c>
      <c r="R118" s="91" t="str">
        <f t="shared" si="81"/>
        <v>Feb</v>
      </c>
      <c r="S118" s="92" t="str">
        <f t="shared" si="82"/>
        <v>Monday</v>
      </c>
      <c r="T118" s="93" t="s">
        <v>250</v>
      </c>
      <c r="U118" s="94" t="s">
        <v>444</v>
      </c>
      <c r="W118" s="95">
        <v>0</v>
      </c>
      <c r="X118" s="96"/>
      <c r="Y118" s="97">
        <f t="shared" si="100"/>
        <v>46055</v>
      </c>
      <c r="Z118" s="98" t="str">
        <f>SUBSTITUTE('Digitas UK Task 26'!$O118, "Complet", "Not Requir")</f>
        <v>Not Required</v>
      </c>
      <c r="AA118" s="98" t="str">
        <f t="shared" si="62"/>
        <v>NA</v>
      </c>
      <c r="AB118" s="99"/>
      <c r="AF118" s="84" t="str">
        <f t="shared" si="79"/>
        <v/>
      </c>
      <c r="AH118" s="84" t="str">
        <f t="shared" si="70"/>
        <v>PL_0_CR_0_AD_0_Jira_0_</v>
      </c>
      <c r="AI118" s="84" t="str">
        <f t="shared" si="71"/>
        <v/>
      </c>
      <c r="AJ118" s="84" t="str">
        <f>IF(Z118&lt;&gt;"Done","",(_xlfn.CONCAT("PL_",DigitasUKAdOp_26Team[[#This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19" spans="1:36" ht="15.75" customHeight="1" x14ac:dyDescent="0.3">
      <c r="A119" s="85" t="str">
        <f t="shared" ref="A119" si="127">IF(B119="","",TEXT(B119,"MMM : DDDD"))</f>
        <v>Feb : Monday</v>
      </c>
      <c r="B119" s="86">
        <v>46055</v>
      </c>
      <c r="C119" s="87" t="s">
        <v>355</v>
      </c>
      <c r="D119" s="88" t="s">
        <v>514</v>
      </c>
      <c r="E119" s="87" t="s">
        <v>428</v>
      </c>
      <c r="F119" s="88" t="s">
        <v>528</v>
      </c>
      <c r="G119" s="88" t="s">
        <v>529</v>
      </c>
      <c r="H119" s="87" t="s">
        <v>269</v>
      </c>
      <c r="I119" s="87" t="s">
        <v>250</v>
      </c>
      <c r="J119" s="88">
        <v>2</v>
      </c>
      <c r="K119" s="88">
        <v>2</v>
      </c>
      <c r="L119" s="88">
        <v>2</v>
      </c>
      <c r="M119" s="89">
        <v>46055</v>
      </c>
      <c r="N119" s="88">
        <v>1</v>
      </c>
      <c r="O119" s="90" t="s">
        <v>432</v>
      </c>
      <c r="Q119" s="91">
        <f t="shared" si="80"/>
        <v>6</v>
      </c>
      <c r="R119" s="91" t="str">
        <f t="shared" si="81"/>
        <v>Feb</v>
      </c>
      <c r="S119" s="92" t="str">
        <f t="shared" si="82"/>
        <v>Monday</v>
      </c>
      <c r="T119" s="93" t="s">
        <v>246</v>
      </c>
      <c r="U119" s="94" t="s">
        <v>433</v>
      </c>
      <c r="W119" s="95">
        <v>0.5</v>
      </c>
      <c r="X119" s="96"/>
      <c r="Y119" s="97">
        <f t="shared" si="100"/>
        <v>46055</v>
      </c>
      <c r="Z119" s="98" t="str">
        <f>SUBSTITUTE('Digitas UK Task 26'!$O119, "Complet", "Not Requir")</f>
        <v>Not Required</v>
      </c>
      <c r="AA119" s="98" t="str">
        <f t="shared" si="62"/>
        <v>https://jira.publicismedia.com/browse/TAAGPNG-1938</v>
      </c>
      <c r="AB119" s="99"/>
      <c r="AF119" s="84" t="str">
        <f t="shared" si="79"/>
        <v/>
      </c>
      <c r="AH119" s="84" t="str">
        <f t="shared" si="70"/>
        <v>PL_2_CR_2_AD_2_Jira_1938_</v>
      </c>
      <c r="AI119" s="84" t="str">
        <f t="shared" si="71"/>
        <v>PL_2_CR_2_AD_2_Jira_1938_</v>
      </c>
      <c r="AJ119" s="84" t="str">
        <f>IF(Z119&lt;&gt;"Done","",(_xlfn.CONCAT("PL_",DigitasUKAdOp_26Team[[#This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20" spans="1:36" ht="15.75" customHeight="1" x14ac:dyDescent="0.3">
      <c r="A120" s="85" t="str">
        <f t="shared" si="84"/>
        <v>Feb : Monday</v>
      </c>
      <c r="B120" s="86">
        <v>46055</v>
      </c>
      <c r="C120" s="87" t="s">
        <v>344</v>
      </c>
      <c r="D120" s="88" t="s">
        <v>452</v>
      </c>
      <c r="E120" s="87" t="s">
        <v>428</v>
      </c>
      <c r="F120" s="88" t="s">
        <v>522</v>
      </c>
      <c r="G120" s="88" t="s">
        <v>530</v>
      </c>
      <c r="H120" s="87" t="s">
        <v>269</v>
      </c>
      <c r="I120" s="87" t="s">
        <v>237</v>
      </c>
      <c r="J120" s="88">
        <v>10</v>
      </c>
      <c r="K120" s="88">
        <v>10</v>
      </c>
      <c r="L120" s="88">
        <v>10</v>
      </c>
      <c r="M120" s="89">
        <v>46055</v>
      </c>
      <c r="N120" s="88">
        <v>1</v>
      </c>
      <c r="O120" s="90" t="s">
        <v>432</v>
      </c>
      <c r="Q120" s="91">
        <f t="shared" si="80"/>
        <v>6</v>
      </c>
      <c r="R120" s="91" t="str">
        <f t="shared" si="81"/>
        <v>Feb</v>
      </c>
      <c r="S120" s="92" t="str">
        <f t="shared" si="82"/>
        <v>Monday</v>
      </c>
      <c r="T120" s="93" t="s">
        <v>431</v>
      </c>
      <c r="U120" s="94" t="s">
        <v>444</v>
      </c>
      <c r="W120" s="95">
        <v>0</v>
      </c>
      <c r="X120" s="96"/>
      <c r="Y120" s="97">
        <f t="shared" si="100"/>
        <v>46055</v>
      </c>
      <c r="Z120" s="98" t="str">
        <f>SUBSTITUTE('Digitas UK Task 26'!$O120, "Complet", "Not Requir")</f>
        <v>Not Required</v>
      </c>
      <c r="AA120" s="98" t="str">
        <f t="shared" si="62"/>
        <v>Digitas x Monzo | Tagging support I TTD_Retargeting</v>
      </c>
      <c r="AB120" s="99"/>
      <c r="AF120" s="84" t="str">
        <f t="shared" si="79"/>
        <v/>
      </c>
      <c r="AH120" s="84" t="str">
        <f t="shared" si="70"/>
        <v>PL_10_CR_10_AD_10_Jira_0_</v>
      </c>
      <c r="AI120" s="84" t="str">
        <f t="shared" si="71"/>
        <v/>
      </c>
      <c r="AJ120" s="84" t="str">
        <f>IF(Z120&lt;&gt;"Done","",(_xlfn.CONCAT("PL_",DigitasUKAdOp_26Team[[#This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21" spans="1:36" ht="15.75" customHeight="1" x14ac:dyDescent="0.3">
      <c r="A121" s="85" t="str">
        <f t="shared" si="84"/>
        <v>Feb : Monday</v>
      </c>
      <c r="B121" s="86">
        <v>46055</v>
      </c>
      <c r="C121" s="87" t="s">
        <v>355</v>
      </c>
      <c r="D121" s="88" t="s">
        <v>514</v>
      </c>
      <c r="E121" s="87" t="s">
        <v>428</v>
      </c>
      <c r="F121" s="88" t="s">
        <v>528</v>
      </c>
      <c r="G121" s="88" t="s">
        <v>529</v>
      </c>
      <c r="H121" s="87" t="s">
        <v>443</v>
      </c>
      <c r="I121" s="87" t="s">
        <v>246</v>
      </c>
      <c r="J121" s="88">
        <v>2</v>
      </c>
      <c r="K121" s="88">
        <v>2</v>
      </c>
      <c r="L121" s="88">
        <v>2</v>
      </c>
      <c r="M121" s="89">
        <v>46055</v>
      </c>
      <c r="N121" s="88">
        <v>0.5</v>
      </c>
      <c r="O121" s="90" t="s">
        <v>432</v>
      </c>
      <c r="Q121" s="91">
        <f t="shared" ref="Q121" si="128">IF(B121="","",WEEKNUM(B121))</f>
        <v>6</v>
      </c>
      <c r="R121" s="91" t="str">
        <f t="shared" ref="R121" si="129">IF(B121="","",TEXT(B121,"MMM"))</f>
        <v>Feb</v>
      </c>
      <c r="S121" s="92" t="str">
        <f t="shared" ref="S121" si="130">IF(B121="","",TEXT(B121,"DDDD"))</f>
        <v>Monday</v>
      </c>
      <c r="T121" s="93" t="s">
        <v>246</v>
      </c>
      <c r="U121" s="94" t="s">
        <v>444</v>
      </c>
      <c r="W121" s="95">
        <v>0</v>
      </c>
      <c r="X121" s="96"/>
      <c r="Y121" s="97">
        <f t="shared" ref="Y121" si="131">IF(M121="","",M121)</f>
        <v>46055</v>
      </c>
      <c r="Z121" s="98" t="str">
        <f>SUBSTITUTE('Digitas UK Task 26'!$O121, "Complet", "Not Requir")</f>
        <v>Not Required</v>
      </c>
      <c r="AA121" s="98" t="str">
        <f t="shared" ref="AA121" si="132">IF(G121="","",G121)</f>
        <v>https://jira.publicismedia.com/browse/TAAGPNG-1938</v>
      </c>
      <c r="AB121" s="99"/>
      <c r="AF121" s="84" t="str">
        <f t="shared" ref="AF121" si="133">IF(AD121="","",WEEKNUM(AD121))</f>
        <v/>
      </c>
      <c r="AH121" s="84" t="str">
        <f t="shared" si="70"/>
        <v>PL_2_CR_2_AD_2_Jira_1938_</v>
      </c>
      <c r="AI121" s="84" t="str">
        <f t="shared" si="71"/>
        <v/>
      </c>
      <c r="AJ121" s="84" t="str">
        <f>IF(Z121&lt;&gt;"Done","",(_xlfn.CONCAT("PL_",DigitasUKAdOp_26Team[[#This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22" spans="1:36" ht="15.75" customHeight="1" x14ac:dyDescent="0.3">
      <c r="A122" s="85" t="str">
        <f>IF(B122="","",TEXT(B122,"MMM : DDDD"))</f>
        <v>Feb : Monday</v>
      </c>
      <c r="B122" s="86">
        <v>46055</v>
      </c>
      <c r="C122" s="87" t="s">
        <v>344</v>
      </c>
      <c r="D122" s="88" t="s">
        <v>452</v>
      </c>
      <c r="E122" s="87" t="s">
        <v>428</v>
      </c>
      <c r="F122" s="88" t="s">
        <v>522</v>
      </c>
      <c r="G122" s="88" t="s">
        <v>530</v>
      </c>
      <c r="H122" s="87" t="s">
        <v>443</v>
      </c>
      <c r="I122" s="87" t="s">
        <v>237</v>
      </c>
      <c r="J122" s="88">
        <v>0</v>
      </c>
      <c r="K122" s="88">
        <v>0</v>
      </c>
      <c r="L122" s="88">
        <v>0</v>
      </c>
      <c r="M122" s="89">
        <v>46055</v>
      </c>
      <c r="N122" s="88">
        <v>1</v>
      </c>
      <c r="O122" s="90" t="s">
        <v>432</v>
      </c>
      <c r="Q122" s="91">
        <f>IF(B122="","",WEEKNUM(B122))</f>
        <v>6</v>
      </c>
      <c r="R122" s="91" t="str">
        <f>IF(B122="","",TEXT(B122,"MMM"))</f>
        <v>Feb</v>
      </c>
      <c r="S122" s="92" t="str">
        <f>IF(B122="","",TEXT(B122,"DDDD"))</f>
        <v>Monday</v>
      </c>
      <c r="T122" s="93" t="s">
        <v>237</v>
      </c>
      <c r="U122" s="94" t="s">
        <v>444</v>
      </c>
      <c r="W122" s="95">
        <v>0</v>
      </c>
      <c r="X122" s="96"/>
      <c r="Y122" s="97">
        <f>IF(M122="","",M122)</f>
        <v>46055</v>
      </c>
      <c r="Z122" s="98" t="str">
        <f>SUBSTITUTE('Digitas UK Task 26'!$O122, "Complet", "Not Requir")</f>
        <v>Not Required</v>
      </c>
      <c r="AA122" s="98" t="str">
        <f>IF(G122="","",G122)</f>
        <v>Digitas x Monzo | Tagging support I TTD_Retargeting</v>
      </c>
      <c r="AB122" s="99"/>
      <c r="AF122" s="84" t="str">
        <f>IF(AD122="","",WEEKNUM(AD122))</f>
        <v/>
      </c>
      <c r="AH122" s="84" t="str">
        <f t="shared" si="70"/>
        <v>PL_0_CR_0_AD_0_Jira_0_</v>
      </c>
      <c r="AI122" s="84" t="str">
        <f t="shared" si="71"/>
        <v/>
      </c>
      <c r="AJ122" s="84" t="str">
        <f>IF(Z122&lt;&gt;"Done","",(_xlfn.CONCAT("PL_",DigitasUKAdOp_26Team[[#This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23" spans="1:36" ht="15.75" customHeight="1" x14ac:dyDescent="0.3">
      <c r="A123" s="85" t="str">
        <f t="shared" si="84"/>
        <v>Feb : Tuesday</v>
      </c>
      <c r="B123" s="86">
        <v>46056</v>
      </c>
      <c r="C123" s="87" t="s">
        <v>334</v>
      </c>
      <c r="D123" s="88" t="s">
        <v>496</v>
      </c>
      <c r="E123" s="87" t="s">
        <v>428</v>
      </c>
      <c r="F123" s="88" t="s">
        <v>498</v>
      </c>
      <c r="G123" s="88" t="s">
        <v>531</v>
      </c>
      <c r="H123" s="87" t="s">
        <v>269</v>
      </c>
      <c r="I123" s="87" t="s">
        <v>250</v>
      </c>
      <c r="J123" s="88">
        <v>25</v>
      </c>
      <c r="K123" s="88">
        <v>25</v>
      </c>
      <c r="L123" s="88">
        <v>25</v>
      </c>
      <c r="M123" s="89">
        <v>46056</v>
      </c>
      <c r="N123" s="88">
        <v>1</v>
      </c>
      <c r="O123" s="90" t="s">
        <v>432</v>
      </c>
      <c r="Q123" s="91">
        <f t="shared" si="80"/>
        <v>6</v>
      </c>
      <c r="R123" s="91" t="str">
        <f t="shared" si="81"/>
        <v>Feb</v>
      </c>
      <c r="S123" s="92" t="str">
        <f t="shared" si="82"/>
        <v>Tuesday</v>
      </c>
      <c r="T123" s="93" t="s">
        <v>237</v>
      </c>
      <c r="U123" s="94" t="s">
        <v>433</v>
      </c>
      <c r="V123" s="95" t="s">
        <v>532</v>
      </c>
      <c r="W123" s="95">
        <v>1</v>
      </c>
      <c r="X123" s="96"/>
      <c r="Y123" s="97">
        <f t="shared" si="100"/>
        <v>46056</v>
      </c>
      <c r="Z123" s="98" t="str">
        <f>SUBSTITUTE('Digitas UK Task 26'!$O123, "Complet", "Not Requir")</f>
        <v>Not Required</v>
      </c>
      <c r="AA123" s="98" t="str">
        <f t="shared" si="62"/>
        <v>Klaviyo EMEA - Trafficking Request - DACH RTG - Growth Phase - Q1 2026</v>
      </c>
      <c r="AB123" s="99"/>
      <c r="AF123" s="84" t="str">
        <f t="shared" si="79"/>
        <v/>
      </c>
      <c r="AH123" s="84" t="str">
        <f t="shared" si="70"/>
        <v>PL_25_CR_25_AD_25_Jira_0_</v>
      </c>
      <c r="AI123" s="84" t="str">
        <f t="shared" si="71"/>
        <v>PL_25_CR_25_AD_25_Jira_0_</v>
      </c>
      <c r="AJ123" s="84" t="str">
        <f>IF(Z123&lt;&gt;"Done","",(_xlfn.CONCAT("PL_",DigitasUKAdOp_26Team[[#This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24" spans="1:36" ht="15.75" customHeight="1" x14ac:dyDescent="0.3">
      <c r="A124" s="85" t="str">
        <f t="shared" ref="A124" si="134">IF(B124="","",TEXT(B124,"MMM : DDDD"))</f>
        <v>Feb : Tuesday</v>
      </c>
      <c r="B124" s="86">
        <v>46056</v>
      </c>
      <c r="C124" s="87" t="s">
        <v>334</v>
      </c>
      <c r="D124" s="88" t="s">
        <v>496</v>
      </c>
      <c r="E124" s="87" t="s">
        <v>428</v>
      </c>
      <c r="F124" s="88" t="s">
        <v>498</v>
      </c>
      <c r="G124" s="88" t="s">
        <v>450</v>
      </c>
      <c r="H124" s="87" t="s">
        <v>443</v>
      </c>
      <c r="I124" s="87" t="s">
        <v>250</v>
      </c>
      <c r="J124" s="88">
        <v>0</v>
      </c>
      <c r="K124" s="88">
        <v>0</v>
      </c>
      <c r="L124" s="88">
        <v>0</v>
      </c>
      <c r="M124" s="89">
        <v>46056</v>
      </c>
      <c r="N124" s="88">
        <v>1</v>
      </c>
      <c r="O124" s="90" t="s">
        <v>432</v>
      </c>
      <c r="Q124" s="91">
        <f t="shared" si="80"/>
        <v>6</v>
      </c>
      <c r="R124" s="91" t="str">
        <f t="shared" si="81"/>
        <v>Feb</v>
      </c>
      <c r="S124" s="92" t="str">
        <f t="shared" si="82"/>
        <v>Tuesday</v>
      </c>
      <c r="T124" s="93" t="s">
        <v>250</v>
      </c>
      <c r="U124" s="94" t="s">
        <v>444</v>
      </c>
      <c r="W124" s="95">
        <v>0</v>
      </c>
      <c r="X124" s="96"/>
      <c r="Y124" s="97">
        <f t="shared" si="100"/>
        <v>46056</v>
      </c>
      <c r="Z124" s="98" t="str">
        <f>SUBSTITUTE('Digitas UK Task 26'!$O124, "Complet", "Not Requir")</f>
        <v>Not Required</v>
      </c>
      <c r="AA124" s="98" t="str">
        <f t="shared" si="62"/>
        <v>NA</v>
      </c>
      <c r="AB124" s="99"/>
      <c r="AF124" s="84" t="str">
        <f t="shared" si="79"/>
        <v/>
      </c>
      <c r="AH124" s="84" t="str">
        <f t="shared" si="70"/>
        <v>PL_0_CR_0_AD_0_Jira_0_</v>
      </c>
      <c r="AI124" s="84" t="str">
        <f t="shared" si="71"/>
        <v/>
      </c>
      <c r="AJ124" s="84" t="str">
        <f>IF(Z124&lt;&gt;"Done","",(_xlfn.CONCAT("PL_",DigitasUKAdOp_26Team[[#This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25" spans="1:36" ht="15.75" customHeight="1" x14ac:dyDescent="0.3">
      <c r="A125" s="85" t="str">
        <f>IF(B125="","",TEXT(B125,"MMM : DDDD"))</f>
        <v>Feb : Tuesday</v>
      </c>
      <c r="B125" s="86">
        <v>46056</v>
      </c>
      <c r="C125" s="87" t="s">
        <v>344</v>
      </c>
      <c r="D125" s="88" t="s">
        <v>452</v>
      </c>
      <c r="E125" s="87" t="s">
        <v>428</v>
      </c>
      <c r="F125" s="88" t="s">
        <v>522</v>
      </c>
      <c r="G125" s="88" t="s">
        <v>530</v>
      </c>
      <c r="H125" s="87" t="s">
        <v>443</v>
      </c>
      <c r="I125" s="87" t="s">
        <v>237</v>
      </c>
      <c r="J125" s="88">
        <v>0</v>
      </c>
      <c r="K125" s="88">
        <v>0</v>
      </c>
      <c r="L125" s="88">
        <v>0</v>
      </c>
      <c r="M125" s="89">
        <v>46055</v>
      </c>
      <c r="N125" s="88">
        <v>1</v>
      </c>
      <c r="O125" s="90" t="s">
        <v>432</v>
      </c>
      <c r="Q125" s="91">
        <f>IF(B125="","",WEEKNUM(B125))</f>
        <v>6</v>
      </c>
      <c r="R125" s="91" t="str">
        <f>IF(B125="","",TEXT(B125,"MMM"))</f>
        <v>Feb</v>
      </c>
      <c r="S125" s="92" t="str">
        <f>IF(B125="","",TEXT(B125,"DDDD"))</f>
        <v>Tuesday</v>
      </c>
      <c r="T125" s="93" t="s">
        <v>237</v>
      </c>
      <c r="U125" s="94" t="s">
        <v>444</v>
      </c>
      <c r="W125" s="95">
        <v>0</v>
      </c>
      <c r="X125" s="96"/>
      <c r="Y125" s="97">
        <f>IF(M125="","",M125)</f>
        <v>46055</v>
      </c>
      <c r="Z125" s="98" t="str">
        <f>SUBSTITUTE('Digitas UK Task 26'!$O125, "Complet", "Not Requir")</f>
        <v>Not Required</v>
      </c>
      <c r="AA125" s="98" t="str">
        <f>IF(G125="","",G125)</f>
        <v>Digitas x Monzo | Tagging support I TTD_Retargeting</v>
      </c>
      <c r="AB125" s="99"/>
      <c r="AF125" s="84" t="str">
        <f>IF(AD125="","",WEEKNUM(AD125))</f>
        <v/>
      </c>
      <c r="AH125" s="84" t="str">
        <f t="shared" si="70"/>
        <v>PL_0_CR_0_AD_0_Jira_0_</v>
      </c>
      <c r="AI125" s="84" t="str">
        <f t="shared" si="71"/>
        <v/>
      </c>
      <c r="AJ125" s="84" t="str">
        <f>IF(Z125&lt;&gt;"Done","",(_xlfn.CONCAT("PL_",DigitasUKAdOp_26Team[[#This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26" spans="1:36" ht="15.75" customHeight="1" x14ac:dyDescent="0.3">
      <c r="A126" s="85" t="str">
        <f>IF(B126="","",TEXT(B126,"MMM : DDDD"))</f>
        <v>Feb : Tuesday</v>
      </c>
      <c r="B126" s="86">
        <v>46056</v>
      </c>
      <c r="C126" s="87" t="s">
        <v>344</v>
      </c>
      <c r="D126" s="88" t="s">
        <v>452</v>
      </c>
      <c r="E126" s="87" t="s">
        <v>428</v>
      </c>
      <c r="F126" s="88" t="s">
        <v>522</v>
      </c>
      <c r="G126" s="88" t="s">
        <v>530</v>
      </c>
      <c r="H126" s="87" t="s">
        <v>269</v>
      </c>
      <c r="I126" s="87" t="s">
        <v>237</v>
      </c>
      <c r="J126" s="88">
        <v>10</v>
      </c>
      <c r="K126" s="88">
        <v>10</v>
      </c>
      <c r="L126" s="88">
        <v>10</v>
      </c>
      <c r="M126" s="89">
        <v>46055</v>
      </c>
      <c r="N126" s="88">
        <v>1</v>
      </c>
      <c r="O126" s="90" t="s">
        <v>432</v>
      </c>
      <c r="Q126" s="91">
        <f>IF(B126="","",WEEKNUM(B126))</f>
        <v>6</v>
      </c>
      <c r="R126" s="91" t="str">
        <f>IF(B126="","",TEXT(B126,"MMM"))</f>
        <v>Feb</v>
      </c>
      <c r="S126" s="92" t="str">
        <f>IF(B126="","",TEXT(B126,"DDDD"))</f>
        <v>Tuesday</v>
      </c>
      <c r="T126" s="93" t="s">
        <v>246</v>
      </c>
      <c r="U126" s="94" t="s">
        <v>433</v>
      </c>
      <c r="W126" s="95">
        <v>0.5</v>
      </c>
      <c r="X126" s="96"/>
      <c r="Y126" s="97">
        <f>IF(M126="","",M126)</f>
        <v>46055</v>
      </c>
      <c r="Z126" s="98" t="str">
        <f>SUBSTITUTE('Digitas UK Task 26'!$O126, "Complet", "Not Requir")</f>
        <v>Not Required</v>
      </c>
      <c r="AA126" s="98" t="str">
        <f>IF(G126="","",G126)</f>
        <v>Digitas x Monzo | Tagging support I TTD_Retargeting</v>
      </c>
      <c r="AB126" s="99"/>
      <c r="AF126" s="84" t="str">
        <f>IF(AD126="","",WEEKNUM(AD126))</f>
        <v/>
      </c>
      <c r="AH126" s="84" t="str">
        <f t="shared" si="70"/>
        <v>PL_10_CR_10_AD_10_Jira_0_</v>
      </c>
      <c r="AI126" s="84" t="str">
        <f t="shared" si="71"/>
        <v>PL_10_CR_10_AD_10_Jira_0_</v>
      </c>
      <c r="AJ126" s="84" t="str">
        <f>IF(Z126&lt;&gt;"Done","",(_xlfn.CONCAT("PL_",DigitasUKAdOp_26Team[[#This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27" spans="1:36" ht="15.75" customHeight="1" x14ac:dyDescent="0.3">
      <c r="A127" s="85" t="str">
        <f>IF(B127="","",TEXT(B127,"MMM : DDDD"))</f>
        <v>Feb : Wednesday</v>
      </c>
      <c r="B127" s="86">
        <v>46057</v>
      </c>
      <c r="C127" s="87" t="s">
        <v>43</v>
      </c>
      <c r="D127" s="88" t="s">
        <v>481</v>
      </c>
      <c r="E127" s="87" t="s">
        <v>428</v>
      </c>
      <c r="F127" s="88" t="s">
        <v>450</v>
      </c>
      <c r="G127" s="88" t="s">
        <v>533</v>
      </c>
      <c r="H127" s="87" t="s">
        <v>443</v>
      </c>
      <c r="I127" s="87" t="s">
        <v>237</v>
      </c>
      <c r="J127" s="88">
        <v>0</v>
      </c>
      <c r="K127" s="88">
        <v>0</v>
      </c>
      <c r="L127" s="88">
        <v>0</v>
      </c>
      <c r="M127" s="89">
        <v>46057</v>
      </c>
      <c r="N127" s="88">
        <v>2</v>
      </c>
      <c r="O127" s="90" t="s">
        <v>432</v>
      </c>
      <c r="Q127" s="91">
        <f t="shared" ref="Q127" si="135">IF(B127="","",WEEKNUM(B127))</f>
        <v>6</v>
      </c>
      <c r="R127" s="91" t="str">
        <f t="shared" ref="R127" si="136">IF(B127="","",TEXT(B127,"MMM"))</f>
        <v>Feb</v>
      </c>
      <c r="S127" s="92" t="str">
        <f t="shared" ref="S127" si="137">IF(B127="","",TEXT(B127,"DDDD"))</f>
        <v>Wednesday</v>
      </c>
      <c r="T127" s="93" t="s">
        <v>237</v>
      </c>
      <c r="U127" s="94" t="s">
        <v>444</v>
      </c>
      <c r="W127" s="95">
        <v>0</v>
      </c>
      <c r="X127" s="96"/>
      <c r="Y127" s="97">
        <f t="shared" ref="Y127" si="138">IF(M127="","",M127)</f>
        <v>46057</v>
      </c>
      <c r="Z127" s="98" t="str">
        <f>SUBSTITUTE('Digitas UK Task 26'!$O127, "Complet", "Not Requir")</f>
        <v>Not Required</v>
      </c>
      <c r="AA127" s="98" t="str">
        <f t="shared" ref="AA127" si="139">IF(G127="","",G127)</f>
        <v>Crocs S1 - new placements to traffic</v>
      </c>
      <c r="AB127" s="99"/>
      <c r="AF127" s="84" t="str">
        <f t="shared" ref="AF127" si="140">IF(AD127="","",WEEKNUM(AD127))</f>
        <v/>
      </c>
      <c r="AH127" s="84" t="str">
        <f t="shared" si="70"/>
        <v>PL_0_CR_0_AD_0_Jira_0_</v>
      </c>
      <c r="AI127" s="84" t="str">
        <f t="shared" si="71"/>
        <v/>
      </c>
      <c r="AJ127" s="84" t="str">
        <f>IF(Z127&lt;&gt;"Done","",(_xlfn.CONCAT("PL_",DigitasUKAdOp_26Team[[#This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28" spans="1:36" ht="15.75" customHeight="1" x14ac:dyDescent="0.3">
      <c r="A128" s="85" t="str">
        <f>IF(B128="","",TEXT(B128,"MMM : DDDD"))</f>
        <v>Feb : Wednesday</v>
      </c>
      <c r="B128" s="86">
        <v>46057</v>
      </c>
      <c r="C128" s="87" t="s">
        <v>43</v>
      </c>
      <c r="D128" s="88" t="s">
        <v>481</v>
      </c>
      <c r="E128" s="87" t="s">
        <v>428</v>
      </c>
      <c r="F128" s="88" t="s">
        <v>450</v>
      </c>
      <c r="G128" s="88" t="s">
        <v>533</v>
      </c>
      <c r="H128" s="87" t="s">
        <v>244</v>
      </c>
      <c r="I128" s="87" t="s">
        <v>237</v>
      </c>
      <c r="J128" s="88">
        <v>40</v>
      </c>
      <c r="K128" s="88">
        <v>40</v>
      </c>
      <c r="L128" s="88">
        <v>40</v>
      </c>
      <c r="M128" s="89">
        <v>46057</v>
      </c>
      <c r="N128" s="88">
        <v>5.5</v>
      </c>
      <c r="O128" s="90" t="s">
        <v>432</v>
      </c>
      <c r="Q128" s="91">
        <f t="shared" si="80"/>
        <v>6</v>
      </c>
      <c r="R128" s="91" t="str">
        <f t="shared" si="81"/>
        <v>Feb</v>
      </c>
      <c r="S128" s="92" t="str">
        <f t="shared" si="82"/>
        <v>Wednesday</v>
      </c>
      <c r="T128" s="93" t="s">
        <v>250</v>
      </c>
      <c r="U128" s="94" t="s">
        <v>433</v>
      </c>
      <c r="V128" s="95" t="s">
        <v>534</v>
      </c>
      <c r="W128" s="95">
        <v>3</v>
      </c>
      <c r="X128" s="96"/>
      <c r="Y128" s="97">
        <f t="shared" si="100"/>
        <v>46057</v>
      </c>
      <c r="Z128" s="98" t="str">
        <f>SUBSTITUTE('Digitas UK Task 26'!$O128, "Complet", "Not Requir")</f>
        <v>Not Required</v>
      </c>
      <c r="AA128" s="98" t="str">
        <f t="shared" si="62"/>
        <v>Crocs S1 - new placements to traffic</v>
      </c>
      <c r="AB128" s="99"/>
      <c r="AF128" s="84" t="str">
        <f t="shared" si="79"/>
        <v/>
      </c>
      <c r="AH128" s="84" t="str">
        <f t="shared" si="70"/>
        <v>PL_40_CR_40_AD_40_Jira_0_</v>
      </c>
      <c r="AI128" s="84" t="str">
        <f t="shared" si="71"/>
        <v>PL_40_CR_40_AD_40_Jira_0_</v>
      </c>
      <c r="AJ128" s="84" t="str">
        <f>IF(Z128&lt;&gt;"Done","",(_xlfn.CONCAT("PL_",DigitasUKAdOp_26Team[[#This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29" spans="1:36" ht="15.75" customHeight="1" x14ac:dyDescent="0.3">
      <c r="A129" s="85" t="str">
        <f t="shared" ref="A129" si="141">IF(B129="","",TEXT(B129,"MMM : DDDD"))</f>
        <v>Feb : Thursday</v>
      </c>
      <c r="B129" s="86">
        <v>46058</v>
      </c>
      <c r="C129" s="87" t="s">
        <v>355</v>
      </c>
      <c r="D129" s="88" t="s">
        <v>514</v>
      </c>
      <c r="E129" s="87" t="s">
        <v>428</v>
      </c>
      <c r="F129" s="88" t="s">
        <v>535</v>
      </c>
      <c r="G129" s="88" t="s">
        <v>536</v>
      </c>
      <c r="H129" s="87" t="s">
        <v>269</v>
      </c>
      <c r="I129" s="87" t="s">
        <v>250</v>
      </c>
      <c r="J129" s="88">
        <v>50</v>
      </c>
      <c r="K129" s="88">
        <v>50</v>
      </c>
      <c r="L129" s="88">
        <v>50</v>
      </c>
      <c r="M129" s="89">
        <v>46058</v>
      </c>
      <c r="N129" s="88">
        <v>2</v>
      </c>
      <c r="O129" s="90" t="s">
        <v>432</v>
      </c>
      <c r="Q129" s="91">
        <f t="shared" si="80"/>
        <v>6</v>
      </c>
      <c r="R129" s="91" t="str">
        <f t="shared" si="81"/>
        <v>Feb</v>
      </c>
      <c r="S129" s="92" t="str">
        <f t="shared" si="82"/>
        <v>Thursday</v>
      </c>
      <c r="T129" s="93" t="s">
        <v>237</v>
      </c>
      <c r="U129" s="94" t="s">
        <v>433</v>
      </c>
      <c r="W129" s="95">
        <v>1</v>
      </c>
      <c r="X129" s="96"/>
      <c r="Y129" s="97">
        <f t="shared" si="100"/>
        <v>46058</v>
      </c>
      <c r="Z129" s="98" t="str">
        <f>SUBSTITUTE('Digitas UK Task 26'!$O129, "Complet", "Not Requir")</f>
        <v>Not Required</v>
      </c>
      <c r="AA129" s="98" t="str">
        <f t="shared" si="62"/>
        <v>Feb Vod Part 5</v>
      </c>
      <c r="AB129" s="99"/>
      <c r="AF129" s="84" t="str">
        <f t="shared" si="79"/>
        <v/>
      </c>
      <c r="AH129" s="84" t="str">
        <f t="shared" si="70"/>
        <v>PL_50_CR_50_AD_50_Jira_0_</v>
      </c>
      <c r="AI129" s="84" t="str">
        <f t="shared" si="71"/>
        <v>PL_50_CR_50_AD_50_Jira_0_</v>
      </c>
      <c r="AJ129" s="84" t="str">
        <f>IF(Z129&lt;&gt;"Done","",(_xlfn.CONCAT("PL_",DigitasUKAdOp_26Team[[#This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30" spans="1:36" ht="15.75" customHeight="1" x14ac:dyDescent="0.3">
      <c r="A130" s="85" t="str">
        <f>IF(B130="","",TEXT(B130,"MMM : DDDD"))</f>
        <v>Feb : Thursday</v>
      </c>
      <c r="B130" s="86">
        <v>46058</v>
      </c>
      <c r="C130" s="87" t="s">
        <v>43</v>
      </c>
      <c r="D130" s="88" t="s">
        <v>481</v>
      </c>
      <c r="E130" s="87" t="s">
        <v>428</v>
      </c>
      <c r="F130" s="88" t="s">
        <v>450</v>
      </c>
      <c r="G130" s="88" t="s">
        <v>533</v>
      </c>
      <c r="H130" s="87" t="s">
        <v>443</v>
      </c>
      <c r="I130" s="87" t="s">
        <v>237</v>
      </c>
      <c r="J130" s="88">
        <v>0</v>
      </c>
      <c r="K130" s="88">
        <v>0</v>
      </c>
      <c r="L130" s="88">
        <v>0</v>
      </c>
      <c r="M130" s="89">
        <v>46057</v>
      </c>
      <c r="N130" s="88">
        <v>2</v>
      </c>
      <c r="O130" s="90" t="s">
        <v>432</v>
      </c>
      <c r="Q130" s="91">
        <f t="shared" si="80"/>
        <v>6</v>
      </c>
      <c r="R130" s="91" t="str">
        <f t="shared" si="81"/>
        <v>Feb</v>
      </c>
      <c r="S130" s="92" t="str">
        <f t="shared" si="82"/>
        <v>Thursday</v>
      </c>
      <c r="T130" s="93" t="s">
        <v>237</v>
      </c>
      <c r="U130" s="94" t="s">
        <v>444</v>
      </c>
      <c r="W130" s="95">
        <v>0</v>
      </c>
      <c r="X130" s="96"/>
      <c r="Y130" s="97">
        <f t="shared" si="100"/>
        <v>46057</v>
      </c>
      <c r="Z130" s="98" t="str">
        <f>SUBSTITUTE('Digitas UK Task 26'!$O130, "Complet", "Not Requir")</f>
        <v>Not Required</v>
      </c>
      <c r="AA130" s="98" t="str">
        <f t="shared" ref="AA130:AA131" si="142">IF(G130="","",G130)</f>
        <v>Crocs S1 - new placements to traffic</v>
      </c>
      <c r="AB130" s="99"/>
      <c r="AF130" s="84" t="str">
        <f t="shared" si="79"/>
        <v/>
      </c>
      <c r="AH130" s="84" t="str">
        <f t="shared" ref="AH130:AH193" si="143">IF(B130="","",_xlfn.CONCAT("PL_",J130,"_CR_",K130,"_AD_",L130,"_Jira_",IF(AND(C130="P&amp;G",ISNUMBER(SEARCH("TAAGPNG-",G130))),MID(G130,SEARCH("TAAGPNG-",G130)+8,LEN(G130)-SEARCH("TAAGPNG-",G130)-7),"0"),"_"))</f>
        <v>PL_0_CR_0_AD_0_Jira_0_</v>
      </c>
      <c r="AI130" s="84" t="str">
        <f t="shared" ref="AI130:AI193" si="144">IF(U130&lt;&gt;"Done","",_xlfn.CONCAT("PL_",J130,"_CR_",K130,"_AD_",L130,"_Jira_",IF(AND(C130="P&amp;G",ISNUMBER(SEARCH("TAAGPNG-",G130))),MID(G130,SEARCH("TAAGPNG-",G130)+8,LEN(G130)-SEARCH("TAAGPNG-",G130)-7),"0"),"_"))</f>
        <v/>
      </c>
      <c r="AJ130" s="84" t="str">
        <f>IF(Z130&lt;&gt;"Done","",(_xlfn.CONCAT("PL_",DigitasUKAdOp_26Team[[#This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31" spans="1:36" ht="15.75" customHeight="1" x14ac:dyDescent="0.3">
      <c r="A131" s="85" t="str">
        <f>IF(B131="","",TEXT(B131,"MMM : DDDD"))</f>
        <v>Feb : Thursday</v>
      </c>
      <c r="B131" s="86">
        <v>46058</v>
      </c>
      <c r="C131" s="87" t="s">
        <v>43</v>
      </c>
      <c r="D131" s="88" t="s">
        <v>481</v>
      </c>
      <c r="E131" s="87" t="s">
        <v>428</v>
      </c>
      <c r="F131" s="88" t="s">
        <v>450</v>
      </c>
      <c r="G131" s="88" t="s">
        <v>533</v>
      </c>
      <c r="H131" s="87" t="s">
        <v>244</v>
      </c>
      <c r="I131" s="87" t="s">
        <v>237</v>
      </c>
      <c r="J131" s="88">
        <v>40</v>
      </c>
      <c r="K131" s="88">
        <v>40</v>
      </c>
      <c r="L131" s="88">
        <v>40</v>
      </c>
      <c r="M131" s="89">
        <v>46057</v>
      </c>
      <c r="N131" s="88">
        <v>5.5</v>
      </c>
      <c r="O131" s="90" t="s">
        <v>432</v>
      </c>
      <c r="Q131" s="91">
        <f t="shared" ref="Q131" si="145">IF(B131="","",WEEKNUM(B131))</f>
        <v>6</v>
      </c>
      <c r="R131" s="91" t="str">
        <f t="shared" ref="R131" si="146">IF(B131="","",TEXT(B131,"MMM"))</f>
        <v>Feb</v>
      </c>
      <c r="S131" s="92" t="str">
        <f t="shared" ref="S131" si="147">IF(B131="","",TEXT(B131,"DDDD"))</f>
        <v>Thursday</v>
      </c>
      <c r="T131" s="93" t="s">
        <v>250</v>
      </c>
      <c r="U131" s="94" t="s">
        <v>433</v>
      </c>
      <c r="V131" s="95" t="s">
        <v>534</v>
      </c>
      <c r="W131" s="95">
        <v>3</v>
      </c>
      <c r="X131" s="96"/>
      <c r="Y131" s="97">
        <f t="shared" ref="Y131" si="148">IF(M131="","",M131)</f>
        <v>46057</v>
      </c>
      <c r="Z131" s="98" t="str">
        <f>SUBSTITUTE('Digitas UK Task 26'!$O131, "Complet", "Not Requir")</f>
        <v>Not Required</v>
      </c>
      <c r="AA131" s="98" t="str">
        <f t="shared" si="142"/>
        <v>Crocs S1 - new placements to traffic</v>
      </c>
      <c r="AB131" s="99"/>
      <c r="AF131" s="84" t="str">
        <f t="shared" ref="AF131" si="149">IF(AD131="","",WEEKNUM(AD131))</f>
        <v/>
      </c>
      <c r="AH131" s="84" t="str">
        <f t="shared" si="143"/>
        <v>PL_40_CR_40_AD_40_Jira_0_</v>
      </c>
      <c r="AI131" s="84" t="str">
        <f t="shared" si="144"/>
        <v>PL_40_CR_40_AD_40_Jira_0_</v>
      </c>
      <c r="AJ131" s="84" t="str">
        <f>IF(Z131&lt;&gt;"Done","",(_xlfn.CONCAT("PL_",DigitasUKAdOp_26Team[[#This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32" spans="1:36" ht="15.75" customHeight="1" x14ac:dyDescent="0.3">
      <c r="A132" s="85" t="str">
        <f t="shared" si="84"/>
        <v>Feb : Friday</v>
      </c>
      <c r="B132" s="86">
        <v>46059</v>
      </c>
      <c r="C132" s="87" t="s">
        <v>318</v>
      </c>
      <c r="D132" s="88" t="s">
        <v>537</v>
      </c>
      <c r="E132" s="87" t="s">
        <v>428</v>
      </c>
      <c r="F132" s="88" t="s">
        <v>538</v>
      </c>
      <c r="G132" s="88" t="s">
        <v>539</v>
      </c>
      <c r="H132" s="87" t="s">
        <v>269</v>
      </c>
      <c r="I132" s="87" t="s">
        <v>250</v>
      </c>
      <c r="J132" s="88">
        <v>8</v>
      </c>
      <c r="K132" s="88">
        <v>8</v>
      </c>
      <c r="L132" s="88">
        <v>8</v>
      </c>
      <c r="M132" s="89">
        <v>46059</v>
      </c>
      <c r="N132" s="88">
        <v>0.5</v>
      </c>
      <c r="O132" s="90" t="s">
        <v>432</v>
      </c>
      <c r="Q132" s="91">
        <f t="shared" si="80"/>
        <v>6</v>
      </c>
      <c r="R132" s="91" t="str">
        <f t="shared" si="81"/>
        <v>Feb</v>
      </c>
      <c r="S132" s="92" t="str">
        <f t="shared" si="82"/>
        <v>Friday</v>
      </c>
      <c r="T132" s="93" t="s">
        <v>237</v>
      </c>
      <c r="U132" s="94" t="s">
        <v>444</v>
      </c>
      <c r="W132" s="95">
        <v>0</v>
      </c>
      <c r="X132" s="96"/>
      <c r="Y132" s="97">
        <f t="shared" si="100"/>
        <v>46059</v>
      </c>
      <c r="Z132" s="98" t="str">
        <f>SUBSTITUTE('Digitas UK Task 26'!$O132, "Complet", "Not Requir")</f>
        <v>Not Required</v>
      </c>
      <c r="AA132" s="98" t="str">
        <f t="shared" ref="AA132:AA191" si="150">IF(G132="","",G132)</f>
        <v>WELLA | FY26Q3 WELLA SEBASTIAN FRANCE | TAG REQUEST</v>
      </c>
      <c r="AB132" s="99"/>
      <c r="AF132" s="84" t="str">
        <f t="shared" si="79"/>
        <v/>
      </c>
      <c r="AH132" s="84" t="str">
        <f t="shared" si="143"/>
        <v>PL_8_CR_8_AD_8_Jira_0_</v>
      </c>
      <c r="AI132" s="84" t="str">
        <f t="shared" si="144"/>
        <v/>
      </c>
      <c r="AJ132" s="84" t="str">
        <f>IF(Z132&lt;&gt;"Done","",(_xlfn.CONCAT("PL_",DigitasUKAdOp_26Team[[#This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33" spans="1:36" ht="15.75" customHeight="1" x14ac:dyDescent="0.3">
      <c r="A133" s="85" t="str">
        <f t="shared" si="84"/>
        <v>Feb : Friday</v>
      </c>
      <c r="B133" s="86">
        <v>46059</v>
      </c>
      <c r="C133" s="87" t="s">
        <v>318</v>
      </c>
      <c r="D133" s="88" t="s">
        <v>537</v>
      </c>
      <c r="E133" s="87" t="s">
        <v>428</v>
      </c>
      <c r="F133" s="88" t="s">
        <v>540</v>
      </c>
      <c r="G133" s="88" t="s">
        <v>539</v>
      </c>
      <c r="H133" s="87" t="s">
        <v>269</v>
      </c>
      <c r="I133" s="87" t="s">
        <v>250</v>
      </c>
      <c r="J133" s="88">
        <v>8</v>
      </c>
      <c r="K133" s="88">
        <v>8</v>
      </c>
      <c r="L133" s="88">
        <v>8</v>
      </c>
      <c r="M133" s="89">
        <v>46059</v>
      </c>
      <c r="N133" s="88">
        <v>0.5</v>
      </c>
      <c r="O133" s="90" t="s">
        <v>432</v>
      </c>
      <c r="Q133" s="91">
        <f t="shared" si="80"/>
        <v>6</v>
      </c>
      <c r="R133" s="91" t="str">
        <f t="shared" si="81"/>
        <v>Feb</v>
      </c>
      <c r="S133" s="92" t="str">
        <f t="shared" si="82"/>
        <v>Friday</v>
      </c>
      <c r="T133" s="93" t="s">
        <v>237</v>
      </c>
      <c r="U133" s="94" t="s">
        <v>444</v>
      </c>
      <c r="W133" s="95">
        <v>0</v>
      </c>
      <c r="X133" s="96"/>
      <c r="Y133" s="97">
        <f t="shared" si="100"/>
        <v>46059</v>
      </c>
      <c r="Z133" s="98" t="str">
        <f>SUBSTITUTE('Digitas UK Task 26'!$O133, "Complet", "Not Requir")</f>
        <v>Not Required</v>
      </c>
      <c r="AA133" s="98" t="str">
        <f t="shared" si="150"/>
        <v>WELLA | FY26Q3 WELLA SEBASTIAN FRANCE | TAG REQUEST</v>
      </c>
      <c r="AB133" s="99"/>
      <c r="AF133" s="84" t="str">
        <f t="shared" si="79"/>
        <v/>
      </c>
      <c r="AH133" s="84" t="str">
        <f t="shared" si="143"/>
        <v>PL_8_CR_8_AD_8_Jira_0_</v>
      </c>
      <c r="AI133" s="84" t="str">
        <f t="shared" si="144"/>
        <v/>
      </c>
      <c r="AJ133" s="84" t="str">
        <f>IF(Z133&lt;&gt;"Done","",(_xlfn.CONCAT("PL_",DigitasUKAdOp_26Team[[#This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34" spans="1:36" ht="15.75" customHeight="1" x14ac:dyDescent="0.3">
      <c r="A134" s="85" t="str">
        <f t="shared" ref="A134" si="151">IF(B134="","",TEXT(B134,"MMM : DDDD"))</f>
        <v>Feb : Friday</v>
      </c>
      <c r="B134" s="86">
        <v>46059</v>
      </c>
      <c r="C134" s="87" t="s">
        <v>318</v>
      </c>
      <c r="D134" s="88" t="s">
        <v>537</v>
      </c>
      <c r="E134" s="87" t="s">
        <v>428</v>
      </c>
      <c r="F134" s="88" t="s">
        <v>541</v>
      </c>
      <c r="G134" s="88" t="s">
        <v>539</v>
      </c>
      <c r="H134" s="87" t="s">
        <v>269</v>
      </c>
      <c r="I134" s="87" t="s">
        <v>250</v>
      </c>
      <c r="J134" s="88">
        <v>1</v>
      </c>
      <c r="K134" s="88">
        <v>1</v>
      </c>
      <c r="L134" s="88">
        <v>1</v>
      </c>
      <c r="M134" s="89">
        <v>46059</v>
      </c>
      <c r="N134" s="88">
        <v>0.25</v>
      </c>
      <c r="O134" s="90" t="s">
        <v>432</v>
      </c>
      <c r="Q134" s="91">
        <f t="shared" si="80"/>
        <v>6</v>
      </c>
      <c r="R134" s="91" t="str">
        <f t="shared" si="81"/>
        <v>Feb</v>
      </c>
      <c r="S134" s="92" t="str">
        <f t="shared" si="82"/>
        <v>Friday</v>
      </c>
      <c r="T134" s="93" t="s">
        <v>237</v>
      </c>
      <c r="U134" s="94" t="s">
        <v>433</v>
      </c>
      <c r="W134" s="95">
        <v>0.25</v>
      </c>
      <c r="X134" s="96"/>
      <c r="Y134" s="97">
        <f t="shared" si="100"/>
        <v>46059</v>
      </c>
      <c r="Z134" s="98" t="str">
        <f>SUBSTITUTE('Digitas UK Task 26'!$O134, "Complet", "Not Requir")</f>
        <v>Not Required</v>
      </c>
      <c r="AA134" s="98" t="str">
        <f t="shared" si="150"/>
        <v>WELLA | FY26Q3 WELLA SEBASTIAN FRANCE | TAG REQUEST</v>
      </c>
      <c r="AB134" s="99"/>
      <c r="AF134" s="84" t="str">
        <f t="shared" si="79"/>
        <v/>
      </c>
      <c r="AH134" s="84" t="str">
        <f t="shared" si="143"/>
        <v>PL_1_CR_1_AD_1_Jira_0_</v>
      </c>
      <c r="AI134" s="84" t="str">
        <f t="shared" si="144"/>
        <v>PL_1_CR_1_AD_1_Jira_0_</v>
      </c>
      <c r="AJ134" s="84" t="str">
        <f>IF(Z134&lt;&gt;"Done","",(_xlfn.CONCAT("PL_",DigitasUKAdOp_26Team[[#This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35" spans="1:36" ht="15.75" customHeight="1" x14ac:dyDescent="0.3">
      <c r="A135" s="85" t="str">
        <f>IF(B135="","",TEXT(B135,"MMM : DDDD"))</f>
        <v>Feb : Friday</v>
      </c>
      <c r="B135" s="86">
        <v>46059</v>
      </c>
      <c r="C135" s="87" t="s">
        <v>43</v>
      </c>
      <c r="D135" s="88" t="s">
        <v>481</v>
      </c>
      <c r="E135" s="87" t="s">
        <v>428</v>
      </c>
      <c r="F135" s="88" t="s">
        <v>542</v>
      </c>
      <c r="G135" s="88" t="s">
        <v>533</v>
      </c>
      <c r="H135" s="87" t="s">
        <v>269</v>
      </c>
      <c r="I135" s="87" t="s">
        <v>237</v>
      </c>
      <c r="J135" s="88">
        <v>20</v>
      </c>
      <c r="K135" s="88">
        <v>20</v>
      </c>
      <c r="L135" s="88">
        <v>20</v>
      </c>
      <c r="M135" s="89">
        <v>46059</v>
      </c>
      <c r="N135" s="88">
        <v>0.5</v>
      </c>
      <c r="O135" s="90" t="s">
        <v>432</v>
      </c>
      <c r="Q135" s="91">
        <f t="shared" si="80"/>
        <v>6</v>
      </c>
      <c r="R135" s="91" t="str">
        <f t="shared" si="81"/>
        <v>Feb</v>
      </c>
      <c r="S135" s="92" t="str">
        <f t="shared" si="82"/>
        <v>Friday</v>
      </c>
      <c r="T135" s="93" t="s">
        <v>250</v>
      </c>
      <c r="U135" s="94" t="s">
        <v>433</v>
      </c>
      <c r="W135" s="95">
        <v>0.25</v>
      </c>
      <c r="X135" s="96"/>
      <c r="Y135" s="97">
        <f t="shared" si="100"/>
        <v>46059</v>
      </c>
      <c r="Z135" s="98" t="str">
        <f>SUBSTITUTE('Digitas UK Task 26'!$O135, "Complet", "Not Requir")</f>
        <v>Not Required</v>
      </c>
      <c r="AA135" s="98" t="str">
        <f t="shared" si="150"/>
        <v>Crocs S1 - new placements to traffic</v>
      </c>
      <c r="AB135" s="99"/>
      <c r="AF135" s="84" t="str">
        <f t="shared" si="79"/>
        <v/>
      </c>
      <c r="AH135" s="84" t="str">
        <f t="shared" si="143"/>
        <v>PL_20_CR_20_AD_20_Jira_0_</v>
      </c>
      <c r="AI135" s="84" t="str">
        <f t="shared" si="144"/>
        <v>PL_20_CR_20_AD_20_Jira_0_</v>
      </c>
      <c r="AJ135" s="84" t="str">
        <f>IF(Z135&lt;&gt;"Done","",(_xlfn.CONCAT("PL_",DigitasUKAdOp_26Team[[#This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36" spans="1:36" ht="15.75" customHeight="1" x14ac:dyDescent="0.3">
      <c r="A136" s="85" t="str">
        <f>IF(B136="","",TEXT(B136,"MMM : DDDD"))</f>
        <v>Feb : Friday</v>
      </c>
      <c r="B136" s="86">
        <v>46059</v>
      </c>
      <c r="C136" s="87" t="s">
        <v>43</v>
      </c>
      <c r="D136" s="88" t="s">
        <v>481</v>
      </c>
      <c r="E136" s="87" t="s">
        <v>428</v>
      </c>
      <c r="F136" s="88" t="s">
        <v>543</v>
      </c>
      <c r="G136" s="88" t="s">
        <v>533</v>
      </c>
      <c r="H136" s="87" t="s">
        <v>269</v>
      </c>
      <c r="I136" s="87" t="s">
        <v>237</v>
      </c>
      <c r="J136" s="88">
        <v>20</v>
      </c>
      <c r="K136" s="88">
        <v>20</v>
      </c>
      <c r="L136" s="88">
        <v>20</v>
      </c>
      <c r="M136" s="89">
        <v>46059</v>
      </c>
      <c r="N136" s="88">
        <v>0.5</v>
      </c>
      <c r="O136" s="90" t="s">
        <v>432</v>
      </c>
      <c r="Q136" s="91">
        <f t="shared" ref="Q136" si="152">IF(B136="","",WEEKNUM(B136))</f>
        <v>6</v>
      </c>
      <c r="R136" s="91" t="str">
        <f t="shared" ref="R136" si="153">IF(B136="","",TEXT(B136,"MMM"))</f>
        <v>Feb</v>
      </c>
      <c r="S136" s="92" t="str">
        <f t="shared" ref="S136" si="154">IF(B136="","",TEXT(B136,"DDDD"))</f>
        <v>Friday</v>
      </c>
      <c r="T136" s="93" t="s">
        <v>250</v>
      </c>
      <c r="U136" s="94" t="s">
        <v>433</v>
      </c>
      <c r="W136" s="95">
        <v>0.25</v>
      </c>
      <c r="X136" s="96"/>
      <c r="Y136" s="97">
        <f t="shared" ref="Y136" si="155">IF(M136="","",M136)</f>
        <v>46059</v>
      </c>
      <c r="Z136" s="98" t="str">
        <f>SUBSTITUTE('Digitas UK Task 26'!$O136, "Complet", "Not Requir")</f>
        <v>Not Required</v>
      </c>
      <c r="AA136" s="98" t="str">
        <f t="shared" ref="AA136" si="156">IF(G136="","",G136)</f>
        <v>Crocs S1 - new placements to traffic</v>
      </c>
      <c r="AB136" s="99"/>
      <c r="AF136" s="84" t="str">
        <f t="shared" ref="AF136" si="157">IF(AD136="","",WEEKNUM(AD136))</f>
        <v/>
      </c>
      <c r="AH136" s="84" t="str">
        <f t="shared" si="143"/>
        <v>PL_20_CR_20_AD_20_Jira_0_</v>
      </c>
      <c r="AI136" s="84" t="str">
        <f t="shared" si="144"/>
        <v>PL_20_CR_20_AD_20_Jira_0_</v>
      </c>
      <c r="AJ136" s="84" t="str">
        <f>IF(Z136&lt;&gt;"Done","",(_xlfn.CONCAT("PL_",DigitasUKAdOp_26Team[[#This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37" spans="1:36" ht="15.75" customHeight="1" x14ac:dyDescent="0.3">
      <c r="A137" s="85" t="str">
        <f t="shared" si="84"/>
        <v>Feb : Friday</v>
      </c>
      <c r="B137" s="86">
        <v>46059</v>
      </c>
      <c r="C137" s="87" t="s">
        <v>344</v>
      </c>
      <c r="D137" s="88" t="s">
        <v>452</v>
      </c>
      <c r="E137" s="87" t="s">
        <v>428</v>
      </c>
      <c r="F137" s="88" t="s">
        <v>544</v>
      </c>
      <c r="G137" s="88" t="s">
        <v>545</v>
      </c>
      <c r="H137" s="87" t="s">
        <v>269</v>
      </c>
      <c r="I137" s="87" t="s">
        <v>237</v>
      </c>
      <c r="J137" s="88">
        <v>5</v>
      </c>
      <c r="K137" s="88">
        <v>5</v>
      </c>
      <c r="L137" s="88">
        <v>5</v>
      </c>
      <c r="M137" s="89">
        <v>46059</v>
      </c>
      <c r="N137" s="88">
        <v>0.5</v>
      </c>
      <c r="O137" s="90" t="s">
        <v>432</v>
      </c>
      <c r="Q137" s="91">
        <f t="shared" si="80"/>
        <v>6</v>
      </c>
      <c r="R137" s="91" t="str">
        <f t="shared" si="81"/>
        <v>Feb</v>
      </c>
      <c r="S137" s="92" t="str">
        <f t="shared" si="82"/>
        <v>Friday</v>
      </c>
      <c r="T137" s="93" t="s">
        <v>250</v>
      </c>
      <c r="U137" s="94" t="s">
        <v>433</v>
      </c>
      <c r="W137" s="95">
        <v>0.25</v>
      </c>
      <c r="X137" s="96"/>
      <c r="Y137" s="97">
        <f t="shared" si="100"/>
        <v>46059</v>
      </c>
      <c r="Z137" s="98" t="str">
        <f>SUBSTITUTE('Digitas UK Task 26'!$O137, "Complet", "Not Requir")</f>
        <v>Not Required</v>
      </c>
      <c r="AA137" s="98" t="str">
        <f t="shared" si="150"/>
        <v>RE: Digitas x Monzo | Tagging support I TTD_Retargeting</v>
      </c>
      <c r="AB137" s="99"/>
      <c r="AF137" s="84" t="str">
        <f t="shared" si="79"/>
        <v/>
      </c>
      <c r="AH137" s="84" t="str">
        <f t="shared" si="143"/>
        <v>PL_5_CR_5_AD_5_Jira_0_</v>
      </c>
      <c r="AI137" s="84" t="str">
        <f t="shared" si="144"/>
        <v>PL_5_CR_5_AD_5_Jira_0_</v>
      </c>
      <c r="AJ137" s="84" t="str">
        <f>IF(Z137&lt;&gt;"Done","",(_xlfn.CONCAT("PL_",DigitasUKAdOp_26Team[[#This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38" spans="1:36" ht="15.75" customHeight="1" x14ac:dyDescent="0.3">
      <c r="A138" s="85" t="str">
        <f t="shared" ref="A138" si="158">IF(B138="","",TEXT(B138,"MMM : DDDD"))</f>
        <v>Feb : Friday</v>
      </c>
      <c r="B138" s="86">
        <v>46059</v>
      </c>
      <c r="C138" s="87" t="s">
        <v>344</v>
      </c>
      <c r="D138" s="88" t="s">
        <v>452</v>
      </c>
      <c r="E138" s="87" t="s">
        <v>428</v>
      </c>
      <c r="F138" s="88" t="s">
        <v>544</v>
      </c>
      <c r="G138" s="88" t="s">
        <v>545</v>
      </c>
      <c r="H138" s="87" t="s">
        <v>443</v>
      </c>
      <c r="I138" s="87" t="s">
        <v>237</v>
      </c>
      <c r="J138" s="88">
        <v>0</v>
      </c>
      <c r="K138" s="88">
        <v>0</v>
      </c>
      <c r="L138" s="88">
        <v>0</v>
      </c>
      <c r="M138" s="89">
        <v>46059</v>
      </c>
      <c r="N138" s="88">
        <v>1</v>
      </c>
      <c r="O138" s="90" t="s">
        <v>432</v>
      </c>
      <c r="Q138" s="91">
        <f t="shared" ref="Q138:Q139" si="159">IF(B138="","",WEEKNUM(B138))</f>
        <v>6</v>
      </c>
      <c r="R138" s="91" t="str">
        <f t="shared" ref="R138:R139" si="160">IF(B138="","",TEXT(B138,"MMM"))</f>
        <v>Feb</v>
      </c>
      <c r="S138" s="92" t="str">
        <f t="shared" ref="S138:S139" si="161">IF(B138="","",TEXT(B138,"DDDD"))</f>
        <v>Friday</v>
      </c>
      <c r="T138" s="93" t="s">
        <v>237</v>
      </c>
      <c r="U138" s="94" t="s">
        <v>444</v>
      </c>
      <c r="W138" s="95">
        <v>0</v>
      </c>
      <c r="X138" s="96"/>
      <c r="Y138" s="97">
        <f t="shared" ref="Y138:Y139" si="162">IF(M138="","",M138)</f>
        <v>46059</v>
      </c>
      <c r="Z138" s="98" t="str">
        <f>SUBSTITUTE('Digitas UK Task 26'!$O138, "Complet", "Not Requir")</f>
        <v>Not Required</v>
      </c>
      <c r="AA138" s="98" t="str">
        <f t="shared" ref="AA138:AA139" si="163">IF(G138="","",G138)</f>
        <v>RE: Digitas x Monzo | Tagging support I TTD_Retargeting</v>
      </c>
      <c r="AB138" s="99"/>
      <c r="AF138" s="84" t="str">
        <f t="shared" ref="AF138:AF139" si="164">IF(AD138="","",WEEKNUM(AD138))</f>
        <v/>
      </c>
      <c r="AH138" s="84" t="str">
        <f t="shared" si="143"/>
        <v>PL_0_CR_0_AD_0_Jira_0_</v>
      </c>
      <c r="AI138" s="84" t="str">
        <f t="shared" si="144"/>
        <v/>
      </c>
      <c r="AJ138" s="84" t="str">
        <f>IF(Z138&lt;&gt;"Done","",(_xlfn.CONCAT("PL_",DigitasUKAdOp_26Team[[#This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39" spans="1:36" ht="15.75" customHeight="1" x14ac:dyDescent="0.3">
      <c r="A139" s="85" t="str">
        <f>IF(B139="","",TEXT(B139,"MMM : DDDD"))</f>
        <v>Feb : Friday</v>
      </c>
      <c r="B139" s="86">
        <v>46059</v>
      </c>
      <c r="C139" s="87" t="s">
        <v>43</v>
      </c>
      <c r="D139" s="88" t="s">
        <v>481</v>
      </c>
      <c r="E139" s="87" t="s">
        <v>428</v>
      </c>
      <c r="F139" s="88" t="s">
        <v>542</v>
      </c>
      <c r="G139" s="88" t="s">
        <v>533</v>
      </c>
      <c r="H139" s="87" t="s">
        <v>443</v>
      </c>
      <c r="I139" s="87" t="s">
        <v>237</v>
      </c>
      <c r="J139" s="88">
        <v>0</v>
      </c>
      <c r="K139" s="88">
        <v>0</v>
      </c>
      <c r="L139" s="88">
        <v>0</v>
      </c>
      <c r="M139" s="89">
        <v>46059</v>
      </c>
      <c r="N139" s="88">
        <v>1</v>
      </c>
      <c r="O139" s="90" t="s">
        <v>432</v>
      </c>
      <c r="Q139" s="91">
        <f t="shared" si="159"/>
        <v>6</v>
      </c>
      <c r="R139" s="91" t="str">
        <f t="shared" si="160"/>
        <v>Feb</v>
      </c>
      <c r="S139" s="92" t="str">
        <f t="shared" si="161"/>
        <v>Friday</v>
      </c>
      <c r="T139" s="93" t="s">
        <v>237</v>
      </c>
      <c r="U139" s="94" t="s">
        <v>444</v>
      </c>
      <c r="W139" s="95">
        <v>0</v>
      </c>
      <c r="X139" s="96"/>
      <c r="Y139" s="97">
        <f t="shared" si="162"/>
        <v>46059</v>
      </c>
      <c r="Z139" s="98" t="str">
        <f>SUBSTITUTE('Digitas UK Task 26'!$O139, "Complet", "Not Requir")</f>
        <v>Not Required</v>
      </c>
      <c r="AA139" s="98" t="str">
        <f t="shared" si="163"/>
        <v>Crocs S1 - new placements to traffic</v>
      </c>
      <c r="AB139" s="99"/>
      <c r="AF139" s="84" t="str">
        <f t="shared" si="164"/>
        <v/>
      </c>
      <c r="AH139" s="84" t="str">
        <f t="shared" si="143"/>
        <v>PL_0_CR_0_AD_0_Jira_0_</v>
      </c>
      <c r="AI139" s="84" t="str">
        <f t="shared" si="144"/>
        <v/>
      </c>
      <c r="AJ139" s="84" t="str">
        <f>IF(Z139&lt;&gt;"Done","",(_xlfn.CONCAT("PL_",DigitasUKAdOp_26Team[[#This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40" spans="1:36" ht="15.75" customHeight="1" x14ac:dyDescent="0.3">
      <c r="A140" s="85" t="str">
        <f t="shared" si="84"/>
        <v>Feb : Monday</v>
      </c>
      <c r="B140" s="86">
        <v>46062</v>
      </c>
      <c r="C140" s="87" t="s">
        <v>334</v>
      </c>
      <c r="D140" s="88" t="s">
        <v>496</v>
      </c>
      <c r="E140" s="87" t="s">
        <v>428</v>
      </c>
      <c r="F140" s="88" t="s">
        <v>450</v>
      </c>
      <c r="G140" s="88" t="s">
        <v>546</v>
      </c>
      <c r="H140" s="87" t="s">
        <v>521</v>
      </c>
      <c r="I140" s="87" t="s">
        <v>246</v>
      </c>
      <c r="J140" s="88">
        <v>0</v>
      </c>
      <c r="K140" s="88">
        <v>0</v>
      </c>
      <c r="L140" s="88">
        <v>0</v>
      </c>
      <c r="M140" s="89">
        <v>9</v>
      </c>
      <c r="N140" s="88">
        <v>3</v>
      </c>
      <c r="O140" s="90" t="s">
        <v>432</v>
      </c>
      <c r="Q140" s="91">
        <f t="shared" si="80"/>
        <v>7</v>
      </c>
      <c r="R140" s="91" t="str">
        <f t="shared" si="81"/>
        <v>Feb</v>
      </c>
      <c r="S140" s="92" t="str">
        <f t="shared" si="82"/>
        <v>Monday</v>
      </c>
      <c r="T140" s="93" t="s">
        <v>246</v>
      </c>
      <c r="U140" s="94" t="s">
        <v>444</v>
      </c>
      <c r="W140" s="95">
        <v>0</v>
      </c>
      <c r="X140" s="96"/>
      <c r="Y140" s="97">
        <f t="shared" si="100"/>
        <v>9</v>
      </c>
      <c r="Z140" s="98" t="str">
        <f>SUBSTITUTE('Digitas UK Task 26'!$O140, "Complet", "Not Requir")</f>
        <v>Not Required</v>
      </c>
      <c r="AA140" s="98" t="str">
        <f t="shared" si="150"/>
        <v>RE: Klaviyo EMEA - Trafficking Request - Mailchimp HTML - Q4 2025</v>
      </c>
      <c r="AB140" s="99"/>
      <c r="AF140" s="84" t="str">
        <f t="shared" si="79"/>
        <v/>
      </c>
      <c r="AH140" s="84" t="str">
        <f t="shared" si="143"/>
        <v>PL_0_CR_0_AD_0_Jira_0_</v>
      </c>
      <c r="AI140" s="84" t="str">
        <f t="shared" si="144"/>
        <v/>
      </c>
      <c r="AJ140" s="84" t="str">
        <f>IF(Z140&lt;&gt;"Done","",(_xlfn.CONCAT("PL_",DigitasUKAdOp_26Team[[#This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41" spans="1:36" ht="15.75" customHeight="1" x14ac:dyDescent="0.3">
      <c r="A141" s="85" t="str">
        <f t="shared" si="84"/>
        <v>Feb : Monday</v>
      </c>
      <c r="B141" s="86">
        <v>46062</v>
      </c>
      <c r="C141" s="87" t="s">
        <v>334</v>
      </c>
      <c r="D141" s="88" t="s">
        <v>496</v>
      </c>
      <c r="E141" s="87" t="s">
        <v>428</v>
      </c>
      <c r="F141" s="88" t="s">
        <v>450</v>
      </c>
      <c r="G141" s="88" t="s">
        <v>546</v>
      </c>
      <c r="H141" s="87" t="s">
        <v>521</v>
      </c>
      <c r="I141" s="87" t="s">
        <v>246</v>
      </c>
      <c r="J141" s="88">
        <v>0</v>
      </c>
      <c r="K141" s="88">
        <v>0</v>
      </c>
      <c r="L141" s="88">
        <v>0</v>
      </c>
      <c r="M141" s="89">
        <v>9</v>
      </c>
      <c r="N141" s="88">
        <v>3</v>
      </c>
      <c r="O141" s="90" t="s">
        <v>432</v>
      </c>
      <c r="Q141" s="91">
        <f t="shared" si="80"/>
        <v>7</v>
      </c>
      <c r="R141" s="91" t="str">
        <f t="shared" si="81"/>
        <v>Feb</v>
      </c>
      <c r="S141" s="92" t="str">
        <f t="shared" si="82"/>
        <v>Monday</v>
      </c>
      <c r="T141" s="93" t="s">
        <v>246</v>
      </c>
      <c r="U141" s="94" t="s">
        <v>444</v>
      </c>
      <c r="W141" s="95">
        <v>0</v>
      </c>
      <c r="X141" s="96"/>
      <c r="Y141" s="97">
        <f t="shared" si="100"/>
        <v>9</v>
      </c>
      <c r="Z141" s="98" t="str">
        <f>SUBSTITUTE('Digitas UK Task 26'!$O141, "Complet", "Not Requir")</f>
        <v>Not Required</v>
      </c>
      <c r="AA141" s="98" t="str">
        <f t="shared" si="150"/>
        <v>RE: Klaviyo EMEA - Trafficking Request - Mailchimp HTML - Q4 2025</v>
      </c>
      <c r="AB141" s="99"/>
      <c r="AF141" s="84" t="str">
        <f t="shared" ref="AF141:AF202" si="165">IF(AD141="","",WEEKNUM(AD141))</f>
        <v/>
      </c>
      <c r="AH141" s="84" t="str">
        <f t="shared" si="143"/>
        <v>PL_0_CR_0_AD_0_Jira_0_</v>
      </c>
      <c r="AI141" s="84" t="str">
        <f t="shared" si="144"/>
        <v/>
      </c>
      <c r="AJ141" s="84" t="str">
        <f>IF(Z141&lt;&gt;"Done","",(_xlfn.CONCAT("PL_",DigitasUKAdOp_26Team[[#This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42" spans="1:36" ht="15.75" customHeight="1" x14ac:dyDescent="0.3">
      <c r="A142" s="85" t="str">
        <f t="shared" si="84"/>
        <v>Feb : Monday</v>
      </c>
      <c r="B142" s="86">
        <v>46062</v>
      </c>
      <c r="C142" s="87" t="s">
        <v>334</v>
      </c>
      <c r="D142" s="88" t="s">
        <v>496</v>
      </c>
      <c r="E142" s="87" t="s">
        <v>428</v>
      </c>
      <c r="F142" s="88" t="s">
        <v>450</v>
      </c>
      <c r="G142" s="88" t="s">
        <v>546</v>
      </c>
      <c r="H142" s="87" t="s">
        <v>521</v>
      </c>
      <c r="I142" s="87" t="s">
        <v>237</v>
      </c>
      <c r="J142" s="88">
        <v>0</v>
      </c>
      <c r="K142" s="88">
        <v>0</v>
      </c>
      <c r="L142" s="88">
        <v>0</v>
      </c>
      <c r="M142" s="89">
        <v>9</v>
      </c>
      <c r="N142" s="88">
        <v>3</v>
      </c>
      <c r="O142" s="90" t="s">
        <v>432</v>
      </c>
      <c r="Q142" s="91">
        <f t="shared" ref="Q142:Q203" si="166">IF(B142="","",WEEKNUM(B142))</f>
        <v>7</v>
      </c>
      <c r="R142" s="91" t="str">
        <f t="shared" ref="R142:R203" si="167">IF(B142="","",TEXT(B142,"MMM"))</f>
        <v>Feb</v>
      </c>
      <c r="S142" s="92" t="str">
        <f t="shared" ref="S142:S203" si="168">IF(B142="","",TEXT(B142,"DDDD"))</f>
        <v>Monday</v>
      </c>
      <c r="T142" s="93" t="s">
        <v>237</v>
      </c>
      <c r="U142" s="94" t="s">
        <v>444</v>
      </c>
      <c r="W142" s="95">
        <v>0</v>
      </c>
      <c r="X142" s="96"/>
      <c r="Y142" s="97">
        <f t="shared" si="100"/>
        <v>9</v>
      </c>
      <c r="Z142" s="98" t="str">
        <f>SUBSTITUTE('Digitas UK Task 26'!$O142, "Complet", "Not Requir")</f>
        <v>Not Required</v>
      </c>
      <c r="AA142" s="98" t="str">
        <f t="shared" si="150"/>
        <v>RE: Klaviyo EMEA - Trafficking Request - Mailchimp HTML - Q4 2025</v>
      </c>
      <c r="AB142" s="99"/>
      <c r="AF142" s="84" t="str">
        <f t="shared" si="165"/>
        <v/>
      </c>
      <c r="AH142" s="84" t="str">
        <f t="shared" si="143"/>
        <v>PL_0_CR_0_AD_0_Jira_0_</v>
      </c>
      <c r="AI142" s="84" t="str">
        <f t="shared" si="144"/>
        <v/>
      </c>
      <c r="AJ142" s="84" t="str">
        <f>IF(Z142&lt;&gt;"Done","",(_xlfn.CONCAT("PL_",DigitasUKAdOp_26Team[[#This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43" spans="1:36" ht="15.75" customHeight="1" x14ac:dyDescent="0.3">
      <c r="A143" s="85" t="str">
        <f t="shared" si="84"/>
        <v>Feb : Monday</v>
      </c>
      <c r="B143" s="86">
        <v>46062</v>
      </c>
      <c r="C143" s="87" t="s">
        <v>334</v>
      </c>
      <c r="D143" s="88" t="s">
        <v>547</v>
      </c>
      <c r="E143" s="87" t="s">
        <v>428</v>
      </c>
      <c r="F143" s="88" t="s">
        <v>450</v>
      </c>
      <c r="G143" s="88" t="s">
        <v>548</v>
      </c>
      <c r="H143" s="87" t="s">
        <v>521</v>
      </c>
      <c r="I143" s="87" t="s">
        <v>250</v>
      </c>
      <c r="J143" s="88">
        <v>0</v>
      </c>
      <c r="K143" s="88">
        <v>0</v>
      </c>
      <c r="L143" s="88">
        <v>0</v>
      </c>
      <c r="M143" s="89">
        <v>9</v>
      </c>
      <c r="N143" s="88">
        <v>3</v>
      </c>
      <c r="O143" s="90" t="s">
        <v>432</v>
      </c>
      <c r="Q143" s="91">
        <f t="shared" si="166"/>
        <v>7</v>
      </c>
      <c r="R143" s="91" t="str">
        <f t="shared" si="167"/>
        <v>Feb</v>
      </c>
      <c r="S143" s="92" t="str">
        <f t="shared" si="168"/>
        <v>Monday</v>
      </c>
      <c r="T143" s="93" t="s">
        <v>250</v>
      </c>
      <c r="U143" s="94" t="s">
        <v>444</v>
      </c>
      <c r="W143" s="95">
        <v>0</v>
      </c>
      <c r="X143" s="96"/>
      <c r="Y143" s="97">
        <f t="shared" si="100"/>
        <v>9</v>
      </c>
      <c r="Z143" s="98" t="str">
        <f>SUBSTITUTE('Digitas UK Task 26'!$O143, "Complet", "Not Requir")</f>
        <v>Not Required</v>
      </c>
      <c r="AA143" s="98" t="str">
        <f t="shared" si="150"/>
        <v xml:space="preserve">RE: Klaviyo_ Mailchip_ HTM5 Issue </v>
      </c>
      <c r="AB143" s="99"/>
      <c r="AF143" s="84" t="str">
        <f t="shared" si="165"/>
        <v/>
      </c>
      <c r="AH143" s="84" t="str">
        <f t="shared" si="143"/>
        <v>PL_0_CR_0_AD_0_Jira_0_</v>
      </c>
      <c r="AI143" s="84" t="str">
        <f t="shared" si="144"/>
        <v/>
      </c>
      <c r="AJ143" s="84" t="str">
        <f>IF(Z143&lt;&gt;"Done","",(_xlfn.CONCAT("PL_",DigitasUKAdOp_26Team[[#This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44" spans="1:36" ht="15.75" customHeight="1" x14ac:dyDescent="0.3">
      <c r="A144" s="85" t="str">
        <f t="shared" ref="A144:A198" si="169">IF(B144="","",TEXT(B144,"MMM : DDDD"))</f>
        <v>Feb : Tuesday</v>
      </c>
      <c r="B144" s="86">
        <v>46063</v>
      </c>
      <c r="C144" s="87" t="s">
        <v>318</v>
      </c>
      <c r="D144" s="88" t="s">
        <v>435</v>
      </c>
      <c r="E144" s="87" t="s">
        <v>428</v>
      </c>
      <c r="F144" s="88" t="s">
        <v>549</v>
      </c>
      <c r="G144" s="88" t="s">
        <v>550</v>
      </c>
      <c r="H144" s="87" t="s">
        <v>269</v>
      </c>
      <c r="I144" s="87" t="s">
        <v>431</v>
      </c>
      <c r="J144" s="88">
        <v>4</v>
      </c>
      <c r="K144" s="88">
        <v>4</v>
      </c>
      <c r="L144" s="88">
        <v>4</v>
      </c>
      <c r="M144" s="89">
        <v>46063</v>
      </c>
      <c r="N144" s="88">
        <v>0.5</v>
      </c>
      <c r="O144" s="90" t="s">
        <v>432</v>
      </c>
      <c r="P144" s="88" t="s">
        <v>551</v>
      </c>
      <c r="Q144" s="91">
        <f t="shared" si="166"/>
        <v>7</v>
      </c>
      <c r="R144" s="91" t="str">
        <f t="shared" si="167"/>
        <v>Feb</v>
      </c>
      <c r="S144" s="92" t="str">
        <f t="shared" si="168"/>
        <v>Tuesday</v>
      </c>
      <c r="T144" s="93" t="s">
        <v>246</v>
      </c>
      <c r="U144" s="94" t="s">
        <v>433</v>
      </c>
      <c r="W144" s="95">
        <v>0.25</v>
      </c>
      <c r="X144" s="96"/>
      <c r="Y144" s="97">
        <f t="shared" si="100"/>
        <v>46063</v>
      </c>
      <c r="Z144" s="98" t="str">
        <f>SUBSTITUTE('Digitas UK Task 26'!$O144, "Complet", "Not Requir")</f>
        <v>Not Required</v>
      </c>
      <c r="AA144" s="98" t="str">
        <f t="shared" si="150"/>
        <v>RE: WELLA | FY26Q3 ULTIMATE COLOR - ITALY | TAG REQUEST</v>
      </c>
      <c r="AB144" s="99"/>
      <c r="AF144" s="84" t="str">
        <f t="shared" si="165"/>
        <v/>
      </c>
      <c r="AH144" s="84" t="str">
        <f t="shared" si="143"/>
        <v>PL_4_CR_4_AD_4_Jira_0_</v>
      </c>
      <c r="AI144" s="84" t="str">
        <f t="shared" si="144"/>
        <v>PL_4_CR_4_AD_4_Jira_0_</v>
      </c>
      <c r="AJ144" s="84" t="str">
        <f>IF(Z144&lt;&gt;"Done","",(_xlfn.CONCAT("PL_",DigitasUKAdOp_26Team[[#This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45" spans="1:36" ht="15.75" customHeight="1" x14ac:dyDescent="0.3">
      <c r="A145" s="85" t="str">
        <f t="shared" si="169"/>
        <v>Feb : Tuesday</v>
      </c>
      <c r="B145" s="86">
        <v>46063</v>
      </c>
      <c r="C145" s="87" t="s">
        <v>318</v>
      </c>
      <c r="D145" s="88" t="s">
        <v>435</v>
      </c>
      <c r="E145" s="87" t="s">
        <v>428</v>
      </c>
      <c r="F145" s="88" t="s">
        <v>538</v>
      </c>
      <c r="G145" s="88" t="s">
        <v>539</v>
      </c>
      <c r="H145" s="87" t="s">
        <v>269</v>
      </c>
      <c r="I145" s="87" t="s">
        <v>250</v>
      </c>
      <c r="J145" s="88">
        <v>8</v>
      </c>
      <c r="K145" s="88">
        <v>8</v>
      </c>
      <c r="L145" s="88">
        <v>8</v>
      </c>
      <c r="M145" s="89">
        <v>46063</v>
      </c>
      <c r="N145" s="88">
        <v>0.5</v>
      </c>
      <c r="O145" s="90" t="s">
        <v>432</v>
      </c>
      <c r="Q145" s="91">
        <f t="shared" si="166"/>
        <v>7</v>
      </c>
      <c r="R145" s="91" t="str">
        <f t="shared" si="167"/>
        <v>Feb</v>
      </c>
      <c r="S145" s="92" t="str">
        <f t="shared" si="168"/>
        <v>Tuesday</v>
      </c>
      <c r="T145" s="93" t="s">
        <v>237</v>
      </c>
      <c r="U145" s="94" t="s">
        <v>433</v>
      </c>
      <c r="V145" s="95" t="s">
        <v>552</v>
      </c>
      <c r="W145" s="95">
        <v>0.5</v>
      </c>
      <c r="X145" s="96"/>
      <c r="Y145" s="97">
        <f t="shared" si="100"/>
        <v>46063</v>
      </c>
      <c r="Z145" s="98" t="str">
        <f>SUBSTITUTE('Digitas UK Task 26'!$O145, "Complet", "Not Requir")</f>
        <v>Not Required</v>
      </c>
      <c r="AA145" s="98" t="str">
        <f t="shared" si="150"/>
        <v>WELLA | FY26Q3 WELLA SEBASTIAN FRANCE | TAG REQUEST</v>
      </c>
      <c r="AB145" s="99"/>
      <c r="AF145" s="84" t="str">
        <f t="shared" si="165"/>
        <v/>
      </c>
      <c r="AH145" s="84" t="str">
        <f t="shared" si="143"/>
        <v>PL_8_CR_8_AD_8_Jira_0_</v>
      </c>
      <c r="AI145" s="84" t="str">
        <f t="shared" si="144"/>
        <v>PL_8_CR_8_AD_8_Jira_0_</v>
      </c>
      <c r="AJ145" s="84" t="str">
        <f>IF(Z145&lt;&gt;"Done","",(_xlfn.CONCAT("PL_",DigitasUKAdOp_26Team[[#This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46" spans="1:36" ht="15.75" customHeight="1" x14ac:dyDescent="0.3">
      <c r="A146" s="85" t="str">
        <f t="shared" ref="A146:A147" si="170">IF(B146="","",TEXT(B146,"MMM : DDDD"))</f>
        <v>Feb : Tuesday</v>
      </c>
      <c r="B146" s="86">
        <v>46063</v>
      </c>
      <c r="C146" s="87" t="s">
        <v>318</v>
      </c>
      <c r="D146" s="88" t="s">
        <v>435</v>
      </c>
      <c r="E146" s="87" t="s">
        <v>428</v>
      </c>
      <c r="F146" s="88" t="s">
        <v>549</v>
      </c>
      <c r="G146" s="88" t="s">
        <v>550</v>
      </c>
      <c r="H146" s="87" t="s">
        <v>443</v>
      </c>
      <c r="I146" s="87" t="s">
        <v>431</v>
      </c>
      <c r="J146" s="88">
        <v>0</v>
      </c>
      <c r="K146" s="88">
        <v>0</v>
      </c>
      <c r="L146" s="88">
        <v>0</v>
      </c>
      <c r="M146" s="89">
        <v>46063</v>
      </c>
      <c r="N146" s="88">
        <v>1</v>
      </c>
      <c r="O146" s="90" t="s">
        <v>432</v>
      </c>
      <c r="Q146" s="91">
        <f t="shared" si="166"/>
        <v>7</v>
      </c>
      <c r="R146" s="91" t="str">
        <f t="shared" si="167"/>
        <v>Feb</v>
      </c>
      <c r="S146" s="92" t="str">
        <f t="shared" si="168"/>
        <v>Tuesday</v>
      </c>
      <c r="T146" s="93" t="s">
        <v>431</v>
      </c>
      <c r="U146" s="94" t="s">
        <v>444</v>
      </c>
      <c r="W146" s="95">
        <v>0</v>
      </c>
      <c r="X146" s="96"/>
      <c r="Y146" s="97">
        <f t="shared" si="100"/>
        <v>46063</v>
      </c>
      <c r="Z146" s="98" t="str">
        <f>SUBSTITUTE('Digitas UK Task 26'!$O146, "Complet", "Not Requir")</f>
        <v>Not Required</v>
      </c>
      <c r="AA146" s="98" t="str">
        <f t="shared" si="150"/>
        <v>RE: WELLA | FY26Q3 ULTIMATE COLOR - ITALY | TAG REQUEST</v>
      </c>
      <c r="AB146" s="99"/>
      <c r="AF146" s="84" t="str">
        <f t="shared" si="165"/>
        <v/>
      </c>
      <c r="AH146" s="84" t="str">
        <f t="shared" si="143"/>
        <v>PL_0_CR_0_AD_0_Jira_0_</v>
      </c>
      <c r="AI146" s="84" t="str">
        <f t="shared" si="144"/>
        <v/>
      </c>
      <c r="AJ146" s="84" t="str">
        <f>IF(Z146&lt;&gt;"Done","",(_xlfn.CONCAT("PL_",DigitasUKAdOp_26Team[[#This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47" spans="1:36" ht="15.75" customHeight="1" x14ac:dyDescent="0.3">
      <c r="A147" s="85" t="str">
        <f t="shared" si="170"/>
        <v>Feb : Tuesday</v>
      </c>
      <c r="B147" s="86">
        <v>46063</v>
      </c>
      <c r="C147" s="87" t="s">
        <v>318</v>
      </c>
      <c r="D147" s="88" t="s">
        <v>435</v>
      </c>
      <c r="E147" s="87" t="s">
        <v>428</v>
      </c>
      <c r="F147" s="88" t="s">
        <v>549</v>
      </c>
      <c r="G147" s="88" t="s">
        <v>550</v>
      </c>
      <c r="H147" s="87" t="s">
        <v>269</v>
      </c>
      <c r="I147" s="87" t="s">
        <v>431</v>
      </c>
      <c r="J147" s="88">
        <v>8</v>
      </c>
      <c r="K147" s="88">
        <v>8</v>
      </c>
      <c r="L147" s="88">
        <v>8</v>
      </c>
      <c r="M147" s="89">
        <v>46063</v>
      </c>
      <c r="N147" s="88">
        <v>0.5</v>
      </c>
      <c r="O147" s="90" t="s">
        <v>432</v>
      </c>
      <c r="P147" s="88" t="s">
        <v>553</v>
      </c>
      <c r="Q147" s="91">
        <f t="shared" si="166"/>
        <v>7</v>
      </c>
      <c r="R147" s="91" t="str">
        <f t="shared" si="167"/>
        <v>Feb</v>
      </c>
      <c r="S147" s="92" t="str">
        <f t="shared" si="168"/>
        <v>Tuesday</v>
      </c>
      <c r="T147" s="93" t="s">
        <v>246</v>
      </c>
      <c r="U147" s="94" t="s">
        <v>433</v>
      </c>
      <c r="W147" s="95">
        <v>0.25</v>
      </c>
      <c r="X147" s="96"/>
      <c r="Y147" s="97">
        <f t="shared" si="100"/>
        <v>46063</v>
      </c>
      <c r="Z147" s="98" t="str">
        <f>SUBSTITUTE('Digitas UK Task 26'!$O147, "Complet", "Not Requir")</f>
        <v>Not Required</v>
      </c>
      <c r="AA147" s="98" t="str">
        <f t="shared" si="150"/>
        <v>RE: WELLA | FY26Q3 ULTIMATE COLOR - ITALY | TAG REQUEST</v>
      </c>
      <c r="AB147" s="99"/>
      <c r="AF147" s="84" t="str">
        <f t="shared" si="165"/>
        <v/>
      </c>
      <c r="AH147" s="84" t="str">
        <f t="shared" si="143"/>
        <v>PL_8_CR_8_AD_8_Jira_0_</v>
      </c>
      <c r="AI147" s="84" t="str">
        <f t="shared" si="144"/>
        <v>PL_8_CR_8_AD_8_Jira_0_</v>
      </c>
      <c r="AJ147" s="84" t="str">
        <f>IF(Z147&lt;&gt;"Done","",(_xlfn.CONCAT("PL_",DigitasUKAdOp_26Team[[#This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48" spans="1:36" ht="15.75" customHeight="1" x14ac:dyDescent="0.3">
      <c r="A148" s="85" t="str">
        <f t="shared" ref="A148:A153" si="171">IF(B148="","",TEXT(B148,"MMM : DDDD"))</f>
        <v>Feb : Tuesday</v>
      </c>
      <c r="B148" s="86">
        <v>46063</v>
      </c>
      <c r="C148" s="87" t="s">
        <v>334</v>
      </c>
      <c r="D148" s="88" t="s">
        <v>496</v>
      </c>
      <c r="E148" s="87" t="s">
        <v>428</v>
      </c>
      <c r="F148" s="88" t="s">
        <v>450</v>
      </c>
      <c r="G148" s="88" t="s">
        <v>546</v>
      </c>
      <c r="H148" s="87" t="s">
        <v>521</v>
      </c>
      <c r="I148" s="87" t="s">
        <v>237</v>
      </c>
      <c r="J148" s="88">
        <v>0</v>
      </c>
      <c r="K148" s="88">
        <v>0</v>
      </c>
      <c r="L148" s="88">
        <v>0</v>
      </c>
      <c r="M148" s="89">
        <v>46063</v>
      </c>
      <c r="N148" s="88">
        <v>1.5</v>
      </c>
      <c r="O148" s="90" t="s">
        <v>432</v>
      </c>
      <c r="Q148" s="91">
        <f>IF(B148="","",WEEKNUM(B148))</f>
        <v>7</v>
      </c>
      <c r="R148" s="91" t="str">
        <f>IF(B148="","",TEXT(B148,"MMM"))</f>
        <v>Feb</v>
      </c>
      <c r="S148" s="92" t="str">
        <f>IF(B148="","",TEXT(B148,"DDDD"))</f>
        <v>Tuesday</v>
      </c>
      <c r="T148" s="93" t="s">
        <v>237</v>
      </c>
      <c r="U148" s="94" t="s">
        <v>444</v>
      </c>
      <c r="W148" s="95">
        <v>0</v>
      </c>
      <c r="X148" s="96"/>
      <c r="Y148" s="97">
        <f>IF(M148="","",M148)</f>
        <v>46063</v>
      </c>
      <c r="Z148" s="98" t="str">
        <f>SUBSTITUTE('Digitas UK Task 26'!$O148, "Complet", "Not Requir")</f>
        <v>Not Required</v>
      </c>
      <c r="AA148" s="98" t="str">
        <f>IF(G148="","",G148)</f>
        <v>RE: Klaviyo EMEA - Trafficking Request - Mailchimp HTML - Q4 2025</v>
      </c>
      <c r="AB148" s="99"/>
      <c r="AF148" s="84" t="str">
        <f>IF(AD148="","",WEEKNUM(AD148))</f>
        <v/>
      </c>
      <c r="AH148" s="84" t="str">
        <f t="shared" si="143"/>
        <v>PL_0_CR_0_AD_0_Jira_0_</v>
      </c>
      <c r="AI148" s="84" t="str">
        <f t="shared" si="144"/>
        <v/>
      </c>
      <c r="AJ148" s="84" t="str">
        <f>IF(Z148&lt;&gt;"Done","",(_xlfn.CONCAT("PL_",DigitasUKAdOp_26Team[[#This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49" spans="1:36" ht="15.75" customHeight="1" x14ac:dyDescent="0.3">
      <c r="A149" s="85" t="str">
        <f t="shared" si="171"/>
        <v>Feb : Tuesday</v>
      </c>
      <c r="B149" s="86">
        <v>46063</v>
      </c>
      <c r="C149" s="87" t="s">
        <v>318</v>
      </c>
      <c r="D149" s="88" t="s">
        <v>435</v>
      </c>
      <c r="E149" s="87" t="s">
        <v>428</v>
      </c>
      <c r="F149" s="88" t="s">
        <v>540</v>
      </c>
      <c r="G149" s="88" t="s">
        <v>550</v>
      </c>
      <c r="H149" s="87" t="s">
        <v>269</v>
      </c>
      <c r="I149" s="87" t="s">
        <v>250</v>
      </c>
      <c r="J149" s="88">
        <v>10</v>
      </c>
      <c r="K149" s="88">
        <v>10</v>
      </c>
      <c r="L149" s="88">
        <v>10</v>
      </c>
      <c r="M149" s="89">
        <v>46063</v>
      </c>
      <c r="N149" s="88">
        <v>1</v>
      </c>
      <c r="O149" s="90" t="s">
        <v>432</v>
      </c>
      <c r="Q149" s="91">
        <f t="shared" si="166"/>
        <v>7</v>
      </c>
      <c r="R149" s="91" t="str">
        <f t="shared" si="167"/>
        <v>Feb</v>
      </c>
      <c r="S149" s="92" t="str">
        <f t="shared" si="168"/>
        <v>Tuesday</v>
      </c>
      <c r="T149" s="93" t="s">
        <v>237</v>
      </c>
      <c r="U149" s="94" t="s">
        <v>433</v>
      </c>
      <c r="W149" s="95">
        <v>0.5</v>
      </c>
      <c r="X149" s="96"/>
      <c r="Y149" s="97">
        <f t="shared" si="100"/>
        <v>46063</v>
      </c>
      <c r="Z149" s="98" t="str">
        <f>SUBSTITUTE('Digitas UK Task 26'!$O149, "Complet", "Not Requir")</f>
        <v>Not Required</v>
      </c>
      <c r="AA149" s="98" t="str">
        <f t="shared" si="150"/>
        <v>RE: WELLA | FY26Q3 ULTIMATE COLOR - ITALY | TAG REQUEST</v>
      </c>
      <c r="AB149" s="99"/>
      <c r="AF149" s="84" t="str">
        <f t="shared" si="165"/>
        <v/>
      </c>
      <c r="AH149" s="84" t="str">
        <f t="shared" si="143"/>
        <v>PL_10_CR_10_AD_10_Jira_0_</v>
      </c>
      <c r="AI149" s="84" t="str">
        <f t="shared" si="144"/>
        <v>PL_10_CR_10_AD_10_Jira_0_</v>
      </c>
      <c r="AJ149" s="84" t="str">
        <f>IF(Z149&lt;&gt;"Done","",(_xlfn.CONCAT("PL_",DigitasUKAdOp_26Team[[#This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50" spans="1:36" ht="15.75" customHeight="1" x14ac:dyDescent="0.3">
      <c r="A150" s="85" t="str">
        <f t="shared" si="171"/>
        <v>Feb : Tuesday</v>
      </c>
      <c r="B150" s="86">
        <v>46063</v>
      </c>
      <c r="C150" s="87" t="s">
        <v>325</v>
      </c>
      <c r="D150" s="88" t="s">
        <v>481</v>
      </c>
      <c r="E150" s="87" t="s">
        <v>428</v>
      </c>
      <c r="F150" s="88" t="s">
        <v>450</v>
      </c>
      <c r="G150" s="88" t="s">
        <v>554</v>
      </c>
      <c r="H150" s="87" t="s">
        <v>443</v>
      </c>
      <c r="I150" s="87" t="s">
        <v>237</v>
      </c>
      <c r="J150" s="88">
        <v>0</v>
      </c>
      <c r="K150" s="88">
        <v>0</v>
      </c>
      <c r="L150" s="88">
        <v>0</v>
      </c>
      <c r="M150" s="89">
        <v>46063</v>
      </c>
      <c r="N150" s="88">
        <v>1.5</v>
      </c>
      <c r="O150" s="90" t="s">
        <v>432</v>
      </c>
      <c r="Q150" s="91">
        <f>IF(B150="","",WEEKNUM(B150))</f>
        <v>7</v>
      </c>
      <c r="R150" s="91" t="str">
        <f>IF(B150="","",TEXT(B150,"MMM"))</f>
        <v>Feb</v>
      </c>
      <c r="S150" s="92" t="str">
        <f>IF(B150="","",TEXT(B150,"DDDD"))</f>
        <v>Tuesday</v>
      </c>
      <c r="T150" s="93" t="s">
        <v>237</v>
      </c>
      <c r="U150" s="94" t="s">
        <v>444</v>
      </c>
      <c r="W150" s="95">
        <v>0</v>
      </c>
      <c r="X150" s="96"/>
      <c r="Y150" s="97">
        <f>IF(M150="","",M150)</f>
        <v>46063</v>
      </c>
      <c r="Z150" s="98" t="str">
        <f>SUBSTITUTE('Digitas UK Task 26'!$O150, "Complet", "Not Requir")</f>
        <v>Not Required</v>
      </c>
      <c r="AA150" s="98" t="str">
        <f>IF(G150="","",G150)</f>
        <v>RE: URGENT - Cathay Pacific trafficking - DIG AUDIO</v>
      </c>
      <c r="AB150" s="99"/>
      <c r="AF150" s="84" t="str">
        <f>IF(AD150="","",WEEKNUM(AD150))</f>
        <v/>
      </c>
      <c r="AH150" s="84" t="str">
        <f t="shared" si="143"/>
        <v>PL_0_CR_0_AD_0_Jira_0_</v>
      </c>
      <c r="AI150" s="84" t="str">
        <f t="shared" si="144"/>
        <v/>
      </c>
      <c r="AJ150" s="84" t="str">
        <f>IF(Z150&lt;&gt;"Done","",(_xlfn.CONCAT("PL_",DigitasUKAdOp_26Team[[#This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51" spans="1:36" ht="15.75" customHeight="1" x14ac:dyDescent="0.3">
      <c r="A151" s="85" t="str">
        <f t="shared" si="171"/>
        <v>Feb : Tuesday</v>
      </c>
      <c r="B151" s="86">
        <v>46063</v>
      </c>
      <c r="C151" s="87" t="s">
        <v>325</v>
      </c>
      <c r="D151" s="88" t="s">
        <v>555</v>
      </c>
      <c r="E151" s="87" t="s">
        <v>428</v>
      </c>
      <c r="F151" s="88" t="s">
        <v>450</v>
      </c>
      <c r="G151" s="88" t="s">
        <v>554</v>
      </c>
      <c r="H151" s="87" t="s">
        <v>443</v>
      </c>
      <c r="I151" s="87" t="s">
        <v>237</v>
      </c>
      <c r="J151" s="88">
        <v>0</v>
      </c>
      <c r="K151" s="88">
        <v>0</v>
      </c>
      <c r="L151" s="88">
        <v>0</v>
      </c>
      <c r="M151" s="89">
        <v>46063</v>
      </c>
      <c r="N151" s="88">
        <v>1</v>
      </c>
      <c r="O151" s="90" t="s">
        <v>432</v>
      </c>
      <c r="Q151" s="91">
        <f>IF(B151="","",WEEKNUM(B151))</f>
        <v>7</v>
      </c>
      <c r="R151" s="91" t="str">
        <f>IF(B151="","",TEXT(B151,"MMM"))</f>
        <v>Feb</v>
      </c>
      <c r="S151" s="92" t="str">
        <f>IF(B151="","",TEXT(B151,"DDDD"))</f>
        <v>Tuesday</v>
      </c>
      <c r="T151" s="93" t="s">
        <v>237</v>
      </c>
      <c r="U151" s="94" t="s">
        <v>444</v>
      </c>
      <c r="W151" s="95">
        <v>0</v>
      </c>
      <c r="X151" s="96"/>
      <c r="Y151" s="97">
        <f>IF(M151="","",M151)</f>
        <v>46063</v>
      </c>
      <c r="Z151" s="98" t="str">
        <f>SUBSTITUTE('Digitas UK Task 26'!$O151, "Complet", "Not Requir")</f>
        <v>Not Required</v>
      </c>
      <c r="AA151" s="98" t="str">
        <f>IF(G151="","",G151)</f>
        <v>RE: URGENT - Cathay Pacific trafficking - DIG AUDIO</v>
      </c>
      <c r="AB151" s="99"/>
      <c r="AF151" s="84" t="str">
        <f>IF(AD151="","",WEEKNUM(AD151))</f>
        <v/>
      </c>
      <c r="AH151" s="84" t="str">
        <f t="shared" si="143"/>
        <v>PL_0_CR_0_AD_0_Jira_0_</v>
      </c>
      <c r="AI151" s="84" t="str">
        <f t="shared" si="144"/>
        <v/>
      </c>
      <c r="AJ151" s="84" t="str">
        <f>IF(Z151&lt;&gt;"Done","",(_xlfn.CONCAT("PL_",DigitasUKAdOp_26Team[[#This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52" spans="1:36" ht="15.75" customHeight="1" x14ac:dyDescent="0.3">
      <c r="A152" s="85" t="str">
        <f t="shared" si="171"/>
        <v>Feb : Tuesday</v>
      </c>
      <c r="B152" s="86">
        <v>46063</v>
      </c>
      <c r="C152" s="87" t="s">
        <v>334</v>
      </c>
      <c r="D152" s="88" t="s">
        <v>496</v>
      </c>
      <c r="E152" s="87" t="s">
        <v>428</v>
      </c>
      <c r="F152" s="88" t="s">
        <v>450</v>
      </c>
      <c r="G152" s="88" t="s">
        <v>546</v>
      </c>
      <c r="H152" s="87" t="s">
        <v>443</v>
      </c>
      <c r="I152" s="87" t="s">
        <v>250</v>
      </c>
      <c r="J152" s="88">
        <v>0</v>
      </c>
      <c r="K152" s="88">
        <v>0</v>
      </c>
      <c r="L152" s="88">
        <v>0</v>
      </c>
      <c r="M152" s="89">
        <v>46063</v>
      </c>
      <c r="N152" s="88">
        <v>1</v>
      </c>
      <c r="O152" s="90" t="s">
        <v>432</v>
      </c>
      <c r="Q152" s="91">
        <f t="shared" si="166"/>
        <v>7</v>
      </c>
      <c r="R152" s="91" t="str">
        <f t="shared" si="167"/>
        <v>Feb</v>
      </c>
      <c r="S152" s="92" t="str">
        <f t="shared" si="168"/>
        <v>Tuesday</v>
      </c>
      <c r="T152" s="93" t="s">
        <v>250</v>
      </c>
      <c r="U152" s="94" t="s">
        <v>444</v>
      </c>
      <c r="W152" s="95">
        <v>0</v>
      </c>
      <c r="X152" s="96"/>
      <c r="Y152" s="97">
        <f t="shared" si="100"/>
        <v>46063</v>
      </c>
      <c r="Z152" s="98" t="str">
        <f>SUBSTITUTE('Digitas UK Task 26'!$O152, "Complet", "Not Requir")</f>
        <v>Not Required</v>
      </c>
      <c r="AA152" s="98" t="str">
        <f t="shared" si="150"/>
        <v>RE: Klaviyo EMEA - Trafficking Request - Mailchimp HTML - Q4 2025</v>
      </c>
      <c r="AB152" s="99"/>
      <c r="AF152" s="84" t="str">
        <f t="shared" si="165"/>
        <v/>
      </c>
      <c r="AH152" s="84" t="str">
        <f t="shared" si="143"/>
        <v>PL_0_CR_0_AD_0_Jira_0_</v>
      </c>
      <c r="AI152" s="84" t="str">
        <f t="shared" si="144"/>
        <v/>
      </c>
      <c r="AJ152" s="84" t="str">
        <f>IF(Z152&lt;&gt;"Done","",(_xlfn.CONCAT("PL_",DigitasUKAdOp_26Team[[#This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53" spans="1:36" ht="15.75" customHeight="1" x14ac:dyDescent="0.3">
      <c r="A153" s="85" t="str">
        <f t="shared" si="171"/>
        <v>Feb : Tuesday</v>
      </c>
      <c r="B153" s="86">
        <v>46063</v>
      </c>
      <c r="C153" s="87" t="s">
        <v>318</v>
      </c>
      <c r="D153" s="88" t="s">
        <v>435</v>
      </c>
      <c r="E153" s="87" t="s">
        <v>428</v>
      </c>
      <c r="F153" s="88" t="s">
        <v>450</v>
      </c>
      <c r="G153" s="88" t="s">
        <v>550</v>
      </c>
      <c r="H153" s="87" t="s">
        <v>443</v>
      </c>
      <c r="I153" s="87" t="s">
        <v>250</v>
      </c>
      <c r="J153" s="88">
        <v>0</v>
      </c>
      <c r="K153" s="88">
        <v>0</v>
      </c>
      <c r="L153" s="88">
        <v>0</v>
      </c>
      <c r="M153" s="89">
        <v>46063</v>
      </c>
      <c r="N153" s="88">
        <v>1</v>
      </c>
      <c r="O153" s="90" t="s">
        <v>432</v>
      </c>
      <c r="Q153" s="91">
        <f t="shared" si="166"/>
        <v>7</v>
      </c>
      <c r="R153" s="91" t="str">
        <f t="shared" si="167"/>
        <v>Feb</v>
      </c>
      <c r="S153" s="92" t="str">
        <f t="shared" si="168"/>
        <v>Tuesday</v>
      </c>
      <c r="T153" s="93" t="s">
        <v>250</v>
      </c>
      <c r="U153" s="94" t="s">
        <v>444</v>
      </c>
      <c r="W153" s="95">
        <v>0</v>
      </c>
      <c r="X153" s="96"/>
      <c r="Y153" s="97">
        <f t="shared" si="100"/>
        <v>46063</v>
      </c>
      <c r="Z153" s="98" t="str">
        <f>SUBSTITUTE('Digitas UK Task 26'!$O153, "Complet", "Not Requir")</f>
        <v>Not Required</v>
      </c>
      <c r="AA153" s="98" t="str">
        <f t="shared" si="150"/>
        <v>RE: WELLA | FY26Q3 ULTIMATE COLOR - ITALY | TAG REQUEST</v>
      </c>
      <c r="AB153" s="99"/>
      <c r="AF153" s="84" t="str">
        <f t="shared" si="165"/>
        <v/>
      </c>
      <c r="AH153" s="84" t="str">
        <f t="shared" si="143"/>
        <v>PL_0_CR_0_AD_0_Jira_0_</v>
      </c>
      <c r="AI153" s="84" t="str">
        <f t="shared" si="144"/>
        <v/>
      </c>
      <c r="AJ153" s="84" t="str">
        <f>IF(Z153&lt;&gt;"Done","",(_xlfn.CONCAT("PL_",DigitasUKAdOp_26Team[[#This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54" spans="1:36" ht="15.75" customHeight="1" x14ac:dyDescent="0.3">
      <c r="A154" s="85" t="str">
        <f t="shared" ref="A154" si="172">IF(B154="","",TEXT(B154,"MMM : DDDD"))</f>
        <v>Feb : Tuesday</v>
      </c>
      <c r="B154" s="86">
        <v>46063</v>
      </c>
      <c r="C154" s="87" t="s">
        <v>318</v>
      </c>
      <c r="D154" s="88" t="s">
        <v>435</v>
      </c>
      <c r="E154" s="87" t="s">
        <v>428</v>
      </c>
      <c r="F154" s="88" t="s">
        <v>549</v>
      </c>
      <c r="G154" s="88" t="s">
        <v>550</v>
      </c>
      <c r="H154" s="87" t="s">
        <v>443</v>
      </c>
      <c r="I154" s="87" t="s">
        <v>250</v>
      </c>
      <c r="J154" s="88">
        <v>0</v>
      </c>
      <c r="K154" s="88">
        <v>0</v>
      </c>
      <c r="L154" s="88">
        <v>0</v>
      </c>
      <c r="M154" s="89">
        <v>46063</v>
      </c>
      <c r="N154" s="88">
        <v>1</v>
      </c>
      <c r="O154" s="90" t="s">
        <v>432</v>
      </c>
      <c r="Q154" s="91">
        <f t="shared" ref="Q154" si="173">IF(B154="","",WEEKNUM(B154))</f>
        <v>7</v>
      </c>
      <c r="R154" s="91" t="str">
        <f t="shared" ref="R154" si="174">IF(B154="","",TEXT(B154,"MMM"))</f>
        <v>Feb</v>
      </c>
      <c r="S154" s="92" t="str">
        <f t="shared" ref="S154" si="175">IF(B154="","",TEXT(B154,"DDDD"))</f>
        <v>Tuesday</v>
      </c>
      <c r="T154" s="93" t="s">
        <v>250</v>
      </c>
      <c r="U154" s="94" t="s">
        <v>444</v>
      </c>
      <c r="W154" s="95">
        <v>0</v>
      </c>
      <c r="X154" s="96"/>
      <c r="Y154" s="97">
        <f t="shared" si="100"/>
        <v>46063</v>
      </c>
      <c r="Z154" s="98" t="str">
        <f>SUBSTITUTE('Digitas UK Task 26'!$O154, "Complet", "Not Requir")</f>
        <v>Not Required</v>
      </c>
      <c r="AA154" s="98" t="str">
        <f t="shared" si="150"/>
        <v>RE: WELLA | FY26Q3 ULTIMATE COLOR - ITALY | TAG REQUEST</v>
      </c>
      <c r="AB154" s="99"/>
      <c r="AF154" s="84" t="str">
        <f t="shared" si="165"/>
        <v/>
      </c>
      <c r="AH154" s="84" t="str">
        <f t="shared" si="143"/>
        <v>PL_0_CR_0_AD_0_Jira_0_</v>
      </c>
      <c r="AI154" s="84" t="str">
        <f t="shared" si="144"/>
        <v/>
      </c>
      <c r="AJ154" s="84" t="str">
        <f>IF(Z154&lt;&gt;"Done","",(_xlfn.CONCAT("PL_",DigitasUKAdOp_26Team[[#This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55" spans="1:36" ht="15.75" customHeight="1" x14ac:dyDescent="0.3">
      <c r="A155" s="85" t="str">
        <f t="shared" si="169"/>
        <v>Feb : Wednesday</v>
      </c>
      <c r="B155" s="86">
        <v>46064</v>
      </c>
      <c r="C155" s="87" t="s">
        <v>325</v>
      </c>
      <c r="D155" s="88" t="s">
        <v>555</v>
      </c>
      <c r="E155" s="87" t="s">
        <v>428</v>
      </c>
      <c r="F155" s="88" t="s">
        <v>556</v>
      </c>
      <c r="G155" s="88" t="s">
        <v>554</v>
      </c>
      <c r="H155" s="87" t="s">
        <v>269</v>
      </c>
      <c r="I155" s="87" t="s">
        <v>237</v>
      </c>
      <c r="J155" s="88">
        <v>40</v>
      </c>
      <c r="K155" s="88">
        <v>40</v>
      </c>
      <c r="L155" s="88">
        <v>40</v>
      </c>
      <c r="M155" s="89">
        <v>46064</v>
      </c>
      <c r="N155" s="88">
        <v>1.5</v>
      </c>
      <c r="O155" s="90" t="s">
        <v>432</v>
      </c>
      <c r="Q155" s="91">
        <f t="shared" si="166"/>
        <v>7</v>
      </c>
      <c r="R155" s="91" t="str">
        <f t="shared" si="167"/>
        <v>Feb</v>
      </c>
      <c r="S155" s="92" t="str">
        <f t="shared" si="168"/>
        <v>Wednesday</v>
      </c>
      <c r="T155" s="93" t="s">
        <v>250</v>
      </c>
      <c r="U155" s="94" t="s">
        <v>433</v>
      </c>
      <c r="V155" s="95" t="s">
        <v>557</v>
      </c>
      <c r="W155" s="95">
        <v>1</v>
      </c>
      <c r="X155" s="96"/>
      <c r="Y155" s="97">
        <f t="shared" si="100"/>
        <v>46064</v>
      </c>
      <c r="Z155" s="98" t="str">
        <f>SUBSTITUTE('Digitas UK Task 26'!$O155, "Complet", "Not Requir")</f>
        <v>Not Required</v>
      </c>
      <c r="AA155" s="98" t="str">
        <f t="shared" si="150"/>
        <v>RE: URGENT - Cathay Pacific trafficking - DIG AUDIO</v>
      </c>
      <c r="AB155" s="99"/>
      <c r="AF155" s="84" t="str">
        <f t="shared" si="165"/>
        <v/>
      </c>
      <c r="AH155" s="84" t="str">
        <f t="shared" si="143"/>
        <v>PL_40_CR_40_AD_40_Jira_0_</v>
      </c>
      <c r="AI155" s="84" t="str">
        <f t="shared" si="144"/>
        <v>PL_40_CR_40_AD_40_Jira_0_</v>
      </c>
      <c r="AJ155" s="84" t="str">
        <f>IF(Z155&lt;&gt;"Done","",(_xlfn.CONCAT("PL_",DigitasUKAdOp_26Team[[#This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56" spans="1:36" ht="15.75" customHeight="1" x14ac:dyDescent="0.3">
      <c r="A156" s="85" t="str">
        <f t="shared" si="169"/>
        <v>Feb : Wednesday</v>
      </c>
      <c r="B156" s="86">
        <v>46064</v>
      </c>
      <c r="C156" s="87" t="s">
        <v>318</v>
      </c>
      <c r="D156" s="88" t="s">
        <v>537</v>
      </c>
      <c r="E156" s="87" t="s">
        <v>428</v>
      </c>
      <c r="F156" s="88" t="s">
        <v>558</v>
      </c>
      <c r="G156" s="88" t="s">
        <v>484</v>
      </c>
      <c r="H156" s="87" t="s">
        <v>269</v>
      </c>
      <c r="I156" s="87" t="s">
        <v>431</v>
      </c>
      <c r="J156" s="88">
        <v>1</v>
      </c>
      <c r="K156" s="88">
        <v>1</v>
      </c>
      <c r="L156" s="88">
        <v>1</v>
      </c>
      <c r="M156" s="89">
        <v>46064</v>
      </c>
      <c r="N156" s="88">
        <v>0.5</v>
      </c>
      <c r="O156" s="90" t="s">
        <v>432</v>
      </c>
      <c r="Q156" s="91">
        <f t="shared" si="166"/>
        <v>7</v>
      </c>
      <c r="R156" s="91" t="str">
        <f t="shared" si="167"/>
        <v>Feb</v>
      </c>
      <c r="S156" s="92" t="str">
        <f t="shared" si="168"/>
        <v>Wednesday</v>
      </c>
      <c r="T156" s="93" t="s">
        <v>246</v>
      </c>
      <c r="U156" s="94" t="s">
        <v>433</v>
      </c>
      <c r="W156" s="95">
        <v>0.25</v>
      </c>
      <c r="X156" s="96"/>
      <c r="Y156" s="97">
        <f t="shared" si="100"/>
        <v>46064</v>
      </c>
      <c r="Z156" s="98" t="str">
        <f>SUBSTITUTE('Digitas UK Task 26'!$O156, "Complet", "Not Requir")</f>
        <v>Not Required</v>
      </c>
      <c r="AA156" s="98" t="str">
        <f t="shared" si="150"/>
        <v>RE: WELLA | FY26Q3 NNE - UK | TAG REQUEST</v>
      </c>
      <c r="AB156" s="99"/>
      <c r="AF156" s="84" t="str">
        <f t="shared" si="165"/>
        <v/>
      </c>
      <c r="AH156" s="84" t="str">
        <f t="shared" si="143"/>
        <v>PL_1_CR_1_AD_1_Jira_0_</v>
      </c>
      <c r="AI156" s="84" t="str">
        <f t="shared" si="144"/>
        <v>PL_1_CR_1_AD_1_Jira_0_</v>
      </c>
      <c r="AJ156" s="84" t="str">
        <f>IF(Z156&lt;&gt;"Done","",(_xlfn.CONCAT("PL_",DigitasUKAdOp_26Team[[#This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57" spans="1:36" ht="15.75" customHeight="1" x14ac:dyDescent="0.3">
      <c r="A157" s="85" t="str">
        <f t="shared" ref="A157:A161" si="176">IF(B157="","",TEXT(B157,"MMM : DDDD"))</f>
        <v>Feb : Wednesday</v>
      </c>
      <c r="B157" s="86">
        <v>46064</v>
      </c>
      <c r="C157" s="87" t="s">
        <v>318</v>
      </c>
      <c r="D157" s="88" t="s">
        <v>537</v>
      </c>
      <c r="E157" s="87" t="s">
        <v>428</v>
      </c>
      <c r="F157" s="88" t="s">
        <v>559</v>
      </c>
      <c r="G157" s="88" t="s">
        <v>484</v>
      </c>
      <c r="H157" s="87" t="s">
        <v>269</v>
      </c>
      <c r="I157" s="87" t="s">
        <v>431</v>
      </c>
      <c r="J157" s="88">
        <v>14</v>
      </c>
      <c r="K157" s="88">
        <v>14</v>
      </c>
      <c r="L157" s="88">
        <v>14</v>
      </c>
      <c r="M157" s="89">
        <v>46064</v>
      </c>
      <c r="N157" s="88">
        <v>1.25</v>
      </c>
      <c r="O157" s="90" t="s">
        <v>432</v>
      </c>
      <c r="Q157" s="91">
        <f t="shared" si="166"/>
        <v>7</v>
      </c>
      <c r="R157" s="91" t="str">
        <f t="shared" si="167"/>
        <v>Feb</v>
      </c>
      <c r="S157" s="92" t="str">
        <f t="shared" si="168"/>
        <v>Wednesday</v>
      </c>
      <c r="T157" s="93" t="s">
        <v>246</v>
      </c>
      <c r="U157" s="94" t="s">
        <v>433</v>
      </c>
      <c r="W157" s="95">
        <v>0.75</v>
      </c>
      <c r="X157" s="96"/>
      <c r="Y157" s="97">
        <f t="shared" si="100"/>
        <v>46064</v>
      </c>
      <c r="Z157" s="98" t="str">
        <f>SUBSTITUTE('Digitas UK Task 26'!$O157, "Complet", "Not Requir")</f>
        <v>Not Required</v>
      </c>
      <c r="AA157" s="98" t="str">
        <f t="shared" si="150"/>
        <v>RE: WELLA | FY26Q3 NNE - UK | TAG REQUEST</v>
      </c>
      <c r="AB157" s="99"/>
      <c r="AF157" s="84" t="str">
        <f t="shared" si="165"/>
        <v/>
      </c>
      <c r="AH157" s="84" t="str">
        <f t="shared" si="143"/>
        <v>PL_14_CR_14_AD_14_Jira_0_</v>
      </c>
      <c r="AI157" s="84" t="str">
        <f t="shared" si="144"/>
        <v>PL_14_CR_14_AD_14_Jira_0_</v>
      </c>
      <c r="AJ157" s="84" t="str">
        <f>IF(Z157&lt;&gt;"Done","",(_xlfn.CONCAT("PL_",DigitasUKAdOp_26Team[[#This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58" spans="1:36" ht="15.75" customHeight="1" x14ac:dyDescent="0.3">
      <c r="A158" s="85" t="str">
        <f t="shared" si="176"/>
        <v>Feb : Wednesday</v>
      </c>
      <c r="B158" s="86">
        <v>46064</v>
      </c>
      <c r="C158" s="87" t="s">
        <v>318</v>
      </c>
      <c r="D158" s="88" t="s">
        <v>537</v>
      </c>
      <c r="E158" s="87" t="s">
        <v>428</v>
      </c>
      <c r="F158" s="88" t="s">
        <v>560</v>
      </c>
      <c r="G158" s="88" t="s">
        <v>484</v>
      </c>
      <c r="H158" s="87" t="s">
        <v>269</v>
      </c>
      <c r="I158" s="87" t="s">
        <v>246</v>
      </c>
      <c r="J158" s="88">
        <v>1</v>
      </c>
      <c r="K158" s="88">
        <v>1</v>
      </c>
      <c r="L158" s="88">
        <v>1</v>
      </c>
      <c r="M158" s="89">
        <v>46064</v>
      </c>
      <c r="N158" s="88">
        <v>0.25</v>
      </c>
      <c r="O158" s="90" t="s">
        <v>432</v>
      </c>
      <c r="Q158" s="91">
        <f t="shared" si="166"/>
        <v>7</v>
      </c>
      <c r="R158" s="91" t="str">
        <f t="shared" si="167"/>
        <v>Feb</v>
      </c>
      <c r="S158" s="92" t="str">
        <f t="shared" si="168"/>
        <v>Wednesday</v>
      </c>
      <c r="T158" s="93" t="s">
        <v>250</v>
      </c>
      <c r="U158" s="94" t="s">
        <v>433</v>
      </c>
      <c r="W158" s="95">
        <v>0.25</v>
      </c>
      <c r="X158" s="96"/>
      <c r="Y158" s="97">
        <f t="shared" si="100"/>
        <v>46064</v>
      </c>
      <c r="Z158" s="98" t="str">
        <f>SUBSTITUTE('Digitas UK Task 26'!$O158, "Complet", "Not Requir")</f>
        <v>Not Required</v>
      </c>
      <c r="AA158" s="98" t="str">
        <f t="shared" si="150"/>
        <v>RE: WELLA | FY26Q3 NNE - UK | TAG REQUEST</v>
      </c>
      <c r="AB158" s="99"/>
      <c r="AF158" s="84" t="str">
        <f t="shared" si="165"/>
        <v/>
      </c>
      <c r="AH158" s="84" t="str">
        <f t="shared" si="143"/>
        <v>PL_1_CR_1_AD_1_Jira_0_</v>
      </c>
      <c r="AI158" s="84" t="str">
        <f t="shared" si="144"/>
        <v>PL_1_CR_1_AD_1_Jira_0_</v>
      </c>
      <c r="AJ158" s="84" t="str">
        <f>IF(Z158&lt;&gt;"Done","",(_xlfn.CONCAT("PL_",DigitasUKAdOp_26Team[[#This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59" spans="1:36" ht="15.75" customHeight="1" x14ac:dyDescent="0.3">
      <c r="A159" s="85" t="str">
        <f t="shared" si="176"/>
        <v>Feb : Wednesday</v>
      </c>
      <c r="B159" s="86">
        <v>46064</v>
      </c>
      <c r="C159" s="87" t="s">
        <v>318</v>
      </c>
      <c r="D159" s="88" t="s">
        <v>537</v>
      </c>
      <c r="E159" s="87" t="s">
        <v>428</v>
      </c>
      <c r="F159" s="88" t="s">
        <v>561</v>
      </c>
      <c r="G159" s="88" t="s">
        <v>484</v>
      </c>
      <c r="H159" s="87" t="s">
        <v>269</v>
      </c>
      <c r="I159" s="87" t="s">
        <v>246</v>
      </c>
      <c r="J159" s="88">
        <v>2</v>
      </c>
      <c r="K159" s="88">
        <v>2</v>
      </c>
      <c r="L159" s="88">
        <v>2</v>
      </c>
      <c r="M159" s="89">
        <v>46064</v>
      </c>
      <c r="N159" s="88">
        <v>0.25</v>
      </c>
      <c r="O159" s="90" t="s">
        <v>432</v>
      </c>
      <c r="Q159" s="91">
        <f t="shared" si="166"/>
        <v>7</v>
      </c>
      <c r="R159" s="91" t="str">
        <f t="shared" si="167"/>
        <v>Feb</v>
      </c>
      <c r="S159" s="92" t="str">
        <f t="shared" si="168"/>
        <v>Wednesday</v>
      </c>
      <c r="T159" s="93" t="s">
        <v>250</v>
      </c>
      <c r="U159" s="94" t="s">
        <v>433</v>
      </c>
      <c r="W159" s="95">
        <v>0.25</v>
      </c>
      <c r="X159" s="96"/>
      <c r="Y159" s="97">
        <f t="shared" ref="Y159:Y221" si="177">IF(M159="","",M159)</f>
        <v>46064</v>
      </c>
      <c r="Z159" s="98" t="str">
        <f>SUBSTITUTE('Digitas UK Task 26'!$O159, "Complet", "Not Requir")</f>
        <v>Not Required</v>
      </c>
      <c r="AA159" s="98" t="str">
        <f t="shared" si="150"/>
        <v>RE: WELLA | FY26Q3 NNE - UK | TAG REQUEST</v>
      </c>
      <c r="AB159" s="99"/>
      <c r="AF159" s="84" t="str">
        <f t="shared" si="165"/>
        <v/>
      </c>
      <c r="AH159" s="84" t="str">
        <f t="shared" si="143"/>
        <v>PL_2_CR_2_AD_2_Jira_0_</v>
      </c>
      <c r="AI159" s="84" t="str">
        <f t="shared" si="144"/>
        <v>PL_2_CR_2_AD_2_Jira_0_</v>
      </c>
      <c r="AJ159" s="84" t="str">
        <f>IF(Z159&lt;&gt;"Done","",(_xlfn.CONCAT("PL_",DigitasUKAdOp_26Team[[#This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60" spans="1:36" ht="15.75" customHeight="1" x14ac:dyDescent="0.3">
      <c r="A160" s="85" t="str">
        <f t="shared" si="176"/>
        <v>Feb : Wednesday</v>
      </c>
      <c r="B160" s="86">
        <v>46064</v>
      </c>
      <c r="C160" s="87" t="s">
        <v>318</v>
      </c>
      <c r="D160" s="88" t="s">
        <v>537</v>
      </c>
      <c r="E160" s="87" t="s">
        <v>428</v>
      </c>
      <c r="F160" s="88" t="s">
        <v>562</v>
      </c>
      <c r="G160" s="88" t="s">
        <v>484</v>
      </c>
      <c r="H160" s="87" t="s">
        <v>269</v>
      </c>
      <c r="I160" s="87" t="s">
        <v>250</v>
      </c>
      <c r="J160" s="88">
        <v>1</v>
      </c>
      <c r="K160" s="88">
        <v>1</v>
      </c>
      <c r="L160" s="88">
        <v>1</v>
      </c>
      <c r="M160" s="89">
        <v>46064</v>
      </c>
      <c r="N160" s="88">
        <v>0.25</v>
      </c>
      <c r="O160" s="90" t="s">
        <v>432</v>
      </c>
      <c r="Q160" s="91">
        <f t="shared" si="166"/>
        <v>7</v>
      </c>
      <c r="R160" s="91" t="str">
        <f t="shared" si="167"/>
        <v>Feb</v>
      </c>
      <c r="S160" s="92" t="str">
        <f t="shared" si="168"/>
        <v>Wednesday</v>
      </c>
      <c r="T160" s="93" t="s">
        <v>237</v>
      </c>
      <c r="U160" s="94" t="s">
        <v>433</v>
      </c>
      <c r="W160" s="95">
        <v>0.25</v>
      </c>
      <c r="X160" s="96"/>
      <c r="Y160" s="97">
        <f t="shared" si="177"/>
        <v>46064</v>
      </c>
      <c r="Z160" s="98" t="str">
        <f>SUBSTITUTE('Digitas UK Task 26'!$O160, "Complet", "Not Requir")</f>
        <v>Not Required</v>
      </c>
      <c r="AA160" s="98" t="str">
        <f t="shared" si="150"/>
        <v>RE: WELLA | FY26Q3 NNE - UK | TAG REQUEST</v>
      </c>
      <c r="AB160" s="99"/>
      <c r="AF160" s="84" t="str">
        <f t="shared" si="165"/>
        <v/>
      </c>
      <c r="AH160" s="84" t="str">
        <f t="shared" si="143"/>
        <v>PL_1_CR_1_AD_1_Jira_0_</v>
      </c>
      <c r="AI160" s="84" t="str">
        <f t="shared" si="144"/>
        <v>PL_1_CR_1_AD_1_Jira_0_</v>
      </c>
      <c r="AJ160" s="84" t="str">
        <f>IF(Z160&lt;&gt;"Done","",(_xlfn.CONCAT("PL_",DigitasUKAdOp_26Team[[#This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61" spans="1:36" ht="15.75" customHeight="1" x14ac:dyDescent="0.3">
      <c r="A161" s="85" t="str">
        <f t="shared" si="176"/>
        <v>Feb : Wednesday</v>
      </c>
      <c r="B161" s="86">
        <v>46064</v>
      </c>
      <c r="C161" s="87" t="s">
        <v>318</v>
      </c>
      <c r="D161" s="88" t="s">
        <v>537</v>
      </c>
      <c r="E161" s="87" t="s">
        <v>428</v>
      </c>
      <c r="F161" s="88" t="s">
        <v>563</v>
      </c>
      <c r="G161" s="88" t="s">
        <v>484</v>
      </c>
      <c r="H161" s="87" t="s">
        <v>269</v>
      </c>
      <c r="I161" s="87" t="s">
        <v>250</v>
      </c>
      <c r="J161" s="88">
        <v>1</v>
      </c>
      <c r="K161" s="88">
        <v>1</v>
      </c>
      <c r="L161" s="88">
        <v>1</v>
      </c>
      <c r="M161" s="89">
        <v>46064</v>
      </c>
      <c r="N161" s="88">
        <v>0.25</v>
      </c>
      <c r="O161" s="90" t="s">
        <v>432</v>
      </c>
      <c r="Q161" s="91">
        <f t="shared" si="166"/>
        <v>7</v>
      </c>
      <c r="R161" s="91" t="str">
        <f t="shared" si="167"/>
        <v>Feb</v>
      </c>
      <c r="S161" s="92" t="str">
        <f t="shared" si="168"/>
        <v>Wednesday</v>
      </c>
      <c r="T161" s="93" t="s">
        <v>237</v>
      </c>
      <c r="U161" s="94" t="s">
        <v>433</v>
      </c>
      <c r="W161" s="95">
        <v>0.25</v>
      </c>
      <c r="X161" s="96"/>
      <c r="Y161" s="97">
        <f t="shared" si="177"/>
        <v>46064</v>
      </c>
      <c r="Z161" s="98" t="str">
        <f>SUBSTITUTE('Digitas UK Task 26'!$O161, "Complet", "Not Requir")</f>
        <v>Not Required</v>
      </c>
      <c r="AA161" s="98" t="str">
        <f t="shared" si="150"/>
        <v>RE: WELLA | FY26Q3 NNE - UK | TAG REQUEST</v>
      </c>
      <c r="AB161" s="99"/>
      <c r="AF161" s="84" t="str">
        <f t="shared" si="165"/>
        <v/>
      </c>
      <c r="AH161" s="84" t="str">
        <f t="shared" si="143"/>
        <v>PL_1_CR_1_AD_1_Jira_0_</v>
      </c>
      <c r="AI161" s="84" t="str">
        <f t="shared" si="144"/>
        <v>PL_1_CR_1_AD_1_Jira_0_</v>
      </c>
      <c r="AJ161" s="84" t="str">
        <f>IF(Z161&lt;&gt;"Done","",(_xlfn.CONCAT("PL_",DigitasUKAdOp_26Team[[#This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62" spans="1:36" ht="15.75" customHeight="1" x14ac:dyDescent="0.3">
      <c r="A162" s="85" t="str">
        <f t="shared" si="169"/>
        <v>Feb : Wednesday</v>
      </c>
      <c r="B162" s="86">
        <v>46064</v>
      </c>
      <c r="C162" s="87" t="s">
        <v>318</v>
      </c>
      <c r="D162" s="88" t="s">
        <v>537</v>
      </c>
      <c r="E162" s="87" t="s">
        <v>428</v>
      </c>
      <c r="F162" s="88" t="s">
        <v>564</v>
      </c>
      <c r="G162" s="88" t="s">
        <v>484</v>
      </c>
      <c r="H162" s="87" t="s">
        <v>269</v>
      </c>
      <c r="I162" s="87" t="s">
        <v>250</v>
      </c>
      <c r="J162" s="88">
        <v>1</v>
      </c>
      <c r="K162" s="88">
        <v>1</v>
      </c>
      <c r="L162" s="88">
        <v>1</v>
      </c>
      <c r="M162" s="89">
        <v>46064</v>
      </c>
      <c r="N162" s="88">
        <v>0.25</v>
      </c>
      <c r="O162" s="90" t="s">
        <v>432</v>
      </c>
      <c r="Q162" s="91">
        <f t="shared" si="166"/>
        <v>7</v>
      </c>
      <c r="R162" s="91" t="str">
        <f t="shared" si="167"/>
        <v>Feb</v>
      </c>
      <c r="S162" s="92" t="str">
        <f t="shared" si="168"/>
        <v>Wednesday</v>
      </c>
      <c r="T162" s="93" t="s">
        <v>237</v>
      </c>
      <c r="U162" s="94" t="s">
        <v>433</v>
      </c>
      <c r="W162" s="95">
        <v>0.25</v>
      </c>
      <c r="X162" s="96"/>
      <c r="Y162" s="97">
        <f t="shared" si="177"/>
        <v>46064</v>
      </c>
      <c r="Z162" s="98" t="str">
        <f>SUBSTITUTE('Digitas UK Task 26'!$O162, "Complet", "Not Requir")</f>
        <v>Not Required</v>
      </c>
      <c r="AA162" s="98" t="str">
        <f t="shared" si="150"/>
        <v>RE: WELLA | FY26Q3 NNE - UK | TAG REQUEST</v>
      </c>
      <c r="AB162" s="99"/>
      <c r="AF162" s="84" t="str">
        <f t="shared" si="165"/>
        <v/>
      </c>
      <c r="AH162" s="84" t="str">
        <f t="shared" si="143"/>
        <v>PL_1_CR_1_AD_1_Jira_0_</v>
      </c>
      <c r="AI162" s="84" t="str">
        <f t="shared" si="144"/>
        <v>PL_1_CR_1_AD_1_Jira_0_</v>
      </c>
      <c r="AJ162" s="84" t="str">
        <f>IF(Z162&lt;&gt;"Done","",(_xlfn.CONCAT("PL_",DigitasUKAdOp_26Team[[#This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63" spans="1:36" ht="15.75" customHeight="1" x14ac:dyDescent="0.3">
      <c r="A163" s="85" t="str">
        <f>IF(B163="","",TEXT(B163,"MMM : DDDD"))</f>
        <v>Feb : Wednesday</v>
      </c>
      <c r="B163" s="86">
        <v>46064</v>
      </c>
      <c r="C163" s="87" t="s">
        <v>325</v>
      </c>
      <c r="D163" s="88" t="s">
        <v>555</v>
      </c>
      <c r="E163" s="87" t="s">
        <v>428</v>
      </c>
      <c r="F163" s="88" t="s">
        <v>450</v>
      </c>
      <c r="G163" s="88" t="s">
        <v>554</v>
      </c>
      <c r="H163" s="87" t="s">
        <v>443</v>
      </c>
      <c r="I163" s="87" t="s">
        <v>237</v>
      </c>
      <c r="J163" s="88">
        <v>0</v>
      </c>
      <c r="K163" s="88">
        <v>0</v>
      </c>
      <c r="L163" s="88">
        <v>0</v>
      </c>
      <c r="M163" s="89">
        <v>46064</v>
      </c>
      <c r="N163" s="88">
        <v>2</v>
      </c>
      <c r="O163" s="90" t="s">
        <v>432</v>
      </c>
      <c r="Q163" s="91">
        <f>IF(B163="","",WEEKNUM(B163))</f>
        <v>7</v>
      </c>
      <c r="R163" s="91" t="str">
        <f>IF(B163="","",TEXT(B163,"MMM"))</f>
        <v>Feb</v>
      </c>
      <c r="S163" s="92" t="str">
        <f>IF(B163="","",TEXT(B163,"DDDD"))</f>
        <v>Wednesday</v>
      </c>
      <c r="T163" s="93" t="s">
        <v>237</v>
      </c>
      <c r="U163" s="94" t="s">
        <v>444</v>
      </c>
      <c r="W163" s="95">
        <v>0</v>
      </c>
      <c r="X163" s="96"/>
      <c r="Y163" s="97">
        <f>IF(M163="","",M163)</f>
        <v>46064</v>
      </c>
      <c r="Z163" s="98" t="str">
        <f>SUBSTITUTE('Digitas UK Task 26'!$O163, "Complet", "Not Requir")</f>
        <v>Not Required</v>
      </c>
      <c r="AA163" s="98" t="str">
        <f>IF(G163="","",G163)</f>
        <v>RE: URGENT - Cathay Pacific trafficking - DIG AUDIO</v>
      </c>
      <c r="AB163" s="99"/>
      <c r="AF163" s="84" t="str">
        <f>IF(AD163="","",WEEKNUM(AD163))</f>
        <v/>
      </c>
      <c r="AH163" s="84" t="str">
        <f t="shared" si="143"/>
        <v>PL_0_CR_0_AD_0_Jira_0_</v>
      </c>
      <c r="AI163" s="84" t="str">
        <f t="shared" si="144"/>
        <v/>
      </c>
      <c r="AJ163" s="84" t="str">
        <f>IF(Z163&lt;&gt;"Done","",(_xlfn.CONCAT("PL_",DigitasUKAdOp_26Team[[#This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64" spans="1:36" ht="15.75" customHeight="1" x14ac:dyDescent="0.3">
      <c r="A164" s="85" t="str">
        <f t="shared" si="169"/>
        <v>Feb : Thursday</v>
      </c>
      <c r="B164" s="86">
        <v>46065</v>
      </c>
      <c r="C164" s="87" t="s">
        <v>325</v>
      </c>
      <c r="D164" s="88" t="s">
        <v>481</v>
      </c>
      <c r="E164" s="87" t="s">
        <v>428</v>
      </c>
      <c r="F164" s="88" t="s">
        <v>565</v>
      </c>
      <c r="G164" s="88" t="s">
        <v>566</v>
      </c>
      <c r="H164" s="87" t="s">
        <v>443</v>
      </c>
      <c r="I164" s="87" t="s">
        <v>237</v>
      </c>
      <c r="J164" s="88">
        <v>0</v>
      </c>
      <c r="K164" s="88">
        <v>0</v>
      </c>
      <c r="L164" s="88">
        <v>0</v>
      </c>
      <c r="M164" s="89">
        <v>46064</v>
      </c>
      <c r="N164" s="88">
        <v>2</v>
      </c>
      <c r="O164" s="90" t="s">
        <v>432</v>
      </c>
      <c r="Q164" s="91">
        <f t="shared" si="166"/>
        <v>7</v>
      </c>
      <c r="R164" s="91" t="str">
        <f t="shared" si="167"/>
        <v>Feb</v>
      </c>
      <c r="S164" s="92" t="str">
        <f t="shared" si="168"/>
        <v>Thursday</v>
      </c>
      <c r="T164" s="93" t="s">
        <v>250</v>
      </c>
      <c r="U164" s="94" t="s">
        <v>433</v>
      </c>
      <c r="V164" s="95" t="s">
        <v>567</v>
      </c>
      <c r="W164" s="95">
        <v>1</v>
      </c>
      <c r="X164" s="96"/>
      <c r="Y164" s="97">
        <f t="shared" si="177"/>
        <v>46064</v>
      </c>
      <c r="Z164" s="98" t="str">
        <f>SUBSTITUTE('Digitas UK Task 26'!$O164, "Complet", "Not Requir")</f>
        <v>Not Required</v>
      </c>
      <c r="AA164" s="98" t="str">
        <f t="shared" si="150"/>
        <v>Choose Cathay Trafficking Request</v>
      </c>
      <c r="AB164" s="99"/>
      <c r="AF164" s="84" t="str">
        <f t="shared" si="165"/>
        <v/>
      </c>
      <c r="AH164" s="84" t="str">
        <f t="shared" si="143"/>
        <v>PL_0_CR_0_AD_0_Jira_0_</v>
      </c>
      <c r="AI164" s="84" t="str">
        <f t="shared" si="144"/>
        <v>PL_0_CR_0_AD_0_Jira_0_</v>
      </c>
      <c r="AJ164" s="84" t="str">
        <f>IF(Z164&lt;&gt;"Done","",(_xlfn.CONCAT("PL_",DigitasUKAdOp_26Team[[#This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65" spans="1:36" ht="15.75" customHeight="1" x14ac:dyDescent="0.3">
      <c r="A165" s="85" t="str">
        <f>IF(B165="","",TEXT(B165,"MMM : DDDD"))</f>
        <v>Feb : Thursday</v>
      </c>
      <c r="B165" s="86">
        <v>46065</v>
      </c>
      <c r="C165" s="87" t="s">
        <v>318</v>
      </c>
      <c r="D165" s="88" t="s">
        <v>537</v>
      </c>
      <c r="E165" s="87" t="s">
        <v>428</v>
      </c>
      <c r="F165" s="88" t="s">
        <v>568</v>
      </c>
      <c r="G165" s="88" t="s">
        <v>569</v>
      </c>
      <c r="H165" s="87" t="s">
        <v>443</v>
      </c>
      <c r="I165" s="87" t="s">
        <v>246</v>
      </c>
      <c r="J165" s="88">
        <v>0</v>
      </c>
      <c r="K165" s="88">
        <v>0</v>
      </c>
      <c r="L165" s="88">
        <v>0</v>
      </c>
      <c r="M165" s="89">
        <v>46065</v>
      </c>
      <c r="N165" s="88">
        <v>0.25</v>
      </c>
      <c r="O165" s="90" t="s">
        <v>432</v>
      </c>
      <c r="Q165" s="91">
        <f t="shared" si="166"/>
        <v>7</v>
      </c>
      <c r="R165" s="91" t="str">
        <f t="shared" si="167"/>
        <v>Feb</v>
      </c>
      <c r="S165" s="92" t="str">
        <f t="shared" si="168"/>
        <v>Thursday</v>
      </c>
      <c r="T165" s="93" t="s">
        <v>246</v>
      </c>
      <c r="U165" s="94" t="s">
        <v>444</v>
      </c>
      <c r="W165" s="95">
        <v>0</v>
      </c>
      <c r="X165" s="96"/>
      <c r="Y165" s="97">
        <f t="shared" si="177"/>
        <v>46065</v>
      </c>
      <c r="Z165" s="98" t="str">
        <f>SUBSTITUTE('Digitas UK Task 26'!$O165, "Complet", "Not Requir")</f>
        <v>Not Required</v>
      </c>
      <c r="AA165" s="98" t="str">
        <f t="shared" si="150"/>
        <v>RE: WELLA | FY26Q3 SEBASTIAN UK | TAG REQUEST</v>
      </c>
      <c r="AB165" s="99"/>
      <c r="AF165" s="84" t="str">
        <f t="shared" si="165"/>
        <v/>
      </c>
      <c r="AH165" s="84" t="str">
        <f t="shared" si="143"/>
        <v>PL_0_CR_0_AD_0_Jira_0_</v>
      </c>
      <c r="AI165" s="84" t="str">
        <f t="shared" si="144"/>
        <v/>
      </c>
      <c r="AJ165" s="84" t="str">
        <f>IF(Z165&lt;&gt;"Done","",(_xlfn.CONCAT("PL_",DigitasUKAdOp_26Team[[#This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66" spans="1:36" ht="15.75" customHeight="1" x14ac:dyDescent="0.3">
      <c r="A166" s="85" t="str">
        <f>IF(B166="","",TEXT(B166,"MMM : DDDD"))</f>
        <v>Feb : Thursday</v>
      </c>
      <c r="B166" s="86">
        <v>46065</v>
      </c>
      <c r="C166" s="87" t="s">
        <v>318</v>
      </c>
      <c r="D166" s="88" t="s">
        <v>537</v>
      </c>
      <c r="E166" s="87" t="s">
        <v>428</v>
      </c>
      <c r="F166" s="88" t="s">
        <v>568</v>
      </c>
      <c r="G166" s="88" t="s">
        <v>569</v>
      </c>
      <c r="H166" s="87" t="s">
        <v>443</v>
      </c>
      <c r="I166" s="87" t="s">
        <v>246</v>
      </c>
      <c r="J166" s="88">
        <v>0</v>
      </c>
      <c r="K166" s="88">
        <v>0</v>
      </c>
      <c r="L166" s="88">
        <v>0</v>
      </c>
      <c r="M166" s="89">
        <v>46065</v>
      </c>
      <c r="N166" s="88">
        <v>0.25</v>
      </c>
      <c r="O166" s="90" t="s">
        <v>432</v>
      </c>
      <c r="Q166" s="91">
        <f t="shared" si="166"/>
        <v>7</v>
      </c>
      <c r="R166" s="91" t="str">
        <f t="shared" si="167"/>
        <v>Feb</v>
      </c>
      <c r="S166" s="92" t="str">
        <f t="shared" si="168"/>
        <v>Thursday</v>
      </c>
      <c r="T166" s="93" t="s">
        <v>246</v>
      </c>
      <c r="U166" s="94" t="s">
        <v>444</v>
      </c>
      <c r="W166" s="95">
        <v>0</v>
      </c>
      <c r="X166" s="96"/>
      <c r="Y166" s="97">
        <f t="shared" si="177"/>
        <v>46065</v>
      </c>
      <c r="Z166" s="98" t="str">
        <f>SUBSTITUTE('Digitas UK Task 26'!$O166, "Complet", "Not Requir")</f>
        <v>Not Required</v>
      </c>
      <c r="AA166" s="98" t="str">
        <f t="shared" si="150"/>
        <v>RE: WELLA | FY26Q3 SEBASTIAN UK | TAG REQUEST</v>
      </c>
      <c r="AB166" s="99"/>
      <c r="AF166" s="84" t="str">
        <f t="shared" si="165"/>
        <v/>
      </c>
      <c r="AH166" s="84" t="str">
        <f t="shared" si="143"/>
        <v>PL_0_CR_0_AD_0_Jira_0_</v>
      </c>
      <c r="AI166" s="84" t="str">
        <f t="shared" si="144"/>
        <v/>
      </c>
      <c r="AJ166" s="84" t="str">
        <f>IF(Z166&lt;&gt;"Done","",(_xlfn.CONCAT("PL_",DigitasUKAdOp_26Team[[#This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67" spans="1:36" ht="15.75" customHeight="1" x14ac:dyDescent="0.3">
      <c r="A167" s="85" t="str">
        <f t="shared" si="169"/>
        <v>Feb : Thursday</v>
      </c>
      <c r="B167" s="86">
        <v>46065</v>
      </c>
      <c r="C167" s="87" t="s">
        <v>318</v>
      </c>
      <c r="D167" s="88" t="s">
        <v>537</v>
      </c>
      <c r="E167" s="87" t="s">
        <v>428</v>
      </c>
      <c r="F167" s="88" t="s">
        <v>570</v>
      </c>
      <c r="G167" s="88" t="s">
        <v>569</v>
      </c>
      <c r="H167" s="87" t="s">
        <v>443</v>
      </c>
      <c r="I167" s="87" t="s">
        <v>250</v>
      </c>
      <c r="J167" s="88">
        <v>0</v>
      </c>
      <c r="K167" s="88">
        <v>0</v>
      </c>
      <c r="L167" s="88">
        <v>0</v>
      </c>
      <c r="M167" s="89">
        <v>46065</v>
      </c>
      <c r="N167" s="88">
        <v>0.5</v>
      </c>
      <c r="O167" s="90" t="s">
        <v>432</v>
      </c>
      <c r="Q167" s="91">
        <f t="shared" si="166"/>
        <v>7</v>
      </c>
      <c r="R167" s="91" t="str">
        <f t="shared" si="167"/>
        <v>Feb</v>
      </c>
      <c r="S167" s="92" t="str">
        <f t="shared" si="168"/>
        <v>Thursday</v>
      </c>
      <c r="T167" s="93" t="s">
        <v>250</v>
      </c>
      <c r="U167" s="94" t="s">
        <v>444</v>
      </c>
      <c r="W167" s="95">
        <v>0</v>
      </c>
      <c r="X167" s="96"/>
      <c r="Y167" s="97">
        <f t="shared" si="177"/>
        <v>46065</v>
      </c>
      <c r="Z167" s="98" t="str">
        <f>SUBSTITUTE('Digitas UK Task 26'!$O167, "Complet", "Not Requir")</f>
        <v>Not Required</v>
      </c>
      <c r="AA167" s="98" t="str">
        <f t="shared" si="150"/>
        <v>RE: WELLA | FY26Q3 SEBASTIAN UK | TAG REQUEST</v>
      </c>
      <c r="AB167" s="99"/>
      <c r="AF167" s="84" t="str">
        <f t="shared" si="165"/>
        <v/>
      </c>
      <c r="AH167" s="84" t="str">
        <f t="shared" si="143"/>
        <v>PL_0_CR_0_AD_0_Jira_0_</v>
      </c>
      <c r="AI167" s="84" t="str">
        <f t="shared" si="144"/>
        <v/>
      </c>
      <c r="AJ167" s="84" t="str">
        <f>IF(Z167&lt;&gt;"Done","",(_xlfn.CONCAT("PL_",DigitasUKAdOp_26Team[[#This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68" spans="1:36" ht="15.75" customHeight="1" x14ac:dyDescent="0.3">
      <c r="A168" s="85" t="str">
        <f t="shared" ref="A168:A169" si="178">IF(B168="","",TEXT(B168,"MMM : DDDD"))</f>
        <v>Feb : Thursday</v>
      </c>
      <c r="B168" s="86">
        <v>46065</v>
      </c>
      <c r="C168" s="87" t="s">
        <v>325</v>
      </c>
      <c r="D168" s="88" t="s">
        <v>491</v>
      </c>
      <c r="E168" s="87" t="s">
        <v>428</v>
      </c>
      <c r="F168" s="88" t="s">
        <v>565</v>
      </c>
      <c r="G168" s="88" t="s">
        <v>566</v>
      </c>
      <c r="H168" s="87" t="s">
        <v>269</v>
      </c>
      <c r="I168" s="87" t="s">
        <v>237</v>
      </c>
      <c r="J168" s="88">
        <v>100</v>
      </c>
      <c r="K168" s="88">
        <v>100</v>
      </c>
      <c r="L168" s="88">
        <v>100</v>
      </c>
      <c r="M168" s="89">
        <v>46064</v>
      </c>
      <c r="N168" s="88">
        <v>2.5</v>
      </c>
      <c r="O168" s="90" t="s">
        <v>432</v>
      </c>
      <c r="Q168" s="91">
        <f t="shared" ref="Q168:Q169" si="179">IF(B168="","",WEEKNUM(B168))</f>
        <v>7</v>
      </c>
      <c r="R168" s="91" t="str">
        <f t="shared" ref="R168:R169" si="180">IF(B168="","",TEXT(B168,"MMM"))</f>
        <v>Feb</v>
      </c>
      <c r="S168" s="92" t="str">
        <f t="shared" ref="S168:S169" si="181">IF(B168="","",TEXT(B168,"DDDD"))</f>
        <v>Thursday</v>
      </c>
      <c r="T168" s="93" t="s">
        <v>237</v>
      </c>
      <c r="U168" s="94" t="s">
        <v>444</v>
      </c>
      <c r="W168" s="95">
        <v>0</v>
      </c>
      <c r="X168" s="96"/>
      <c r="Y168" s="97">
        <f t="shared" ref="Y168:Y169" si="182">IF(M168="","",M168)</f>
        <v>46064</v>
      </c>
      <c r="Z168" s="98" t="str">
        <f>SUBSTITUTE('Digitas UK Task 26'!$O168, "Complet", "Not Requir")</f>
        <v>Not Required</v>
      </c>
      <c r="AA168" s="98" t="str">
        <f t="shared" ref="AA168:AA169" si="183">IF(G168="","",G168)</f>
        <v>Choose Cathay Trafficking Request</v>
      </c>
      <c r="AB168" s="99"/>
      <c r="AF168" s="84" t="str">
        <f t="shared" ref="AF168:AF169" si="184">IF(AD168="","",WEEKNUM(AD168))</f>
        <v/>
      </c>
      <c r="AH168" s="84" t="str">
        <f t="shared" si="143"/>
        <v>PL_100_CR_100_AD_100_Jira_0_</v>
      </c>
      <c r="AI168" s="84" t="str">
        <f t="shared" si="144"/>
        <v/>
      </c>
      <c r="AJ168" s="84" t="str">
        <f>IF(Z168&lt;&gt;"Done","",(_xlfn.CONCAT("PL_",DigitasUKAdOp_26Team[[#This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69" spans="1:36" ht="15.75" customHeight="1" x14ac:dyDescent="0.3">
      <c r="A169" s="85" t="str">
        <f t="shared" si="178"/>
        <v>Feb : Thursday</v>
      </c>
      <c r="B169" s="86">
        <v>46065</v>
      </c>
      <c r="C169" s="87" t="s">
        <v>325</v>
      </c>
      <c r="D169" s="88" t="s">
        <v>481</v>
      </c>
      <c r="E169" s="87" t="s">
        <v>428</v>
      </c>
      <c r="F169" s="88" t="s">
        <v>565</v>
      </c>
      <c r="G169" s="88" t="s">
        <v>566</v>
      </c>
      <c r="H169" s="87" t="s">
        <v>443</v>
      </c>
      <c r="I169" s="87" t="s">
        <v>237</v>
      </c>
      <c r="J169" s="88">
        <v>0</v>
      </c>
      <c r="K169" s="88">
        <v>0</v>
      </c>
      <c r="L169" s="88">
        <v>0</v>
      </c>
      <c r="M169" s="89">
        <v>46064</v>
      </c>
      <c r="N169" s="88">
        <v>1</v>
      </c>
      <c r="O169" s="90" t="s">
        <v>432</v>
      </c>
      <c r="Q169" s="91">
        <f t="shared" si="179"/>
        <v>7</v>
      </c>
      <c r="R169" s="91" t="str">
        <f t="shared" si="180"/>
        <v>Feb</v>
      </c>
      <c r="S169" s="92" t="str">
        <f t="shared" si="181"/>
        <v>Thursday</v>
      </c>
      <c r="T169" s="93" t="s">
        <v>237</v>
      </c>
      <c r="U169" s="94" t="s">
        <v>444</v>
      </c>
      <c r="W169" s="95">
        <v>0</v>
      </c>
      <c r="X169" s="96"/>
      <c r="Y169" s="97">
        <f t="shared" si="182"/>
        <v>46064</v>
      </c>
      <c r="Z169" s="98" t="str">
        <f>SUBSTITUTE('Digitas UK Task 26'!$O169, "Complet", "Not Requir")</f>
        <v>Not Required</v>
      </c>
      <c r="AA169" s="98" t="str">
        <f t="shared" si="183"/>
        <v>Choose Cathay Trafficking Request</v>
      </c>
      <c r="AB169" s="99"/>
      <c r="AF169" s="84" t="str">
        <f t="shared" si="184"/>
        <v/>
      </c>
      <c r="AH169" s="84" t="str">
        <f t="shared" si="143"/>
        <v>PL_0_CR_0_AD_0_Jira_0_</v>
      </c>
      <c r="AI169" s="84" t="str">
        <f t="shared" si="144"/>
        <v/>
      </c>
      <c r="AJ169" s="84" t="str">
        <f>IF(Z169&lt;&gt;"Done","",(_xlfn.CONCAT("PL_",DigitasUKAdOp_26Team[[#This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70" spans="1:36" ht="15.75" customHeight="1" x14ac:dyDescent="0.3">
      <c r="A170" s="85" t="str">
        <f t="shared" ref="A170" si="185">IF(B170="","",TEXT(B170,"MMM : DDDD"))</f>
        <v>Feb : Friday</v>
      </c>
      <c r="B170" s="86">
        <v>46066</v>
      </c>
      <c r="C170" s="87" t="s">
        <v>325</v>
      </c>
      <c r="D170" s="88" t="s">
        <v>491</v>
      </c>
      <c r="E170" s="87" t="s">
        <v>428</v>
      </c>
      <c r="F170" s="88" t="s">
        <v>565</v>
      </c>
      <c r="G170" s="88" t="s">
        <v>566</v>
      </c>
      <c r="H170" s="87" t="s">
        <v>269</v>
      </c>
      <c r="I170" s="87" t="s">
        <v>237</v>
      </c>
      <c r="J170" s="88">
        <v>100</v>
      </c>
      <c r="K170" s="88">
        <v>100</v>
      </c>
      <c r="L170" s="88">
        <v>100</v>
      </c>
      <c r="M170" s="89">
        <v>46064</v>
      </c>
      <c r="N170" s="88">
        <v>3</v>
      </c>
      <c r="O170" s="90" t="s">
        <v>432</v>
      </c>
      <c r="Q170" s="91">
        <f t="shared" ref="Q170" si="186">IF(B170="","",WEEKNUM(B170))</f>
        <v>7</v>
      </c>
      <c r="R170" s="91" t="str">
        <f t="shared" ref="R170" si="187">IF(B170="","",TEXT(B170,"MMM"))</f>
        <v>Feb</v>
      </c>
      <c r="S170" s="92" t="str">
        <f t="shared" ref="S170" si="188">IF(B170="","",TEXT(B170,"DDDD"))</f>
        <v>Friday</v>
      </c>
      <c r="T170" s="93" t="s">
        <v>246</v>
      </c>
      <c r="U170" s="94" t="s">
        <v>433</v>
      </c>
      <c r="W170" s="95">
        <v>1.5</v>
      </c>
      <c r="X170" s="96"/>
      <c r="Y170" s="97">
        <f t="shared" ref="Y170" si="189">IF(M170="","",M170)</f>
        <v>46064</v>
      </c>
      <c r="Z170" s="98" t="str">
        <f>SUBSTITUTE('Digitas UK Task 26'!$O170, "Complet", "Not Requir")</f>
        <v>Not Required</v>
      </c>
      <c r="AA170" s="98" t="str">
        <f t="shared" ref="AA170" si="190">IF(G170="","",G170)</f>
        <v>Choose Cathay Trafficking Request</v>
      </c>
      <c r="AB170" s="99"/>
      <c r="AF170" s="84" t="str">
        <f t="shared" ref="AF170" si="191">IF(AD170="","",WEEKNUM(AD170))</f>
        <v/>
      </c>
      <c r="AH170" s="84" t="str">
        <f t="shared" si="143"/>
        <v>PL_100_CR_100_AD_100_Jira_0_</v>
      </c>
      <c r="AI170" s="84" t="str">
        <f t="shared" si="144"/>
        <v>PL_100_CR_100_AD_100_Jira_0_</v>
      </c>
      <c r="AJ170" s="84" t="str">
        <f>IF(Z170&lt;&gt;"Done","",(_xlfn.CONCAT("PL_",DigitasUKAdOp_26Team[[#This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71" spans="1:36" ht="15.75" customHeight="1" x14ac:dyDescent="0.3">
      <c r="A171" s="85" t="str">
        <f t="shared" ref="A171" si="192">IF(B171="","",TEXT(B171,"MMM : DDDD"))</f>
        <v>Feb : Friday</v>
      </c>
      <c r="B171" s="86">
        <v>46066</v>
      </c>
      <c r="C171" s="87" t="s">
        <v>325</v>
      </c>
      <c r="D171" s="88" t="s">
        <v>481</v>
      </c>
      <c r="E171" s="87" t="s">
        <v>428</v>
      </c>
      <c r="F171" s="88" t="s">
        <v>565</v>
      </c>
      <c r="G171" s="88" t="s">
        <v>566</v>
      </c>
      <c r="H171" s="87" t="s">
        <v>443</v>
      </c>
      <c r="I171" s="87" t="s">
        <v>237</v>
      </c>
      <c r="J171" s="88">
        <v>0</v>
      </c>
      <c r="K171" s="88">
        <v>0</v>
      </c>
      <c r="L171" s="88">
        <v>0</v>
      </c>
      <c r="M171" s="89">
        <v>46064</v>
      </c>
      <c r="N171" s="88">
        <v>1.5</v>
      </c>
      <c r="O171" s="90" t="s">
        <v>432</v>
      </c>
      <c r="Q171" s="91">
        <f t="shared" ref="Q171" si="193">IF(B171="","",WEEKNUM(B171))</f>
        <v>7</v>
      </c>
      <c r="R171" s="91" t="str">
        <f t="shared" ref="R171" si="194">IF(B171="","",TEXT(B171,"MMM"))</f>
        <v>Feb</v>
      </c>
      <c r="S171" s="92" t="str">
        <f t="shared" ref="S171" si="195">IF(B171="","",TEXT(B171,"DDDD"))</f>
        <v>Friday</v>
      </c>
      <c r="T171" s="93" t="s">
        <v>237</v>
      </c>
      <c r="U171" s="94" t="s">
        <v>444</v>
      </c>
      <c r="W171" s="95">
        <v>0</v>
      </c>
      <c r="X171" s="96"/>
      <c r="Y171" s="97">
        <f t="shared" ref="Y171" si="196">IF(M171="","",M171)</f>
        <v>46064</v>
      </c>
      <c r="Z171" s="98" t="str">
        <f>SUBSTITUTE('Digitas UK Task 26'!$O171, "Complet", "Not Requir")</f>
        <v>Not Required</v>
      </c>
      <c r="AA171" s="98" t="str">
        <f t="shared" ref="AA171" si="197">IF(G171="","",G171)</f>
        <v>Choose Cathay Trafficking Request</v>
      </c>
      <c r="AB171" s="99"/>
      <c r="AF171" s="84" t="str">
        <f t="shared" ref="AF171" si="198">IF(AD171="","",WEEKNUM(AD171))</f>
        <v/>
      </c>
      <c r="AH171" s="84" t="str">
        <f t="shared" si="143"/>
        <v>PL_0_CR_0_AD_0_Jira_0_</v>
      </c>
      <c r="AI171" s="84" t="str">
        <f t="shared" si="144"/>
        <v/>
      </c>
      <c r="AJ171" s="84" t="str">
        <f>IF(Z171&lt;&gt;"Done","",(_xlfn.CONCAT("PL_",DigitasUKAdOp_26Team[[#This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72" spans="1:36" ht="15.75" customHeight="1" x14ac:dyDescent="0.3">
      <c r="A172" s="85" t="str">
        <f t="shared" si="169"/>
        <v>Feb : Friday</v>
      </c>
      <c r="B172" s="86">
        <v>46066</v>
      </c>
      <c r="C172" s="87" t="s">
        <v>318</v>
      </c>
      <c r="D172" s="88" t="s">
        <v>537</v>
      </c>
      <c r="E172" s="87" t="s">
        <v>428</v>
      </c>
      <c r="F172" s="88" t="s">
        <v>570</v>
      </c>
      <c r="G172" s="88" t="s">
        <v>569</v>
      </c>
      <c r="H172" s="87" t="s">
        <v>269</v>
      </c>
      <c r="I172" s="87" t="s">
        <v>250</v>
      </c>
      <c r="J172" s="88">
        <v>1</v>
      </c>
      <c r="K172" s="88">
        <v>1</v>
      </c>
      <c r="L172" s="88">
        <v>1</v>
      </c>
      <c r="M172" s="89">
        <v>46066</v>
      </c>
      <c r="N172" s="88">
        <v>0.25</v>
      </c>
      <c r="O172" s="90" t="s">
        <v>432</v>
      </c>
      <c r="Q172" s="91">
        <f t="shared" si="166"/>
        <v>7</v>
      </c>
      <c r="R172" s="91" t="str">
        <f t="shared" si="167"/>
        <v>Feb</v>
      </c>
      <c r="S172" s="92" t="str">
        <f t="shared" si="168"/>
        <v>Friday</v>
      </c>
      <c r="T172" s="93" t="s">
        <v>237</v>
      </c>
      <c r="U172" s="94" t="s">
        <v>433</v>
      </c>
      <c r="W172" s="95">
        <v>0.25</v>
      </c>
      <c r="X172" s="96"/>
      <c r="Y172" s="97">
        <f t="shared" si="177"/>
        <v>46066</v>
      </c>
      <c r="Z172" s="98" t="str">
        <f>SUBSTITUTE('Digitas UK Task 26'!$O172, "Complet", "Not Requir")</f>
        <v>Not Required</v>
      </c>
      <c r="AA172" s="98" t="str">
        <f t="shared" si="150"/>
        <v>RE: WELLA | FY26Q3 SEBASTIAN UK | TAG REQUEST</v>
      </c>
      <c r="AB172" s="99"/>
      <c r="AF172" s="84" t="str">
        <f t="shared" si="165"/>
        <v/>
      </c>
      <c r="AH172" s="84" t="str">
        <f t="shared" si="143"/>
        <v>PL_1_CR_1_AD_1_Jira_0_</v>
      </c>
      <c r="AI172" s="84" t="str">
        <f t="shared" si="144"/>
        <v>PL_1_CR_1_AD_1_Jira_0_</v>
      </c>
      <c r="AJ172" s="84" t="str">
        <f>IF(Z172&lt;&gt;"Done","",(_xlfn.CONCAT("PL_",DigitasUKAdOp_26Team[[#This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73" spans="1:36" ht="15.75" customHeight="1" x14ac:dyDescent="0.3">
      <c r="A173" s="85" t="str">
        <f t="shared" si="169"/>
        <v>Feb : Friday</v>
      </c>
      <c r="B173" s="86">
        <v>46066</v>
      </c>
      <c r="C173" s="87" t="s">
        <v>334</v>
      </c>
      <c r="D173" s="88" t="s">
        <v>465</v>
      </c>
      <c r="E173" s="87" t="s">
        <v>428</v>
      </c>
      <c r="F173" s="88" t="s">
        <v>450</v>
      </c>
      <c r="G173" s="88" t="s">
        <v>548</v>
      </c>
      <c r="H173" s="87" t="s">
        <v>521</v>
      </c>
      <c r="I173" s="87" t="s">
        <v>250</v>
      </c>
      <c r="J173" s="88">
        <v>0</v>
      </c>
      <c r="K173" s="88">
        <v>0</v>
      </c>
      <c r="L173" s="88">
        <v>0</v>
      </c>
      <c r="M173" s="89">
        <v>46066</v>
      </c>
      <c r="N173" s="88">
        <v>2</v>
      </c>
      <c r="O173" s="90" t="s">
        <v>432</v>
      </c>
      <c r="Q173" s="91">
        <f t="shared" si="166"/>
        <v>7</v>
      </c>
      <c r="R173" s="91" t="str">
        <f t="shared" si="167"/>
        <v>Feb</v>
      </c>
      <c r="S173" s="92" t="str">
        <f t="shared" si="168"/>
        <v>Friday</v>
      </c>
      <c r="T173" s="93" t="s">
        <v>250</v>
      </c>
      <c r="U173" s="94" t="s">
        <v>444</v>
      </c>
      <c r="W173" s="95">
        <v>0</v>
      </c>
      <c r="X173" s="96"/>
      <c r="Y173" s="97">
        <f t="shared" si="177"/>
        <v>46066</v>
      </c>
      <c r="Z173" s="98" t="str">
        <f>SUBSTITUTE('Digitas UK Task 26'!$O173, "Complet", "Not Requir")</f>
        <v>Not Required</v>
      </c>
      <c r="AA173" s="98" t="str">
        <f t="shared" si="150"/>
        <v xml:space="preserve">RE: Klaviyo_ Mailchip_ HTM5 Issue </v>
      </c>
      <c r="AB173" s="99"/>
      <c r="AF173" s="84" t="str">
        <f t="shared" si="165"/>
        <v/>
      </c>
      <c r="AH173" s="84" t="str">
        <f t="shared" si="143"/>
        <v>PL_0_CR_0_AD_0_Jira_0_</v>
      </c>
      <c r="AI173" s="84" t="str">
        <f t="shared" si="144"/>
        <v/>
      </c>
      <c r="AJ173" s="84" t="str">
        <f>IF(Z173&lt;&gt;"Done","",(_xlfn.CONCAT("PL_",DigitasUKAdOp_26Team[[#This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74" spans="1:36" ht="15.75" customHeight="1" x14ac:dyDescent="0.3">
      <c r="A174" s="85" t="str">
        <f t="shared" ref="A174" si="199">IF(B174="","",TEXT(B174,"MMM : DDDD"))</f>
        <v>Feb : Friday</v>
      </c>
      <c r="B174" s="86">
        <v>46066</v>
      </c>
      <c r="C174" s="87" t="s">
        <v>334</v>
      </c>
      <c r="D174" s="88" t="s">
        <v>465</v>
      </c>
      <c r="E174" s="87" t="s">
        <v>428</v>
      </c>
      <c r="F174" s="88" t="s">
        <v>450</v>
      </c>
      <c r="G174" s="88" t="s">
        <v>548</v>
      </c>
      <c r="H174" s="87" t="s">
        <v>521</v>
      </c>
      <c r="I174" s="87" t="s">
        <v>237</v>
      </c>
      <c r="J174" s="88">
        <v>0</v>
      </c>
      <c r="K174" s="88">
        <v>0</v>
      </c>
      <c r="L174" s="88">
        <v>0</v>
      </c>
      <c r="M174" s="89">
        <v>46066</v>
      </c>
      <c r="N174" s="88">
        <v>2</v>
      </c>
      <c r="O174" s="90" t="s">
        <v>432</v>
      </c>
      <c r="Q174" s="91">
        <f t="shared" ref="Q174:Q175" si="200">IF(B174="","",WEEKNUM(B174))</f>
        <v>7</v>
      </c>
      <c r="R174" s="91" t="str">
        <f t="shared" ref="R174:R175" si="201">IF(B174="","",TEXT(B174,"MMM"))</f>
        <v>Feb</v>
      </c>
      <c r="S174" s="92" t="str">
        <f t="shared" ref="S174:S175" si="202">IF(B174="","",TEXT(B174,"DDDD"))</f>
        <v>Friday</v>
      </c>
      <c r="T174" s="93" t="s">
        <v>237</v>
      </c>
      <c r="U174" s="94" t="s">
        <v>444</v>
      </c>
      <c r="W174" s="95">
        <v>0</v>
      </c>
      <c r="X174" s="96"/>
      <c r="Y174" s="97">
        <f t="shared" ref="Y174:Y175" si="203">IF(M174="","",M174)</f>
        <v>46066</v>
      </c>
      <c r="Z174" s="98" t="str">
        <f>SUBSTITUTE('Digitas UK Task 26'!$O174, "Complet", "Not Requir")</f>
        <v>Not Required</v>
      </c>
      <c r="AA174" s="98" t="str">
        <f t="shared" ref="AA174:AA175" si="204">IF(G174="","",G174)</f>
        <v xml:space="preserve">RE: Klaviyo_ Mailchip_ HTM5 Issue </v>
      </c>
      <c r="AB174" s="99"/>
      <c r="AF174" s="84" t="str">
        <f t="shared" ref="AF174:AF175" si="205">IF(AD174="","",WEEKNUM(AD174))</f>
        <v/>
      </c>
      <c r="AH174" s="84" t="str">
        <f t="shared" si="143"/>
        <v>PL_0_CR_0_AD_0_Jira_0_</v>
      </c>
      <c r="AI174" s="84" t="str">
        <f t="shared" si="144"/>
        <v/>
      </c>
      <c r="AJ174" s="84" t="str">
        <f>IF(Z174&lt;&gt;"Done","",(_xlfn.CONCAT("PL_",DigitasUKAdOp_26Team[[#This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75" spans="1:36" ht="15.75" customHeight="1" x14ac:dyDescent="0.3">
      <c r="A175" s="85" t="str">
        <f>IF(B175="","",TEXT(B175,"MMM : DDDD"))</f>
        <v>Feb : Friday</v>
      </c>
      <c r="B175" s="86">
        <v>46066</v>
      </c>
      <c r="C175" s="87" t="s">
        <v>318</v>
      </c>
      <c r="D175" s="88" t="s">
        <v>537</v>
      </c>
      <c r="E175" s="87" t="s">
        <v>428</v>
      </c>
      <c r="F175" s="88" t="s">
        <v>568</v>
      </c>
      <c r="G175" s="88" t="s">
        <v>569</v>
      </c>
      <c r="H175" s="87" t="s">
        <v>269</v>
      </c>
      <c r="I175" s="87" t="s">
        <v>246</v>
      </c>
      <c r="J175" s="88">
        <v>5</v>
      </c>
      <c r="K175" s="88">
        <v>5</v>
      </c>
      <c r="L175" s="88">
        <v>5</v>
      </c>
      <c r="M175" s="89">
        <v>46066</v>
      </c>
      <c r="N175" s="88">
        <v>0.5</v>
      </c>
      <c r="O175" s="90" t="s">
        <v>432</v>
      </c>
      <c r="Q175" s="91">
        <f t="shared" si="200"/>
        <v>7</v>
      </c>
      <c r="R175" s="91" t="str">
        <f t="shared" si="201"/>
        <v>Feb</v>
      </c>
      <c r="S175" s="92" t="str">
        <f t="shared" si="202"/>
        <v>Friday</v>
      </c>
      <c r="T175" s="93" t="s">
        <v>250</v>
      </c>
      <c r="U175" s="94" t="s">
        <v>433</v>
      </c>
      <c r="W175" s="95">
        <v>0.25</v>
      </c>
      <c r="X175" s="96"/>
      <c r="Y175" s="97">
        <f t="shared" si="203"/>
        <v>46066</v>
      </c>
      <c r="Z175" s="98" t="str">
        <f>SUBSTITUTE('Digitas UK Task 26'!$O175, "Complet", "Not Requir")</f>
        <v>Not Required</v>
      </c>
      <c r="AA175" s="98" t="str">
        <f t="shared" si="204"/>
        <v>RE: WELLA | FY26Q3 SEBASTIAN UK | TAG REQUEST</v>
      </c>
      <c r="AB175" s="99"/>
      <c r="AF175" s="84" t="str">
        <f t="shared" si="205"/>
        <v/>
      </c>
      <c r="AH175" s="84" t="str">
        <f t="shared" si="143"/>
        <v>PL_5_CR_5_AD_5_Jira_0_</v>
      </c>
      <c r="AI175" s="84" t="str">
        <f t="shared" si="144"/>
        <v>PL_5_CR_5_AD_5_Jira_0_</v>
      </c>
      <c r="AJ175" s="84" t="str">
        <f>IF(Z175&lt;&gt;"Done","",(_xlfn.CONCAT("PL_",DigitasUKAdOp_26Team[[#This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76" spans="1:36" ht="15.75" customHeight="1" x14ac:dyDescent="0.3">
      <c r="A176" s="85" t="str">
        <f>IF(B176="","",TEXT(B176,"MMM : DDDD"))</f>
        <v>Feb : Friday</v>
      </c>
      <c r="B176" s="86">
        <v>46066</v>
      </c>
      <c r="C176" s="87" t="s">
        <v>318</v>
      </c>
      <c r="D176" s="88" t="s">
        <v>537</v>
      </c>
      <c r="E176" s="87" t="s">
        <v>428</v>
      </c>
      <c r="F176" s="88" t="s">
        <v>568</v>
      </c>
      <c r="G176" s="88" t="s">
        <v>569</v>
      </c>
      <c r="H176" s="87" t="s">
        <v>269</v>
      </c>
      <c r="I176" s="87" t="s">
        <v>246</v>
      </c>
      <c r="J176" s="88">
        <v>5</v>
      </c>
      <c r="K176" s="88">
        <v>5</v>
      </c>
      <c r="L176" s="88">
        <v>5</v>
      </c>
      <c r="M176" s="89">
        <v>46066</v>
      </c>
      <c r="N176" s="88">
        <v>0.5</v>
      </c>
      <c r="O176" s="90" t="s">
        <v>432</v>
      </c>
      <c r="Q176" s="91">
        <f t="shared" si="166"/>
        <v>7</v>
      </c>
      <c r="R176" s="91" t="str">
        <f t="shared" si="167"/>
        <v>Feb</v>
      </c>
      <c r="S176" s="92" t="str">
        <f t="shared" si="168"/>
        <v>Friday</v>
      </c>
      <c r="T176" s="93" t="s">
        <v>250</v>
      </c>
      <c r="U176" s="94" t="s">
        <v>433</v>
      </c>
      <c r="W176" s="95">
        <v>0.25</v>
      </c>
      <c r="X176" s="96"/>
      <c r="Y176" s="97">
        <f t="shared" si="177"/>
        <v>46066</v>
      </c>
      <c r="Z176" s="98" t="str">
        <f>SUBSTITUTE('Digitas UK Task 26'!$O176, "Complet", "Not Requir")</f>
        <v>Not Required</v>
      </c>
      <c r="AA176" s="98" t="str">
        <f t="shared" si="150"/>
        <v>RE: WELLA | FY26Q3 SEBASTIAN UK | TAG REQUEST</v>
      </c>
      <c r="AB176" s="99"/>
      <c r="AF176" s="84" t="str">
        <f t="shared" si="165"/>
        <v/>
      </c>
      <c r="AH176" s="84" t="str">
        <f t="shared" si="143"/>
        <v>PL_5_CR_5_AD_5_Jira_0_</v>
      </c>
      <c r="AI176" s="84" t="str">
        <f t="shared" si="144"/>
        <v>PL_5_CR_5_AD_5_Jira_0_</v>
      </c>
      <c r="AJ176" s="84" t="str">
        <f>IF(Z176&lt;&gt;"Done","",(_xlfn.CONCAT("PL_",DigitasUKAdOp_26Team[[#This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77" spans="1:36" ht="15.75" customHeight="1" x14ac:dyDescent="0.3">
      <c r="A177" s="85" t="str">
        <f t="shared" ref="A177:A179" si="206">IF(B177="","",TEXT(B177,"MMM : DDDD"))</f>
        <v>Feb : Friday</v>
      </c>
      <c r="B177" s="86">
        <v>46066</v>
      </c>
      <c r="C177" s="87" t="s">
        <v>318</v>
      </c>
      <c r="D177" s="88" t="s">
        <v>537</v>
      </c>
      <c r="E177" s="87" t="s">
        <v>428</v>
      </c>
      <c r="F177" s="88" t="s">
        <v>571</v>
      </c>
      <c r="G177" s="88" t="s">
        <v>572</v>
      </c>
      <c r="H177" s="87" t="s">
        <v>443</v>
      </c>
      <c r="I177" s="87" t="s">
        <v>250</v>
      </c>
      <c r="J177" s="88">
        <v>0</v>
      </c>
      <c r="K177" s="88">
        <v>0</v>
      </c>
      <c r="L177" s="88">
        <v>0</v>
      </c>
      <c r="M177" s="89">
        <v>46066</v>
      </c>
      <c r="N177" s="88">
        <v>0.5</v>
      </c>
      <c r="O177" s="90" t="s">
        <v>432</v>
      </c>
      <c r="Q177" s="91">
        <f t="shared" si="166"/>
        <v>7</v>
      </c>
      <c r="R177" s="91" t="str">
        <f t="shared" si="167"/>
        <v>Feb</v>
      </c>
      <c r="S177" s="92" t="str">
        <f t="shared" si="168"/>
        <v>Friday</v>
      </c>
      <c r="T177" s="93" t="s">
        <v>250</v>
      </c>
      <c r="U177" s="94" t="s">
        <v>444</v>
      </c>
      <c r="W177" s="95">
        <v>0</v>
      </c>
      <c r="X177" s="96"/>
      <c r="Y177" s="97">
        <f t="shared" si="177"/>
        <v>46066</v>
      </c>
      <c r="Z177" s="98" t="str">
        <f>SUBSTITUTE('Digitas UK Task 26'!$O177, "Complet", "Not Requir")</f>
        <v>Not Required</v>
      </c>
      <c r="AA177" s="98" t="str">
        <f t="shared" si="150"/>
        <v>WELLA | FY26Q3 PRO CARE ULTIMATE COLOR - DACH | TAG REQUEST</v>
      </c>
      <c r="AB177" s="99"/>
      <c r="AF177" s="84" t="str">
        <f t="shared" si="165"/>
        <v/>
      </c>
      <c r="AH177" s="84" t="str">
        <f t="shared" si="143"/>
        <v>PL_0_CR_0_AD_0_Jira_0_</v>
      </c>
      <c r="AI177" s="84" t="str">
        <f t="shared" si="144"/>
        <v/>
      </c>
      <c r="AJ177" s="84" t="str">
        <f>IF(Z177&lt;&gt;"Done","",(_xlfn.CONCAT("PL_",DigitasUKAdOp_26Team[[#This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78" spans="1:36" ht="15.75" customHeight="1" x14ac:dyDescent="0.3">
      <c r="A178" s="85" t="str">
        <f t="shared" si="206"/>
        <v>Feb : Friday</v>
      </c>
      <c r="B178" s="86">
        <v>46066</v>
      </c>
      <c r="C178" s="87" t="s">
        <v>318</v>
      </c>
      <c r="D178" s="88" t="s">
        <v>537</v>
      </c>
      <c r="E178" s="87" t="s">
        <v>428</v>
      </c>
      <c r="F178" s="88" t="s">
        <v>573</v>
      </c>
      <c r="G178" s="88" t="s">
        <v>572</v>
      </c>
      <c r="H178" s="87" t="s">
        <v>269</v>
      </c>
      <c r="I178" s="87" t="s">
        <v>246</v>
      </c>
      <c r="J178" s="88">
        <v>5</v>
      </c>
      <c r="K178" s="88">
        <v>5</v>
      </c>
      <c r="L178" s="88">
        <v>5</v>
      </c>
      <c r="M178" s="89">
        <v>46066</v>
      </c>
      <c r="N178" s="88">
        <v>0.5</v>
      </c>
      <c r="O178" s="90" t="s">
        <v>432</v>
      </c>
      <c r="Q178" s="91">
        <f t="shared" si="166"/>
        <v>7</v>
      </c>
      <c r="R178" s="91" t="str">
        <f t="shared" si="167"/>
        <v>Feb</v>
      </c>
      <c r="S178" s="92" t="str">
        <f t="shared" si="168"/>
        <v>Friday</v>
      </c>
      <c r="T178" s="93" t="s">
        <v>250</v>
      </c>
      <c r="U178" s="94" t="s">
        <v>433</v>
      </c>
      <c r="V178" s="95" t="s">
        <v>567</v>
      </c>
      <c r="W178" s="95">
        <v>0.25</v>
      </c>
      <c r="X178" s="96"/>
      <c r="Y178" s="97">
        <f t="shared" si="177"/>
        <v>46066</v>
      </c>
      <c r="Z178" s="98" t="str">
        <f>SUBSTITUTE('Digitas UK Task 26'!$O178, "Complet", "Not Requir")</f>
        <v>Not Required</v>
      </c>
      <c r="AA178" s="98" t="str">
        <f t="shared" si="150"/>
        <v>WELLA | FY26Q3 PRO CARE ULTIMATE COLOR - DACH | TAG REQUEST</v>
      </c>
      <c r="AB178" s="99"/>
      <c r="AF178" s="84" t="str">
        <f t="shared" si="165"/>
        <v/>
      </c>
      <c r="AH178" s="84" t="str">
        <f t="shared" si="143"/>
        <v>PL_5_CR_5_AD_5_Jira_0_</v>
      </c>
      <c r="AI178" s="84" t="str">
        <f t="shared" si="144"/>
        <v>PL_5_CR_5_AD_5_Jira_0_</v>
      </c>
      <c r="AJ178" s="84" t="str">
        <f>IF(Z178&lt;&gt;"Done","",(_xlfn.CONCAT("PL_",DigitasUKAdOp_26Team[[#This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79" spans="1:36" ht="15.75" customHeight="1" x14ac:dyDescent="0.3">
      <c r="A179" s="85" t="str">
        <f t="shared" si="206"/>
        <v>Feb : Friday</v>
      </c>
      <c r="B179" s="86">
        <v>46066</v>
      </c>
      <c r="C179" s="87" t="s">
        <v>318</v>
      </c>
      <c r="D179" s="88" t="s">
        <v>537</v>
      </c>
      <c r="E179" s="87" t="s">
        <v>428</v>
      </c>
      <c r="F179" s="88" t="s">
        <v>574</v>
      </c>
      <c r="G179" s="88" t="s">
        <v>572</v>
      </c>
      <c r="H179" s="87" t="s">
        <v>443</v>
      </c>
      <c r="I179" s="87" t="s">
        <v>431</v>
      </c>
      <c r="J179" s="88">
        <v>0</v>
      </c>
      <c r="K179" s="88">
        <v>0</v>
      </c>
      <c r="L179" s="88">
        <v>0</v>
      </c>
      <c r="M179" s="89">
        <v>46066</v>
      </c>
      <c r="N179" s="88">
        <v>0.5</v>
      </c>
      <c r="O179" s="90" t="s">
        <v>432</v>
      </c>
      <c r="Q179" s="91">
        <f t="shared" si="166"/>
        <v>7</v>
      </c>
      <c r="R179" s="91" t="str">
        <f t="shared" si="167"/>
        <v>Feb</v>
      </c>
      <c r="S179" s="92" t="str">
        <f t="shared" si="168"/>
        <v>Friday</v>
      </c>
      <c r="T179" s="93" t="s">
        <v>431</v>
      </c>
      <c r="U179" s="94" t="s">
        <v>444</v>
      </c>
      <c r="W179" s="95">
        <v>0</v>
      </c>
      <c r="X179" s="96"/>
      <c r="Y179" s="97">
        <f t="shared" si="177"/>
        <v>46066</v>
      </c>
      <c r="Z179" s="98" t="str">
        <f>SUBSTITUTE('Digitas UK Task 26'!$O179, "Complet", "Not Requir")</f>
        <v>Not Required</v>
      </c>
      <c r="AA179" s="98" t="str">
        <f t="shared" si="150"/>
        <v>WELLA | FY26Q3 PRO CARE ULTIMATE COLOR - DACH | TAG REQUEST</v>
      </c>
      <c r="AB179" s="99"/>
      <c r="AF179" s="84" t="str">
        <f t="shared" si="165"/>
        <v/>
      </c>
      <c r="AH179" s="84" t="str">
        <f t="shared" si="143"/>
        <v>PL_0_CR_0_AD_0_Jira_0_</v>
      </c>
      <c r="AI179" s="84" t="str">
        <f t="shared" si="144"/>
        <v/>
      </c>
      <c r="AJ179" s="84" t="str">
        <f>IF(Z179&lt;&gt;"Done","",(_xlfn.CONCAT("PL_",DigitasUKAdOp_26Team[[#This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80" spans="1:36" ht="15.75" customHeight="1" x14ac:dyDescent="0.3">
      <c r="A180" s="85" t="str">
        <f t="shared" si="169"/>
        <v>Feb : Friday</v>
      </c>
      <c r="B180" s="86">
        <v>46066</v>
      </c>
      <c r="C180" s="87" t="s">
        <v>318</v>
      </c>
      <c r="D180" s="88" t="s">
        <v>537</v>
      </c>
      <c r="E180" s="87" t="s">
        <v>428</v>
      </c>
      <c r="F180" s="88" t="s">
        <v>574</v>
      </c>
      <c r="G180" s="88" t="s">
        <v>572</v>
      </c>
      <c r="H180" s="87" t="s">
        <v>269</v>
      </c>
      <c r="I180" s="87" t="s">
        <v>431</v>
      </c>
      <c r="J180" s="88">
        <v>2</v>
      </c>
      <c r="K180" s="88">
        <v>2</v>
      </c>
      <c r="L180" s="88">
        <v>2</v>
      </c>
      <c r="M180" s="89">
        <v>46066</v>
      </c>
      <c r="N180" s="88">
        <v>0.5</v>
      </c>
      <c r="O180" s="90" t="s">
        <v>432</v>
      </c>
      <c r="Q180" s="91">
        <f t="shared" si="166"/>
        <v>7</v>
      </c>
      <c r="R180" s="91" t="str">
        <f t="shared" si="167"/>
        <v>Feb</v>
      </c>
      <c r="S180" s="92" t="str">
        <f t="shared" si="168"/>
        <v>Friday</v>
      </c>
      <c r="T180" s="93" t="s">
        <v>246</v>
      </c>
      <c r="U180" s="94" t="s">
        <v>433</v>
      </c>
      <c r="V180" s="95" t="s">
        <v>567</v>
      </c>
      <c r="W180" s="95">
        <v>0.25</v>
      </c>
      <c r="X180" s="96"/>
      <c r="Y180" s="97">
        <f t="shared" si="177"/>
        <v>46066</v>
      </c>
      <c r="Z180" s="98" t="str">
        <f>SUBSTITUTE('Digitas UK Task 26'!$O180, "Complet", "Not Requir")</f>
        <v>Not Required</v>
      </c>
      <c r="AA180" s="98" t="str">
        <f t="shared" si="150"/>
        <v>WELLA | FY26Q3 PRO CARE ULTIMATE COLOR - DACH | TAG REQUEST</v>
      </c>
      <c r="AB180" s="99"/>
      <c r="AF180" s="84" t="str">
        <f t="shared" si="165"/>
        <v/>
      </c>
      <c r="AH180" s="84" t="str">
        <f t="shared" si="143"/>
        <v>PL_2_CR_2_AD_2_Jira_0_</v>
      </c>
      <c r="AI180" s="84" t="str">
        <f t="shared" si="144"/>
        <v>PL_2_CR_2_AD_2_Jira_0_</v>
      </c>
      <c r="AJ180" s="84" t="str">
        <f>IF(Z180&lt;&gt;"Done","",(_xlfn.CONCAT("PL_",DigitasUKAdOp_26Team[[#This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81" spans="1:36" ht="15.75" customHeight="1" x14ac:dyDescent="0.3">
      <c r="A181" s="85" t="str">
        <f t="shared" ref="A181:A183" si="207">IF(B181="","",TEXT(B181,"MMM : DDDD"))</f>
        <v>Feb : Monday</v>
      </c>
      <c r="B181" s="86">
        <v>46069</v>
      </c>
      <c r="C181" s="87" t="s">
        <v>334</v>
      </c>
      <c r="D181" s="88" t="s">
        <v>465</v>
      </c>
      <c r="E181" s="87" t="s">
        <v>428</v>
      </c>
      <c r="F181" s="88" t="s">
        <v>466</v>
      </c>
      <c r="G181" s="88" t="s">
        <v>546</v>
      </c>
      <c r="H181" s="87" t="s">
        <v>269</v>
      </c>
      <c r="I181" s="87" t="s">
        <v>250</v>
      </c>
      <c r="J181" s="88">
        <v>10</v>
      </c>
      <c r="K181" s="88">
        <v>10</v>
      </c>
      <c r="L181" s="88">
        <v>10</v>
      </c>
      <c r="M181" s="89">
        <v>46069</v>
      </c>
      <c r="N181" s="88">
        <v>1</v>
      </c>
      <c r="O181" s="90" t="s">
        <v>432</v>
      </c>
      <c r="Q181" s="91">
        <f t="shared" ref="Q181:Q183" si="208">IF(B181="","",WEEKNUM(B181))</f>
        <v>8</v>
      </c>
      <c r="R181" s="91" t="str">
        <f t="shared" ref="R181:R183" si="209">IF(B181="","",TEXT(B181,"MMM"))</f>
        <v>Feb</v>
      </c>
      <c r="S181" s="92" t="str">
        <f t="shared" ref="S181:S183" si="210">IF(B181="","",TEXT(B181,"DDDD"))</f>
        <v>Monday</v>
      </c>
      <c r="T181" s="93" t="s">
        <v>237</v>
      </c>
      <c r="U181" s="94" t="s">
        <v>433</v>
      </c>
      <c r="W181" s="95">
        <v>1</v>
      </c>
      <c r="X181" s="96"/>
      <c r="Y181" s="97">
        <f t="shared" ref="Y181:Y183" si="211">IF(M181="","",M181)</f>
        <v>46069</v>
      </c>
      <c r="Z181" s="98" t="str">
        <f>SUBSTITUTE('Digitas UK Task 26'!$O181, "Complet", "Not Requir")</f>
        <v>Not Required</v>
      </c>
      <c r="AA181" s="98" t="str">
        <f t="shared" ref="AA181:AA183" si="212">IF(G181="","",G181)</f>
        <v>RE: Klaviyo EMEA - Trafficking Request - Mailchimp HTML - Q4 2025</v>
      </c>
      <c r="AB181" s="99"/>
      <c r="AF181" s="84" t="str">
        <f t="shared" ref="AF181:AF183" si="213">IF(AD181="","",WEEKNUM(AD181))</f>
        <v/>
      </c>
      <c r="AH181" s="84" t="str">
        <f t="shared" si="143"/>
        <v>PL_10_CR_10_AD_10_Jira_0_</v>
      </c>
      <c r="AI181" s="84" t="str">
        <f t="shared" si="144"/>
        <v>PL_10_CR_10_AD_10_Jira_0_</v>
      </c>
      <c r="AJ181" s="84" t="str">
        <f>IF(Z181&lt;&gt;"Done","",(_xlfn.CONCAT("PL_",DigitasUKAdOp_26Team[[#This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82" spans="1:36" ht="15.75" customHeight="1" x14ac:dyDescent="0.3">
      <c r="A182" s="85" t="str">
        <f t="shared" si="207"/>
        <v>Feb : Monday</v>
      </c>
      <c r="B182" s="86">
        <v>46069</v>
      </c>
      <c r="C182" s="87" t="s">
        <v>334</v>
      </c>
      <c r="D182" s="88" t="s">
        <v>465</v>
      </c>
      <c r="E182" s="87" t="s">
        <v>428</v>
      </c>
      <c r="F182" s="88" t="s">
        <v>471</v>
      </c>
      <c r="G182" s="88" t="s">
        <v>546</v>
      </c>
      <c r="H182" s="87" t="s">
        <v>269</v>
      </c>
      <c r="I182" s="87" t="s">
        <v>246</v>
      </c>
      <c r="J182" s="88">
        <v>10</v>
      </c>
      <c r="K182" s="88">
        <v>10</v>
      </c>
      <c r="L182" s="88">
        <v>10</v>
      </c>
      <c r="M182" s="89">
        <v>46069</v>
      </c>
      <c r="N182" s="88">
        <v>1</v>
      </c>
      <c r="O182" s="90" t="s">
        <v>432</v>
      </c>
      <c r="Q182" s="91">
        <f t="shared" si="208"/>
        <v>8</v>
      </c>
      <c r="R182" s="91" t="str">
        <f t="shared" si="209"/>
        <v>Feb</v>
      </c>
      <c r="S182" s="92" t="str">
        <f t="shared" si="210"/>
        <v>Monday</v>
      </c>
      <c r="T182" s="93" t="s">
        <v>250</v>
      </c>
      <c r="U182" s="94" t="s">
        <v>433</v>
      </c>
      <c r="W182" s="95">
        <v>0.5</v>
      </c>
      <c r="X182" s="96"/>
      <c r="Y182" s="97">
        <f t="shared" si="211"/>
        <v>46069</v>
      </c>
      <c r="Z182" s="98" t="str">
        <f>SUBSTITUTE('Digitas UK Task 26'!$O182, "Complet", "Not Requir")</f>
        <v>Not Required</v>
      </c>
      <c r="AA182" s="98" t="str">
        <f t="shared" si="212"/>
        <v>RE: Klaviyo EMEA - Trafficking Request - Mailchimp HTML - Q4 2025</v>
      </c>
      <c r="AB182" s="99"/>
      <c r="AF182" s="84" t="str">
        <f t="shared" si="213"/>
        <v/>
      </c>
      <c r="AH182" s="84" t="str">
        <f t="shared" si="143"/>
        <v>PL_10_CR_10_AD_10_Jira_0_</v>
      </c>
      <c r="AI182" s="84" t="str">
        <f t="shared" si="144"/>
        <v>PL_10_CR_10_AD_10_Jira_0_</v>
      </c>
      <c r="AJ182" s="84" t="str">
        <f>IF(Z182&lt;&gt;"Done","",(_xlfn.CONCAT("PL_",DigitasUKAdOp_26Team[[#This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83" spans="1:36" ht="15.75" customHeight="1" x14ac:dyDescent="0.3">
      <c r="A183" s="85" t="str">
        <f t="shared" si="207"/>
        <v>Feb : Monday</v>
      </c>
      <c r="B183" s="86">
        <v>46069</v>
      </c>
      <c r="C183" s="87" t="s">
        <v>334</v>
      </c>
      <c r="D183" s="88" t="s">
        <v>465</v>
      </c>
      <c r="E183" s="87" t="s">
        <v>428</v>
      </c>
      <c r="F183" s="88" t="s">
        <v>473</v>
      </c>
      <c r="G183" s="88" t="s">
        <v>546</v>
      </c>
      <c r="H183" s="87" t="s">
        <v>269</v>
      </c>
      <c r="I183" s="87" t="s">
        <v>237</v>
      </c>
      <c r="J183" s="88">
        <v>10</v>
      </c>
      <c r="K183" s="88">
        <v>10</v>
      </c>
      <c r="L183" s="88">
        <v>10</v>
      </c>
      <c r="M183" s="89">
        <v>46069</v>
      </c>
      <c r="N183" s="88">
        <v>1</v>
      </c>
      <c r="O183" s="90" t="s">
        <v>432</v>
      </c>
      <c r="Q183" s="91">
        <f t="shared" si="208"/>
        <v>8</v>
      </c>
      <c r="R183" s="91" t="str">
        <f t="shared" si="209"/>
        <v>Feb</v>
      </c>
      <c r="S183" s="92" t="str">
        <f t="shared" si="210"/>
        <v>Monday</v>
      </c>
      <c r="T183" s="93" t="s">
        <v>246</v>
      </c>
      <c r="U183" s="94" t="s">
        <v>433</v>
      </c>
      <c r="W183" s="95">
        <v>0.5</v>
      </c>
      <c r="X183" s="96"/>
      <c r="Y183" s="97">
        <f t="shared" si="211"/>
        <v>46069</v>
      </c>
      <c r="Z183" s="98" t="str">
        <f>SUBSTITUTE('Digitas UK Task 26'!$O183, "Complet", "Not Requir")</f>
        <v>Not Required</v>
      </c>
      <c r="AA183" s="98" t="str">
        <f t="shared" si="212"/>
        <v>RE: Klaviyo EMEA - Trafficking Request - Mailchimp HTML - Q4 2025</v>
      </c>
      <c r="AB183" s="99"/>
      <c r="AF183" s="84" t="str">
        <f t="shared" si="213"/>
        <v/>
      </c>
      <c r="AH183" s="84" t="str">
        <f t="shared" si="143"/>
        <v>PL_10_CR_10_AD_10_Jira_0_</v>
      </c>
      <c r="AI183" s="84" t="str">
        <f t="shared" si="144"/>
        <v>PL_10_CR_10_AD_10_Jira_0_</v>
      </c>
      <c r="AJ183" s="84" t="str">
        <f>IF(Z183&lt;&gt;"Done","",(_xlfn.CONCAT("PL_",DigitasUKAdOp_26Team[[#This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84" spans="1:36" ht="15.75" customHeight="1" x14ac:dyDescent="0.3">
      <c r="A184" s="85" t="str">
        <f t="shared" ref="A184" si="214">IF(B184="","",TEXT(B184,"MMM : DDDD"))</f>
        <v>Feb : Monday</v>
      </c>
      <c r="B184" s="86">
        <v>46069</v>
      </c>
      <c r="C184" s="87" t="s">
        <v>334</v>
      </c>
      <c r="D184" s="88" t="s">
        <v>465</v>
      </c>
      <c r="E184" s="87" t="s">
        <v>428</v>
      </c>
      <c r="F184" s="88" t="s">
        <v>473</v>
      </c>
      <c r="G184" s="88" t="s">
        <v>546</v>
      </c>
      <c r="H184" s="87" t="s">
        <v>443</v>
      </c>
      <c r="I184" s="87" t="s">
        <v>237</v>
      </c>
      <c r="J184" s="88">
        <v>0</v>
      </c>
      <c r="K184" s="88">
        <v>0</v>
      </c>
      <c r="L184" s="88">
        <v>0</v>
      </c>
      <c r="M184" s="89">
        <v>46069</v>
      </c>
      <c r="N184" s="88">
        <v>1</v>
      </c>
      <c r="O184" s="90" t="s">
        <v>432</v>
      </c>
      <c r="Q184" s="91">
        <f t="shared" ref="Q184" si="215">IF(B184="","",WEEKNUM(B184))</f>
        <v>8</v>
      </c>
      <c r="R184" s="91" t="str">
        <f t="shared" ref="R184" si="216">IF(B184="","",TEXT(B184,"MMM"))</f>
        <v>Feb</v>
      </c>
      <c r="S184" s="92" t="str">
        <f t="shared" ref="S184" si="217">IF(B184="","",TEXT(B184,"DDDD"))</f>
        <v>Monday</v>
      </c>
      <c r="T184" s="93" t="s">
        <v>237</v>
      </c>
      <c r="U184" s="94" t="s">
        <v>444</v>
      </c>
      <c r="W184" s="95">
        <v>0</v>
      </c>
      <c r="X184" s="96"/>
      <c r="Y184" s="97">
        <f t="shared" ref="Y184" si="218">IF(M184="","",M184)</f>
        <v>46069</v>
      </c>
      <c r="Z184" s="98" t="str">
        <f>SUBSTITUTE('Digitas UK Task 26'!$O184, "Complet", "Not Requir")</f>
        <v>Not Required</v>
      </c>
      <c r="AA184" s="98" t="str">
        <f t="shared" ref="AA184" si="219">IF(G184="","",G184)</f>
        <v>RE: Klaviyo EMEA - Trafficking Request - Mailchimp HTML - Q4 2025</v>
      </c>
      <c r="AB184" s="99"/>
      <c r="AF184" s="84" t="str">
        <f t="shared" ref="AF184" si="220">IF(AD184="","",WEEKNUM(AD184))</f>
        <v/>
      </c>
      <c r="AH184" s="84" t="str">
        <f t="shared" si="143"/>
        <v>PL_0_CR_0_AD_0_Jira_0_</v>
      </c>
      <c r="AI184" s="84" t="str">
        <f t="shared" si="144"/>
        <v/>
      </c>
      <c r="AJ184" s="84" t="str">
        <f>IF(Z184&lt;&gt;"Done","",(_xlfn.CONCAT("PL_",DigitasUKAdOp_26Team[[#This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85" spans="1:36" ht="15.75" customHeight="1" x14ac:dyDescent="0.3">
      <c r="A185" s="85" t="str">
        <f t="shared" si="169"/>
        <v>Feb : Tuesday</v>
      </c>
      <c r="B185" s="86">
        <v>46070</v>
      </c>
      <c r="C185" s="87" t="s">
        <v>318</v>
      </c>
      <c r="D185" s="88" t="s">
        <v>435</v>
      </c>
      <c r="E185" s="87" t="s">
        <v>428</v>
      </c>
      <c r="F185" s="88" t="s">
        <v>450</v>
      </c>
      <c r="G185" s="88" t="s">
        <v>550</v>
      </c>
      <c r="H185" s="87" t="s">
        <v>443</v>
      </c>
      <c r="I185" s="87" t="s">
        <v>250</v>
      </c>
      <c r="J185" s="88">
        <v>0</v>
      </c>
      <c r="K185" s="88">
        <v>0</v>
      </c>
      <c r="L185" s="88">
        <v>0</v>
      </c>
      <c r="M185" s="89">
        <v>46070</v>
      </c>
      <c r="N185" s="88">
        <v>1</v>
      </c>
      <c r="O185" s="90" t="s">
        <v>432</v>
      </c>
      <c r="Q185" s="91">
        <f t="shared" si="166"/>
        <v>8</v>
      </c>
      <c r="R185" s="91" t="str">
        <f t="shared" si="167"/>
        <v>Feb</v>
      </c>
      <c r="S185" s="92" t="str">
        <f t="shared" si="168"/>
        <v>Tuesday</v>
      </c>
      <c r="T185" s="93" t="s">
        <v>250</v>
      </c>
      <c r="U185" s="94" t="s">
        <v>444</v>
      </c>
      <c r="W185" s="95">
        <v>0</v>
      </c>
      <c r="X185" s="96"/>
      <c r="Y185" s="97">
        <f t="shared" si="177"/>
        <v>46070</v>
      </c>
      <c r="Z185" s="98" t="str">
        <f>SUBSTITUTE('Digitas UK Task 26'!$O185, "Complet", "Not Requir")</f>
        <v>Not Required</v>
      </c>
      <c r="AA185" s="98" t="str">
        <f t="shared" si="150"/>
        <v>RE: WELLA | FY26Q3 ULTIMATE COLOR - ITALY | TAG REQUEST</v>
      </c>
      <c r="AB185" s="99"/>
      <c r="AF185" s="84" t="str">
        <f t="shared" si="165"/>
        <v/>
      </c>
      <c r="AH185" s="84" t="str">
        <f t="shared" si="143"/>
        <v>PL_0_CR_0_AD_0_Jira_0_</v>
      </c>
      <c r="AI185" s="84" t="str">
        <f t="shared" si="144"/>
        <v/>
      </c>
      <c r="AJ185" s="84" t="str">
        <f>IF(Z185&lt;&gt;"Done","",(_xlfn.CONCAT("PL_",DigitasUKAdOp_26Team[[#This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86" spans="1:36" ht="15.75" customHeight="1" x14ac:dyDescent="0.3">
      <c r="A186" s="85" t="str">
        <f t="shared" si="169"/>
        <v>Feb : Tuesday</v>
      </c>
      <c r="B186" s="86">
        <v>46070</v>
      </c>
      <c r="C186" s="87" t="s">
        <v>318</v>
      </c>
      <c r="D186" s="88" t="s">
        <v>435</v>
      </c>
      <c r="E186" s="87" t="s">
        <v>428</v>
      </c>
      <c r="F186" s="88" t="s">
        <v>549</v>
      </c>
      <c r="G186" s="88" t="s">
        <v>550</v>
      </c>
      <c r="H186" s="87" t="s">
        <v>269</v>
      </c>
      <c r="I186" s="87" t="s">
        <v>431</v>
      </c>
      <c r="J186" s="88">
        <v>8</v>
      </c>
      <c r="K186" s="88">
        <v>8</v>
      </c>
      <c r="L186" s="88">
        <v>8</v>
      </c>
      <c r="M186" s="89">
        <v>46070</v>
      </c>
      <c r="N186" s="88">
        <v>1</v>
      </c>
      <c r="O186" s="90" t="s">
        <v>432</v>
      </c>
      <c r="Q186" s="91">
        <f t="shared" si="166"/>
        <v>8</v>
      </c>
      <c r="R186" s="91" t="str">
        <f t="shared" si="167"/>
        <v>Feb</v>
      </c>
      <c r="S186" s="92" t="str">
        <f t="shared" si="168"/>
        <v>Tuesday</v>
      </c>
      <c r="T186" s="93" t="s">
        <v>246</v>
      </c>
      <c r="U186" s="94" t="s">
        <v>433</v>
      </c>
      <c r="W186" s="95">
        <v>0.25</v>
      </c>
      <c r="X186" s="96"/>
      <c r="Y186" s="97">
        <f t="shared" si="177"/>
        <v>46070</v>
      </c>
      <c r="Z186" s="98" t="str">
        <f>SUBSTITUTE('Digitas UK Task 26'!$O186, "Complet", "Not Requir")</f>
        <v>Not Required</v>
      </c>
      <c r="AA186" s="98" t="str">
        <f t="shared" si="150"/>
        <v>RE: WELLA | FY26Q3 ULTIMATE COLOR - ITALY | TAG REQUEST</v>
      </c>
      <c r="AB186" s="99"/>
      <c r="AF186" s="84" t="str">
        <f t="shared" si="165"/>
        <v/>
      </c>
      <c r="AH186" s="84" t="str">
        <f t="shared" si="143"/>
        <v>PL_8_CR_8_AD_8_Jira_0_</v>
      </c>
      <c r="AI186" s="84" t="str">
        <f t="shared" si="144"/>
        <v>PL_8_CR_8_AD_8_Jira_0_</v>
      </c>
      <c r="AJ186" s="84" t="str">
        <f>IF(Z186&lt;&gt;"Done","",(_xlfn.CONCAT("PL_",DigitasUKAdOp_26Team[[#This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87" spans="1:36" ht="15.75" customHeight="1" x14ac:dyDescent="0.3">
      <c r="A187" s="85" t="str">
        <f t="shared" ref="A187:A188" si="221">IF(B187="","",TEXT(B187,"MMM : DDDD"))</f>
        <v>Feb : Tuesday</v>
      </c>
      <c r="B187" s="86">
        <v>46070</v>
      </c>
      <c r="C187" s="87" t="s">
        <v>318</v>
      </c>
      <c r="D187" s="88" t="s">
        <v>537</v>
      </c>
      <c r="E187" s="87" t="s">
        <v>428</v>
      </c>
      <c r="F187" s="88" t="s">
        <v>540</v>
      </c>
      <c r="G187" s="88" t="s">
        <v>575</v>
      </c>
      <c r="H187" s="87" t="s">
        <v>269</v>
      </c>
      <c r="I187" s="87" t="s">
        <v>250</v>
      </c>
      <c r="J187" s="88">
        <v>15</v>
      </c>
      <c r="K187" s="88">
        <v>15</v>
      </c>
      <c r="L187" s="88">
        <v>15</v>
      </c>
      <c r="M187" s="89">
        <v>46070</v>
      </c>
      <c r="N187" s="88">
        <v>1</v>
      </c>
      <c r="O187" s="90" t="s">
        <v>432</v>
      </c>
      <c r="Q187" s="91">
        <f t="shared" si="166"/>
        <v>8</v>
      </c>
      <c r="R187" s="91" t="str">
        <f t="shared" si="167"/>
        <v>Feb</v>
      </c>
      <c r="S187" s="92" t="str">
        <f t="shared" si="168"/>
        <v>Tuesday</v>
      </c>
      <c r="T187" s="93" t="s">
        <v>246</v>
      </c>
      <c r="U187" s="94" t="s">
        <v>433</v>
      </c>
      <c r="W187" s="95">
        <v>0.5</v>
      </c>
      <c r="X187" s="96"/>
      <c r="Y187" s="97">
        <f t="shared" si="177"/>
        <v>46070</v>
      </c>
      <c r="Z187" s="98" t="str">
        <f>SUBSTITUTE('Digitas UK Task 26'!$O187, "Complet", "Not Requir")</f>
        <v>Not Required</v>
      </c>
      <c r="AA187" s="98" t="str">
        <f t="shared" si="150"/>
        <v>RE: WELLA | FY26Q3 WELLA SEBASTIAN FRANCE | TAG REQUEST</v>
      </c>
      <c r="AB187" s="99"/>
      <c r="AF187" s="84" t="str">
        <f t="shared" si="165"/>
        <v/>
      </c>
      <c r="AH187" s="84" t="str">
        <f t="shared" si="143"/>
        <v>PL_15_CR_15_AD_15_Jira_0_</v>
      </c>
      <c r="AI187" s="84" t="str">
        <f t="shared" si="144"/>
        <v>PL_15_CR_15_AD_15_Jira_0_</v>
      </c>
      <c r="AJ187" s="84" t="str">
        <f>IF(Z187&lt;&gt;"Done","",(_xlfn.CONCAT("PL_",DigitasUKAdOp_26Team[[#This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88" spans="1:36" ht="15.75" customHeight="1" x14ac:dyDescent="0.3">
      <c r="A188" s="85" t="str">
        <f t="shared" si="221"/>
        <v>Feb : Tuesday</v>
      </c>
      <c r="B188" s="86">
        <v>46070</v>
      </c>
      <c r="C188" s="87" t="s">
        <v>318</v>
      </c>
      <c r="D188" s="88" t="s">
        <v>537</v>
      </c>
      <c r="E188" s="87" t="s">
        <v>428</v>
      </c>
      <c r="F188" s="88" t="s">
        <v>538</v>
      </c>
      <c r="G188" s="88" t="s">
        <v>575</v>
      </c>
      <c r="H188" s="87" t="s">
        <v>269</v>
      </c>
      <c r="I188" s="87" t="s">
        <v>250</v>
      </c>
      <c r="J188" s="88">
        <v>15</v>
      </c>
      <c r="K188" s="88">
        <v>15</v>
      </c>
      <c r="L188" s="88">
        <v>15</v>
      </c>
      <c r="M188" s="89">
        <v>46070</v>
      </c>
      <c r="N188" s="88">
        <v>1</v>
      </c>
      <c r="O188" s="90" t="s">
        <v>432</v>
      </c>
      <c r="Q188" s="91">
        <f t="shared" si="166"/>
        <v>8</v>
      </c>
      <c r="R188" s="91" t="str">
        <f t="shared" si="167"/>
        <v>Feb</v>
      </c>
      <c r="S188" s="92" t="str">
        <f t="shared" si="168"/>
        <v>Tuesday</v>
      </c>
      <c r="T188" s="93" t="s">
        <v>246</v>
      </c>
      <c r="U188" s="94" t="s">
        <v>433</v>
      </c>
      <c r="W188" s="95">
        <v>0.5</v>
      </c>
      <c r="X188" s="96"/>
      <c r="Y188" s="97">
        <f t="shared" si="177"/>
        <v>46070</v>
      </c>
      <c r="Z188" s="98" t="str">
        <f>SUBSTITUTE('Digitas UK Task 26'!$O188, "Complet", "Not Requir")</f>
        <v>Not Required</v>
      </c>
      <c r="AA188" s="98" t="str">
        <f t="shared" si="150"/>
        <v>RE: WELLA | FY26Q3 WELLA SEBASTIAN FRANCE | TAG REQUEST</v>
      </c>
      <c r="AB188" s="99"/>
      <c r="AF188" s="84" t="str">
        <f t="shared" si="165"/>
        <v/>
      </c>
      <c r="AH188" s="84" t="str">
        <f t="shared" si="143"/>
        <v>PL_15_CR_15_AD_15_Jira_0_</v>
      </c>
      <c r="AI188" s="84" t="str">
        <f t="shared" si="144"/>
        <v>PL_15_CR_15_AD_15_Jira_0_</v>
      </c>
      <c r="AJ188" s="84" t="str">
        <f>IF(Z188&lt;&gt;"Done","",(_xlfn.CONCAT("PL_",DigitasUKAdOp_26Team[[#This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89" spans="1:36" ht="15.75" customHeight="1" x14ac:dyDescent="0.3">
      <c r="A189" s="85" t="str">
        <f t="shared" ref="A189" si="222">IF(B189="","",TEXT(B189,"MMM : DDDD"))</f>
        <v>Feb : Tuesday</v>
      </c>
      <c r="B189" s="86">
        <v>46070</v>
      </c>
      <c r="C189" s="87" t="s">
        <v>344</v>
      </c>
      <c r="D189" s="88" t="s">
        <v>452</v>
      </c>
      <c r="E189" s="87" t="s">
        <v>428</v>
      </c>
      <c r="F189" s="88" t="s">
        <v>522</v>
      </c>
      <c r="G189" s="88" t="s">
        <v>525</v>
      </c>
      <c r="H189" s="87" t="s">
        <v>269</v>
      </c>
      <c r="I189" s="87" t="s">
        <v>237</v>
      </c>
      <c r="J189" s="88">
        <v>20</v>
      </c>
      <c r="K189" s="88">
        <v>20</v>
      </c>
      <c r="L189" s="88">
        <v>20</v>
      </c>
      <c r="M189" s="89">
        <v>46070</v>
      </c>
      <c r="N189" s="88">
        <v>0.75</v>
      </c>
      <c r="O189" s="90" t="s">
        <v>432</v>
      </c>
      <c r="Q189" s="91">
        <f t="shared" si="166"/>
        <v>8</v>
      </c>
      <c r="R189" s="91" t="str">
        <f t="shared" si="167"/>
        <v>Feb</v>
      </c>
      <c r="S189" s="92" t="str">
        <f t="shared" si="168"/>
        <v>Tuesday</v>
      </c>
      <c r="T189" s="93" t="s">
        <v>250</v>
      </c>
      <c r="U189" s="94" t="s">
        <v>433</v>
      </c>
      <c r="V189" s="95" t="s">
        <v>576</v>
      </c>
      <c r="W189" s="95">
        <v>0.5</v>
      </c>
      <c r="X189" s="96"/>
      <c r="Y189" s="97">
        <f t="shared" si="177"/>
        <v>46070</v>
      </c>
      <c r="Z189" s="98" t="str">
        <f>SUBSTITUTE('Digitas UK Task 26'!$O189, "Complet", "Not Requir")</f>
        <v>Not Required</v>
      </c>
      <c r="AA189" s="98" t="str">
        <f t="shared" si="150"/>
        <v>RE: RE: Digitas x Monzo | Tagging support I CTV</v>
      </c>
      <c r="AB189" s="99"/>
      <c r="AF189" s="84" t="str">
        <f t="shared" si="165"/>
        <v/>
      </c>
      <c r="AH189" s="84" t="str">
        <f t="shared" si="143"/>
        <v>PL_20_CR_20_AD_20_Jira_0_</v>
      </c>
      <c r="AI189" s="84" t="str">
        <f t="shared" si="144"/>
        <v>PL_20_CR_20_AD_20_Jira_0_</v>
      </c>
      <c r="AJ189" s="84" t="str">
        <f>IF(Z189&lt;&gt;"Done","",(_xlfn.CONCAT("PL_",DigitasUKAdOp_26Team[[#This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90" spans="1:36" ht="15.75" customHeight="1" x14ac:dyDescent="0.3">
      <c r="A190" s="85" t="str">
        <f>IF(B190="","",TEXT(B190,"MMM : DDDD"))</f>
        <v>Feb : Tuesday</v>
      </c>
      <c r="B190" s="86">
        <v>46070</v>
      </c>
      <c r="C190" s="87" t="s">
        <v>344</v>
      </c>
      <c r="D190" s="88" t="s">
        <v>452</v>
      </c>
      <c r="E190" s="87" t="s">
        <v>428</v>
      </c>
      <c r="F190" s="88" t="s">
        <v>522</v>
      </c>
      <c r="G190" s="88" t="s">
        <v>525</v>
      </c>
      <c r="H190" s="87" t="s">
        <v>443</v>
      </c>
      <c r="I190" s="87" t="s">
        <v>237</v>
      </c>
      <c r="J190" s="88">
        <v>0</v>
      </c>
      <c r="K190" s="88">
        <v>0</v>
      </c>
      <c r="L190" s="88">
        <v>0</v>
      </c>
      <c r="M190" s="89">
        <v>46070</v>
      </c>
      <c r="N190" s="88">
        <v>1</v>
      </c>
      <c r="O190" s="90" t="s">
        <v>432</v>
      </c>
      <c r="Q190" s="91">
        <f>IF(B190="","",WEEKNUM(B190))</f>
        <v>8</v>
      </c>
      <c r="R190" s="91" t="str">
        <f>IF(B190="","",TEXT(B190,"MMM"))</f>
        <v>Feb</v>
      </c>
      <c r="S190" s="92" t="str">
        <f>IF(B190="","",TEXT(B190,"DDDD"))</f>
        <v>Tuesday</v>
      </c>
      <c r="T190" s="93" t="s">
        <v>237</v>
      </c>
      <c r="U190" s="94" t="s">
        <v>444</v>
      </c>
      <c r="W190" s="95">
        <v>0</v>
      </c>
      <c r="X190" s="96"/>
      <c r="Y190" s="97">
        <f>IF(M190="","",M190)</f>
        <v>46070</v>
      </c>
      <c r="Z190" s="98" t="str">
        <f>SUBSTITUTE('Digitas UK Task 26'!$O190, "Complet", "Not Requir")</f>
        <v>Not Required</v>
      </c>
      <c r="AA190" s="98" t="str">
        <f>IF(G190="","",G190)</f>
        <v>RE: RE: Digitas x Monzo | Tagging support I CTV</v>
      </c>
      <c r="AB190" s="99"/>
      <c r="AF190" s="84" t="str">
        <f>IF(AD190="","",WEEKNUM(AD190))</f>
        <v/>
      </c>
      <c r="AH190" s="84" t="str">
        <f t="shared" si="143"/>
        <v>PL_0_CR_0_AD_0_Jira_0_</v>
      </c>
      <c r="AI190" s="84" t="str">
        <f t="shared" si="144"/>
        <v/>
      </c>
      <c r="AJ190" s="84" t="str">
        <f>IF(Z190&lt;&gt;"Done","",(_xlfn.CONCAT("PL_",DigitasUKAdOp_26Team[[#This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91" spans="1:36" ht="15.75" customHeight="1" x14ac:dyDescent="0.3">
      <c r="A191" s="85" t="str">
        <f t="shared" si="169"/>
        <v>Feb : Tuesday</v>
      </c>
      <c r="B191" s="86">
        <v>46070</v>
      </c>
      <c r="C191" s="87" t="s">
        <v>325</v>
      </c>
      <c r="D191" s="88" t="s">
        <v>577</v>
      </c>
      <c r="E191" s="87" t="s">
        <v>428</v>
      </c>
      <c r="F191" s="88" t="s">
        <v>450</v>
      </c>
      <c r="G191" s="88" t="s">
        <v>578</v>
      </c>
      <c r="H191" s="87" t="s">
        <v>443</v>
      </c>
      <c r="I191" s="87" t="s">
        <v>237</v>
      </c>
      <c r="J191" s="88">
        <v>0</v>
      </c>
      <c r="K191" s="88">
        <v>0</v>
      </c>
      <c r="L191" s="88">
        <v>0</v>
      </c>
      <c r="M191" s="89">
        <v>46070</v>
      </c>
      <c r="N191" s="88">
        <v>1.5</v>
      </c>
      <c r="O191" s="90" t="s">
        <v>432</v>
      </c>
      <c r="Q191" s="91">
        <f>IF(B191="","",WEEKNUM(B191))</f>
        <v>8</v>
      </c>
      <c r="R191" s="91" t="str">
        <f>IF(B191="","",TEXT(B191,"MMM"))</f>
        <v>Feb</v>
      </c>
      <c r="S191" s="92" t="str">
        <f>IF(B191="","",TEXT(B191,"DDDD"))</f>
        <v>Tuesday</v>
      </c>
      <c r="T191" s="93" t="s">
        <v>237</v>
      </c>
      <c r="U191" s="94" t="s">
        <v>444</v>
      </c>
      <c r="W191" s="95">
        <v>0</v>
      </c>
      <c r="X191" s="96"/>
      <c r="Y191" s="97">
        <f t="shared" si="177"/>
        <v>46070</v>
      </c>
      <c r="Z191" s="98" t="str">
        <f>SUBSTITUTE('Digitas UK Task 26'!$O191, "Complet", "Not Requir")</f>
        <v>Not Required</v>
      </c>
      <c r="AA191" s="98" t="str">
        <f t="shared" si="150"/>
        <v>RE: Choose Cathay Trafficking Request</v>
      </c>
      <c r="AB191" s="99"/>
      <c r="AF191" s="84" t="str">
        <f t="shared" si="165"/>
        <v/>
      </c>
      <c r="AH191" s="84" t="str">
        <f t="shared" si="143"/>
        <v>PL_0_CR_0_AD_0_Jira_0_</v>
      </c>
      <c r="AI191" s="84" t="str">
        <f t="shared" si="144"/>
        <v/>
      </c>
      <c r="AJ191" s="84" t="str">
        <f>IF(Z191&lt;&gt;"Done","",(_xlfn.CONCAT("PL_",DigitasUKAdOp_26Team[[#This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92" spans="1:36" ht="15.75" customHeight="1" x14ac:dyDescent="0.3">
      <c r="A192" s="85" t="str">
        <f t="shared" si="169"/>
        <v>Feb : Wednesday</v>
      </c>
      <c r="B192" s="86">
        <v>46071</v>
      </c>
      <c r="C192" s="87" t="s">
        <v>325</v>
      </c>
      <c r="D192" s="88" t="s">
        <v>579</v>
      </c>
      <c r="E192" s="87" t="s">
        <v>428</v>
      </c>
      <c r="F192" s="88" t="s">
        <v>450</v>
      </c>
      <c r="H192" s="87" t="s">
        <v>443</v>
      </c>
      <c r="I192" s="87" t="s">
        <v>250</v>
      </c>
      <c r="J192" s="88">
        <v>0</v>
      </c>
      <c r="K192" s="88">
        <v>0</v>
      </c>
      <c r="L192" s="88">
        <v>0</v>
      </c>
      <c r="M192" s="89">
        <v>46071</v>
      </c>
      <c r="N192" s="88">
        <v>1</v>
      </c>
      <c r="O192" s="90" t="s">
        <v>432</v>
      </c>
      <c r="Q192" s="91">
        <f t="shared" si="166"/>
        <v>8</v>
      </c>
      <c r="R192" s="91" t="str">
        <f t="shared" si="167"/>
        <v>Feb</v>
      </c>
      <c r="S192" s="92" t="str">
        <f t="shared" si="168"/>
        <v>Wednesday</v>
      </c>
      <c r="T192" s="93" t="s">
        <v>250</v>
      </c>
      <c r="U192" s="94" t="s">
        <v>444</v>
      </c>
      <c r="W192" s="95">
        <v>0</v>
      </c>
      <c r="X192" s="96"/>
      <c r="Y192" s="97">
        <f t="shared" si="177"/>
        <v>46071</v>
      </c>
      <c r="Z192" s="98" t="str">
        <f>SUBSTITUTE('Digitas UK Task 26'!$O192, "Complet", "Not Requir")</f>
        <v>Not Required</v>
      </c>
      <c r="AA192" s="98" t="str">
        <f>IF(G194="","",G194)</f>
        <v>RE: WELLA | FY26Q3 PRO CARE ULTIMATE COLOR - DACH | TAG REQUEST</v>
      </c>
      <c r="AB192" s="99"/>
      <c r="AF192" s="84" t="str">
        <f t="shared" si="165"/>
        <v/>
      </c>
      <c r="AH192" s="84" t="str">
        <f t="shared" si="143"/>
        <v>PL_0_CR_0_AD_0_Jira_0_</v>
      </c>
      <c r="AI192" s="84" t="str">
        <f t="shared" si="144"/>
        <v/>
      </c>
      <c r="AJ192" s="84" t="str">
        <f>IF(Z192&lt;&gt;"Done","",(_xlfn.CONCAT("PL_",DigitasUKAdOp_26Team[[#This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93" spans="1:36" ht="15.75" customHeight="1" x14ac:dyDescent="0.3">
      <c r="A193" s="85" t="str">
        <f t="shared" si="169"/>
        <v>Feb : Wednesday</v>
      </c>
      <c r="B193" s="86">
        <v>46071</v>
      </c>
      <c r="C193" s="87" t="s">
        <v>318</v>
      </c>
      <c r="D193" s="88" t="s">
        <v>435</v>
      </c>
      <c r="E193" s="87" t="s">
        <v>428</v>
      </c>
      <c r="F193" s="88" t="s">
        <v>573</v>
      </c>
      <c r="G193" s="88" t="s">
        <v>580</v>
      </c>
      <c r="H193" s="87" t="s">
        <v>269</v>
      </c>
      <c r="I193" s="87" t="s">
        <v>431</v>
      </c>
      <c r="J193" s="88">
        <v>2</v>
      </c>
      <c r="K193" s="88">
        <v>2</v>
      </c>
      <c r="L193" s="88">
        <v>2</v>
      </c>
      <c r="M193" s="89">
        <v>46071</v>
      </c>
      <c r="N193" s="88">
        <v>0.5</v>
      </c>
      <c r="O193" s="90" t="s">
        <v>432</v>
      </c>
      <c r="Q193" s="91">
        <f t="shared" si="166"/>
        <v>8</v>
      </c>
      <c r="R193" s="91" t="str">
        <f t="shared" si="167"/>
        <v>Feb</v>
      </c>
      <c r="S193" s="92" t="str">
        <f t="shared" si="168"/>
        <v>Wednesday</v>
      </c>
      <c r="T193" s="93" t="s">
        <v>250</v>
      </c>
      <c r="U193" s="94" t="s">
        <v>433</v>
      </c>
      <c r="W193" s="95">
        <v>0.25</v>
      </c>
      <c r="X193" s="96"/>
      <c r="Y193" s="97">
        <f t="shared" si="177"/>
        <v>46071</v>
      </c>
      <c r="Z193" s="98" t="str">
        <f>SUBSTITUTE('Digitas UK Task 26'!$O193, "Complet", "Not Requir")</f>
        <v>Not Required</v>
      </c>
      <c r="AA193" s="98" t="str">
        <f t="shared" ref="AA193:AA258" si="223">IF(G193="","",G193)</f>
        <v>RE: WELLA | FY26Q3 PRO CARE ULTIMATE COLOR - DACH | TAG REQUEST</v>
      </c>
      <c r="AB193" s="99"/>
      <c r="AF193" s="84" t="str">
        <f t="shared" si="165"/>
        <v/>
      </c>
      <c r="AH193" s="84" t="str">
        <f t="shared" si="143"/>
        <v>PL_2_CR_2_AD_2_Jira_0_</v>
      </c>
      <c r="AI193" s="84" t="str">
        <f t="shared" si="144"/>
        <v>PL_2_CR_2_AD_2_Jira_0_</v>
      </c>
      <c r="AJ193" s="84" t="str">
        <f>IF(Z193&lt;&gt;"Done","",(_xlfn.CONCAT("PL_",DigitasUKAdOp_26Team[[#This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94" spans="1:36" ht="15.75" customHeight="1" x14ac:dyDescent="0.3">
      <c r="A194" s="85" t="str">
        <f t="shared" si="169"/>
        <v>Feb : Wednesday</v>
      </c>
      <c r="B194" s="86">
        <v>46071</v>
      </c>
      <c r="C194" s="87" t="s">
        <v>318</v>
      </c>
      <c r="D194" s="88" t="s">
        <v>435</v>
      </c>
      <c r="E194" s="87" t="s">
        <v>428</v>
      </c>
      <c r="F194" s="88" t="s">
        <v>581</v>
      </c>
      <c r="G194" s="88" t="s">
        <v>580</v>
      </c>
      <c r="H194" s="87" t="s">
        <v>269</v>
      </c>
      <c r="I194" s="87" t="s">
        <v>431</v>
      </c>
      <c r="J194" s="88">
        <v>2</v>
      </c>
      <c r="K194" s="88">
        <v>2</v>
      </c>
      <c r="L194" s="88">
        <v>2</v>
      </c>
      <c r="M194" s="89">
        <v>46071</v>
      </c>
      <c r="N194" s="88">
        <v>0.5</v>
      </c>
      <c r="O194" s="90" t="s">
        <v>432</v>
      </c>
      <c r="Q194" s="91">
        <f t="shared" si="166"/>
        <v>8</v>
      </c>
      <c r="R194" s="91" t="str">
        <f t="shared" si="167"/>
        <v>Feb</v>
      </c>
      <c r="S194" s="92" t="str">
        <f t="shared" si="168"/>
        <v>Wednesday</v>
      </c>
      <c r="T194" s="93" t="s">
        <v>250</v>
      </c>
      <c r="U194" s="94" t="s">
        <v>433</v>
      </c>
      <c r="W194" s="95">
        <v>0.25</v>
      </c>
      <c r="X194" s="96"/>
      <c r="Y194" s="97">
        <f t="shared" si="177"/>
        <v>46071</v>
      </c>
      <c r="Z194" s="98" t="str">
        <f>SUBSTITUTE('Digitas UK Task 26'!$O194, "Complet", "Not Requir")</f>
        <v>Not Required</v>
      </c>
      <c r="AA194" s="98" t="e">
        <f>IF(#REF!="","",#REF!)</f>
        <v>#REF!</v>
      </c>
      <c r="AB194" s="99"/>
      <c r="AF194" s="84" t="str">
        <f t="shared" si="165"/>
        <v/>
      </c>
      <c r="AH194" s="84" t="str">
        <f t="shared" ref="AH194:AH257" si="224">IF(B194="","",_xlfn.CONCAT("PL_",J194,"_CR_",K194,"_AD_",L194,"_Jira_",IF(AND(C194="P&amp;G",ISNUMBER(SEARCH("TAAGPNG-",G194))),MID(G194,SEARCH("TAAGPNG-",G194)+8,LEN(G194)-SEARCH("TAAGPNG-",G194)-7),"0"),"_"))</f>
        <v>PL_2_CR_2_AD_2_Jira_0_</v>
      </c>
      <c r="AI194" s="84" t="str">
        <f t="shared" ref="AI194:AI257" si="225">IF(U194&lt;&gt;"Done","",_xlfn.CONCAT("PL_",J194,"_CR_",K194,"_AD_",L194,"_Jira_",IF(AND(C194="P&amp;G",ISNUMBER(SEARCH("TAAGPNG-",G194))),MID(G194,SEARCH("TAAGPNG-",G194)+8,LEN(G194)-SEARCH("TAAGPNG-",G194)-7),"0"),"_"))</f>
        <v>PL_2_CR_2_AD_2_Jira_0_</v>
      </c>
      <c r="AJ194" s="84" t="str">
        <f>IF(Z194&lt;&gt;"Done","",(_xlfn.CONCAT("PL_",DigitasUKAdOp_26Team[[#This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95" spans="1:36" ht="15.75" customHeight="1" x14ac:dyDescent="0.3">
      <c r="A195" s="85" t="str">
        <f t="shared" si="169"/>
        <v>Feb : Wednesday</v>
      </c>
      <c r="B195" s="86">
        <v>46071</v>
      </c>
      <c r="C195" s="87" t="s">
        <v>325</v>
      </c>
      <c r="D195" s="88" t="s">
        <v>555</v>
      </c>
      <c r="E195" s="87" t="s">
        <v>428</v>
      </c>
      <c r="F195" s="88" t="s">
        <v>556</v>
      </c>
      <c r="G195" s="88" t="s">
        <v>554</v>
      </c>
      <c r="H195" s="87" t="s">
        <v>269</v>
      </c>
      <c r="I195" s="87" t="s">
        <v>246</v>
      </c>
      <c r="J195" s="88">
        <v>2</v>
      </c>
      <c r="K195" s="88">
        <v>2</v>
      </c>
      <c r="L195" s="88">
        <v>2</v>
      </c>
      <c r="M195" s="89">
        <v>46071</v>
      </c>
      <c r="N195" s="88">
        <v>1</v>
      </c>
      <c r="O195" s="90" t="s">
        <v>432</v>
      </c>
      <c r="Q195" s="91">
        <f t="shared" si="166"/>
        <v>8</v>
      </c>
      <c r="R195" s="91" t="str">
        <f t="shared" si="167"/>
        <v>Feb</v>
      </c>
      <c r="S195" s="92" t="str">
        <f t="shared" si="168"/>
        <v>Wednesday</v>
      </c>
      <c r="T195" s="93" t="s">
        <v>250</v>
      </c>
      <c r="U195" s="94" t="s">
        <v>433</v>
      </c>
      <c r="W195" s="95">
        <v>0.5</v>
      </c>
      <c r="X195" s="96"/>
      <c r="Y195" s="97">
        <f t="shared" si="177"/>
        <v>46071</v>
      </c>
      <c r="Z195" s="98" t="str">
        <f>SUBSTITUTE('Digitas UK Task 26'!$O195, "Complet", "Not Requir")</f>
        <v>Not Required</v>
      </c>
      <c r="AA195" s="98" t="str">
        <f t="shared" si="223"/>
        <v>RE: URGENT - Cathay Pacific trafficking - DIG AUDIO</v>
      </c>
      <c r="AB195" s="99"/>
      <c r="AF195" s="84" t="str">
        <f t="shared" si="165"/>
        <v/>
      </c>
      <c r="AH195" s="84" t="str">
        <f t="shared" si="224"/>
        <v>PL_2_CR_2_AD_2_Jira_0_</v>
      </c>
      <c r="AI195" s="84" t="str">
        <f t="shared" si="225"/>
        <v>PL_2_CR_2_AD_2_Jira_0_</v>
      </c>
      <c r="AJ195" s="84" t="str">
        <f>IF(Z195&lt;&gt;"Done","",(_xlfn.CONCAT("PL_",DigitasUKAdOp_26Team[[#This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96" spans="1:36" ht="15.75" customHeight="1" x14ac:dyDescent="0.3">
      <c r="A196" s="85" t="str">
        <f t="shared" ref="A196" si="226">IF(B196="","",TEXT(B196,"MMM : DDDD"))</f>
        <v>Feb : Wednesday</v>
      </c>
      <c r="B196" s="86">
        <v>46071</v>
      </c>
      <c r="C196" s="87" t="s">
        <v>325</v>
      </c>
      <c r="D196" s="88" t="s">
        <v>555</v>
      </c>
      <c r="E196" s="87" t="s">
        <v>428</v>
      </c>
      <c r="F196" s="88" t="s">
        <v>556</v>
      </c>
      <c r="G196" s="88" t="s">
        <v>554</v>
      </c>
      <c r="H196" s="87" t="s">
        <v>521</v>
      </c>
      <c r="I196" s="87" t="s">
        <v>246</v>
      </c>
      <c r="J196" s="88">
        <v>2</v>
      </c>
      <c r="K196" s="88">
        <v>2</v>
      </c>
      <c r="L196" s="88">
        <v>2</v>
      </c>
      <c r="M196" s="89">
        <v>46071</v>
      </c>
      <c r="N196" s="88">
        <v>1</v>
      </c>
      <c r="O196" s="90" t="s">
        <v>432</v>
      </c>
      <c r="Q196" s="91">
        <f t="shared" ref="Q196" si="227">IF(B196="","",WEEKNUM(B196))</f>
        <v>8</v>
      </c>
      <c r="R196" s="91" t="str">
        <f t="shared" ref="R196" si="228">IF(B196="","",TEXT(B196,"MMM"))</f>
        <v>Feb</v>
      </c>
      <c r="S196" s="92" t="str">
        <f t="shared" ref="S196" si="229">IF(B196="","",TEXT(B196,"DDDD"))</f>
        <v>Wednesday</v>
      </c>
      <c r="T196" s="93" t="s">
        <v>246</v>
      </c>
      <c r="U196" s="94" t="s">
        <v>444</v>
      </c>
      <c r="W196" s="95">
        <v>0</v>
      </c>
      <c r="X196" s="96"/>
      <c r="Y196" s="97">
        <f t="shared" ref="Y196" si="230">IF(M196="","",M196)</f>
        <v>46071</v>
      </c>
      <c r="Z196" s="98" t="str">
        <f>SUBSTITUTE('Digitas UK Task 26'!$O196, "Complet", "Not Requir")</f>
        <v>Not Required</v>
      </c>
      <c r="AA196" s="98" t="str">
        <f t="shared" ref="AA196" si="231">IF(G196="","",G196)</f>
        <v>RE: URGENT - Cathay Pacific trafficking - DIG AUDIO</v>
      </c>
      <c r="AB196" s="99"/>
      <c r="AF196" s="84" t="str">
        <f t="shared" ref="AF196" si="232">IF(AD196="","",WEEKNUM(AD196))</f>
        <v/>
      </c>
      <c r="AH196" s="84" t="str">
        <f t="shared" si="224"/>
        <v>PL_2_CR_2_AD_2_Jira_0_</v>
      </c>
      <c r="AI196" s="84" t="str">
        <f t="shared" si="225"/>
        <v/>
      </c>
      <c r="AJ196" s="84" t="str">
        <f>IF(Z196&lt;&gt;"Done","",(_xlfn.CONCAT("PL_",DigitasUKAdOp_26Team[[#This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97" spans="1:36" ht="15.75" customHeight="1" x14ac:dyDescent="0.3">
      <c r="A197" s="85" t="str">
        <f t="shared" si="169"/>
        <v>Feb : Thursday</v>
      </c>
      <c r="B197" s="86">
        <v>46072</v>
      </c>
      <c r="C197" s="87" t="s">
        <v>318</v>
      </c>
      <c r="D197" s="88" t="s">
        <v>435</v>
      </c>
      <c r="E197" s="87" t="s">
        <v>428</v>
      </c>
      <c r="F197" s="88" t="s">
        <v>439</v>
      </c>
      <c r="G197" s="88" t="s">
        <v>462</v>
      </c>
      <c r="H197" s="87" t="s">
        <v>269</v>
      </c>
      <c r="I197" s="87" t="s">
        <v>250</v>
      </c>
      <c r="J197" s="88">
        <v>1</v>
      </c>
      <c r="K197" s="88">
        <v>1</v>
      </c>
      <c r="L197" s="88">
        <v>1</v>
      </c>
      <c r="M197" s="89">
        <v>46072</v>
      </c>
      <c r="N197" s="88">
        <v>0.25</v>
      </c>
      <c r="O197" s="90" t="s">
        <v>432</v>
      </c>
      <c r="Q197" s="91">
        <f t="shared" si="166"/>
        <v>8</v>
      </c>
      <c r="R197" s="91" t="str">
        <f t="shared" si="167"/>
        <v>Feb</v>
      </c>
      <c r="S197" s="92" t="str">
        <f t="shared" si="168"/>
        <v>Thursday</v>
      </c>
      <c r="T197" s="93" t="s">
        <v>237</v>
      </c>
      <c r="U197" s="94" t="s">
        <v>433</v>
      </c>
      <c r="W197" s="95">
        <v>0.25</v>
      </c>
      <c r="X197" s="96"/>
      <c r="Y197" s="97">
        <f t="shared" si="177"/>
        <v>46072</v>
      </c>
      <c r="Z197" s="98" t="str">
        <f>SUBSTITUTE('Digitas UK Task 26'!$O197, "Complet", "Not Requir")</f>
        <v>Not Required</v>
      </c>
      <c r="AA197" s="98" t="str">
        <f t="shared" si="223"/>
        <v>RE: WELLA | FY26Q3 ULTIMATE COLOR UK | TAG REQUEST</v>
      </c>
      <c r="AB197" s="99"/>
      <c r="AF197" s="84" t="str">
        <f t="shared" si="165"/>
        <v/>
      </c>
      <c r="AH197" s="84" t="str">
        <f t="shared" si="224"/>
        <v>PL_1_CR_1_AD_1_Jira_0_</v>
      </c>
      <c r="AI197" s="84" t="str">
        <f t="shared" si="225"/>
        <v>PL_1_CR_1_AD_1_Jira_0_</v>
      </c>
      <c r="AJ197" s="84" t="str">
        <f>IF(Z197&lt;&gt;"Done","",(_xlfn.CONCAT("PL_",DigitasUKAdOp_26Team[[#This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98" spans="1:36" ht="15.75" customHeight="1" x14ac:dyDescent="0.3">
      <c r="A198" s="85" t="str">
        <f t="shared" si="169"/>
        <v>Feb : Thursday</v>
      </c>
      <c r="B198" s="86">
        <v>46072</v>
      </c>
      <c r="C198" s="87" t="s">
        <v>344</v>
      </c>
      <c r="D198" s="88" t="s">
        <v>452</v>
      </c>
      <c r="E198" s="87" t="s">
        <v>428</v>
      </c>
      <c r="F198" s="88" t="s">
        <v>522</v>
      </c>
      <c r="G198" s="88" t="s">
        <v>525</v>
      </c>
      <c r="H198" s="87" t="s">
        <v>269</v>
      </c>
      <c r="I198" s="87" t="s">
        <v>431</v>
      </c>
      <c r="J198" s="88">
        <v>9</v>
      </c>
      <c r="K198" s="88">
        <v>9</v>
      </c>
      <c r="L198" s="88">
        <v>9</v>
      </c>
      <c r="M198" s="89">
        <v>46072</v>
      </c>
      <c r="N198" s="88">
        <v>1</v>
      </c>
      <c r="O198" s="90" t="s">
        <v>432</v>
      </c>
      <c r="Q198" s="91">
        <f t="shared" si="166"/>
        <v>8</v>
      </c>
      <c r="R198" s="91" t="str">
        <f t="shared" si="167"/>
        <v>Feb</v>
      </c>
      <c r="S198" s="92" t="str">
        <f t="shared" si="168"/>
        <v>Thursday</v>
      </c>
      <c r="T198" s="93" t="s">
        <v>237</v>
      </c>
      <c r="U198" s="94" t="s">
        <v>433</v>
      </c>
      <c r="W198" s="95">
        <v>0.5</v>
      </c>
      <c r="X198" s="96"/>
      <c r="Y198" s="97">
        <f t="shared" si="177"/>
        <v>46072</v>
      </c>
      <c r="Z198" s="98" t="str">
        <f>SUBSTITUTE('Digitas UK Task 26'!$O198, "Complet", "Not Requir")</f>
        <v>Not Required</v>
      </c>
      <c r="AA198" s="98" t="str">
        <f t="shared" si="223"/>
        <v>RE: RE: Digitas x Monzo | Tagging support I CTV</v>
      </c>
      <c r="AB198" s="99"/>
      <c r="AF198" s="84" t="str">
        <f t="shared" si="165"/>
        <v/>
      </c>
      <c r="AH198" s="84" t="str">
        <f t="shared" si="224"/>
        <v>PL_9_CR_9_AD_9_Jira_0_</v>
      </c>
      <c r="AI198" s="84" t="str">
        <f t="shared" si="225"/>
        <v>PL_9_CR_9_AD_9_Jira_0_</v>
      </c>
      <c r="AJ198" s="84" t="str">
        <f>IF(Z198&lt;&gt;"Done","",(_xlfn.CONCAT("PL_",DigitasUKAdOp_26Team[[#This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199" spans="1:36" ht="15.75" customHeight="1" x14ac:dyDescent="0.3">
      <c r="A199" s="85" t="str">
        <f t="shared" ref="A199:A258" si="233">IF(B199="","",TEXT(B199,"MMM : DDDD"))</f>
        <v>Feb : Thursday</v>
      </c>
      <c r="B199" s="86">
        <v>46072</v>
      </c>
      <c r="C199" s="87" t="s">
        <v>318</v>
      </c>
      <c r="D199" s="88" t="s">
        <v>435</v>
      </c>
      <c r="E199" s="87" t="s">
        <v>428</v>
      </c>
      <c r="F199" s="88" t="s">
        <v>559</v>
      </c>
      <c r="G199" s="88" t="s">
        <v>484</v>
      </c>
      <c r="H199" s="87" t="s">
        <v>269</v>
      </c>
      <c r="I199" s="87" t="s">
        <v>250</v>
      </c>
      <c r="J199" s="88">
        <v>1</v>
      </c>
      <c r="K199" s="88">
        <v>1</v>
      </c>
      <c r="L199" s="88">
        <v>1</v>
      </c>
      <c r="M199" s="89">
        <v>46072</v>
      </c>
      <c r="N199" s="88">
        <v>0.25</v>
      </c>
      <c r="O199" s="90" t="s">
        <v>432</v>
      </c>
      <c r="Q199" s="91">
        <f t="shared" si="166"/>
        <v>8</v>
      </c>
      <c r="R199" s="91" t="str">
        <f t="shared" si="167"/>
        <v>Feb</v>
      </c>
      <c r="S199" s="92" t="str">
        <f t="shared" si="168"/>
        <v>Thursday</v>
      </c>
      <c r="T199" s="93" t="s">
        <v>246</v>
      </c>
      <c r="U199" s="94" t="s">
        <v>433</v>
      </c>
      <c r="W199" s="95">
        <v>0.25</v>
      </c>
      <c r="X199" s="96"/>
      <c r="Y199" s="97">
        <f t="shared" si="177"/>
        <v>46072</v>
      </c>
      <c r="Z199" s="98" t="str">
        <f>SUBSTITUTE('Digitas UK Task 26'!$O199, "Complet", "Not Requir")</f>
        <v>Not Required</v>
      </c>
      <c r="AA199" s="98" t="str">
        <f t="shared" si="223"/>
        <v>RE: WELLA | FY26Q3 NNE - UK | TAG REQUEST</v>
      </c>
      <c r="AB199" s="99"/>
      <c r="AF199" s="84" t="str">
        <f t="shared" si="165"/>
        <v/>
      </c>
      <c r="AH199" s="84" t="str">
        <f t="shared" si="224"/>
        <v>PL_1_CR_1_AD_1_Jira_0_</v>
      </c>
      <c r="AI199" s="84" t="str">
        <f t="shared" si="225"/>
        <v>PL_1_CR_1_AD_1_Jira_0_</v>
      </c>
      <c r="AJ199" s="84" t="str">
        <f>IF(Z199&lt;&gt;"Done","",(_xlfn.CONCAT("PL_",DigitasUKAdOp_26Team[[#This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00" spans="1:36" ht="15.75" customHeight="1" x14ac:dyDescent="0.3">
      <c r="A200" s="85" t="str">
        <f t="shared" si="233"/>
        <v>Feb : Thursday</v>
      </c>
      <c r="B200" s="86">
        <v>46072</v>
      </c>
      <c r="C200" s="87" t="s">
        <v>325</v>
      </c>
      <c r="D200" s="88" t="s">
        <v>577</v>
      </c>
      <c r="E200" s="87" t="s">
        <v>428</v>
      </c>
      <c r="F200" s="88" t="s">
        <v>450</v>
      </c>
      <c r="G200" s="88" t="s">
        <v>578</v>
      </c>
      <c r="H200" s="87" t="s">
        <v>443</v>
      </c>
      <c r="I200" s="87" t="s">
        <v>237</v>
      </c>
      <c r="J200" s="88">
        <v>0</v>
      </c>
      <c r="K200" s="88">
        <v>0</v>
      </c>
      <c r="L200" s="88">
        <v>0</v>
      </c>
      <c r="M200" s="89">
        <v>46072</v>
      </c>
      <c r="N200" s="88">
        <v>1</v>
      </c>
      <c r="O200" s="90" t="s">
        <v>432</v>
      </c>
      <c r="Q200" s="91">
        <f>IF(B200="","",WEEKNUM(B200))</f>
        <v>8</v>
      </c>
      <c r="R200" s="91" t="str">
        <f>IF(B200="","",TEXT(B200,"MMM"))</f>
        <v>Feb</v>
      </c>
      <c r="S200" s="92" t="str">
        <f>IF(B200="","",TEXT(B200,"DDDD"))</f>
        <v>Thursday</v>
      </c>
      <c r="T200" s="93" t="s">
        <v>237</v>
      </c>
      <c r="U200" s="94" t="s">
        <v>444</v>
      </c>
      <c r="W200" s="95">
        <v>0</v>
      </c>
      <c r="X200" s="96"/>
      <c r="Y200" s="97">
        <f t="shared" ref="Y200" si="234">IF(M200="","",M200)</f>
        <v>46072</v>
      </c>
      <c r="Z200" s="98" t="str">
        <f>SUBSTITUTE('Digitas UK Task 26'!$O200, "Complet", "Not Requir")</f>
        <v>Not Required</v>
      </c>
      <c r="AA200" s="98" t="str">
        <f t="shared" si="223"/>
        <v>RE: Choose Cathay Trafficking Request</v>
      </c>
      <c r="AB200" s="99"/>
      <c r="AF200" s="84" t="str">
        <f t="shared" ref="AF200" si="235">IF(AD200="","",WEEKNUM(AD200))</f>
        <v/>
      </c>
      <c r="AH200" s="84" t="str">
        <f t="shared" si="224"/>
        <v>PL_0_CR_0_AD_0_Jira_0_</v>
      </c>
      <c r="AI200" s="84" t="str">
        <f t="shared" si="225"/>
        <v/>
      </c>
      <c r="AJ200" s="84" t="str">
        <f>IF(Z200&lt;&gt;"Done","",(_xlfn.CONCAT("PL_",DigitasUKAdOp_26Team[[#This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01" spans="1:36" ht="15.75" customHeight="1" x14ac:dyDescent="0.3">
      <c r="A201" s="85" t="str">
        <f t="shared" si="233"/>
        <v>Feb : Thursday</v>
      </c>
      <c r="B201" s="86">
        <v>46072</v>
      </c>
      <c r="C201" s="87" t="s">
        <v>318</v>
      </c>
      <c r="D201" s="88" t="s">
        <v>435</v>
      </c>
      <c r="E201" s="87" t="s">
        <v>428</v>
      </c>
      <c r="F201" s="88" t="s">
        <v>582</v>
      </c>
      <c r="G201" s="88" t="s">
        <v>569</v>
      </c>
      <c r="H201" s="87" t="s">
        <v>269</v>
      </c>
      <c r="I201" s="87" t="s">
        <v>246</v>
      </c>
      <c r="J201" s="88">
        <v>2</v>
      </c>
      <c r="K201" s="88">
        <v>2</v>
      </c>
      <c r="L201" s="88">
        <v>2</v>
      </c>
      <c r="M201" s="89">
        <v>46072</v>
      </c>
      <c r="N201" s="88">
        <v>0.5</v>
      </c>
      <c r="O201" s="90" t="s">
        <v>432</v>
      </c>
      <c r="Q201" s="91">
        <f>IF(B201="","",WEEKNUM(B201))</f>
        <v>8</v>
      </c>
      <c r="R201" s="91" t="str">
        <f>IF(B201="","",TEXT(B201,"MMM"))</f>
        <v>Feb</v>
      </c>
      <c r="S201" s="92" t="str">
        <f>IF(B201="","",TEXT(B201,"DDDD"))</f>
        <v>Thursday</v>
      </c>
      <c r="T201" s="93" t="s">
        <v>250</v>
      </c>
      <c r="U201" s="94" t="s">
        <v>433</v>
      </c>
      <c r="V201" s="95" t="s">
        <v>583</v>
      </c>
      <c r="W201" s="95">
        <v>0.25</v>
      </c>
      <c r="X201" s="96"/>
      <c r="Y201" s="97"/>
      <c r="Z201" s="98"/>
      <c r="AA201" s="98"/>
      <c r="AB201" s="99"/>
      <c r="AH201" s="84" t="str">
        <f t="shared" si="224"/>
        <v>PL_2_CR_2_AD_2_Jira_0_</v>
      </c>
      <c r="AI201" s="84" t="str">
        <f t="shared" si="225"/>
        <v>PL_2_CR_2_AD_2_Jira_0_</v>
      </c>
      <c r="AJ201" s="84" t="str">
        <f>IF(Z201&lt;&gt;"Done","",(_xlfn.CONCAT("PL_",DigitasUKAdOp_26Team[[#This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02" spans="1:36" ht="15.75" customHeight="1" x14ac:dyDescent="0.3">
      <c r="A202" s="85" t="str">
        <f t="shared" si="233"/>
        <v>Feb : Friday</v>
      </c>
      <c r="B202" s="86">
        <v>46073</v>
      </c>
      <c r="C202" s="87" t="s">
        <v>344</v>
      </c>
      <c r="D202" s="88" t="s">
        <v>452</v>
      </c>
      <c r="E202" s="87" t="s">
        <v>428</v>
      </c>
      <c r="F202" s="88" t="s">
        <v>522</v>
      </c>
      <c r="G202" s="88" t="s">
        <v>525</v>
      </c>
      <c r="H202" s="87" t="s">
        <v>269</v>
      </c>
      <c r="I202" s="87" t="s">
        <v>237</v>
      </c>
      <c r="J202" s="88">
        <v>3</v>
      </c>
      <c r="K202" s="88">
        <v>3</v>
      </c>
      <c r="L202" s="88">
        <v>3</v>
      </c>
      <c r="M202" s="89">
        <v>46073</v>
      </c>
      <c r="N202" s="88">
        <v>0.5</v>
      </c>
      <c r="O202" s="90" t="s">
        <v>432</v>
      </c>
      <c r="Q202" s="91">
        <f t="shared" si="166"/>
        <v>8</v>
      </c>
      <c r="R202" s="91" t="str">
        <f t="shared" si="167"/>
        <v>Feb</v>
      </c>
      <c r="S202" s="92" t="str">
        <f t="shared" si="168"/>
        <v>Friday</v>
      </c>
      <c r="T202" s="93" t="s">
        <v>250</v>
      </c>
      <c r="U202" s="94" t="s">
        <v>433</v>
      </c>
      <c r="W202" s="95">
        <v>0.5</v>
      </c>
      <c r="X202" s="96"/>
      <c r="Y202" s="97">
        <f t="shared" si="177"/>
        <v>46073</v>
      </c>
      <c r="Z202" s="98" t="str">
        <f>SUBSTITUTE('Digitas UK Task 26'!$O202, "Complet", "Not Requir")</f>
        <v>Not Required</v>
      </c>
      <c r="AA202" s="98" t="str">
        <f t="shared" si="223"/>
        <v>RE: RE: Digitas x Monzo | Tagging support I CTV</v>
      </c>
      <c r="AB202" s="99"/>
      <c r="AF202" s="84" t="str">
        <f t="shared" si="165"/>
        <v/>
      </c>
      <c r="AH202" s="84" t="str">
        <f t="shared" si="224"/>
        <v>PL_3_CR_3_AD_3_Jira_0_</v>
      </c>
      <c r="AI202" s="84" t="str">
        <f t="shared" si="225"/>
        <v>PL_3_CR_3_AD_3_Jira_0_</v>
      </c>
      <c r="AJ202" s="84" t="str">
        <f>IF(Z202&lt;&gt;"Done","",(_xlfn.CONCAT("PL_",DigitasUKAdOp_26Team[[#This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03" spans="1:36" ht="15.75" customHeight="1" x14ac:dyDescent="0.3">
      <c r="A203" s="85" t="str">
        <f t="shared" si="233"/>
        <v>Feb : Friday</v>
      </c>
      <c r="B203" s="86">
        <v>46073</v>
      </c>
      <c r="C203" s="87" t="s">
        <v>318</v>
      </c>
      <c r="D203" s="88" t="s">
        <v>435</v>
      </c>
      <c r="E203" s="87" t="s">
        <v>428</v>
      </c>
      <c r="F203" s="88" t="s">
        <v>559</v>
      </c>
      <c r="G203" s="88" t="s">
        <v>484</v>
      </c>
      <c r="H203" s="87" t="s">
        <v>269</v>
      </c>
      <c r="I203" s="87" t="s">
        <v>431</v>
      </c>
      <c r="J203" s="88">
        <v>2</v>
      </c>
      <c r="K203" s="88">
        <v>2</v>
      </c>
      <c r="L203" s="88">
        <v>2</v>
      </c>
      <c r="M203" s="89">
        <v>46072</v>
      </c>
      <c r="N203" s="88">
        <v>0.5</v>
      </c>
      <c r="O203" s="90" t="s">
        <v>432</v>
      </c>
      <c r="P203" s="88" t="s">
        <v>584</v>
      </c>
      <c r="Q203" s="91">
        <f t="shared" si="166"/>
        <v>8</v>
      </c>
      <c r="R203" s="91" t="str">
        <f t="shared" si="167"/>
        <v>Feb</v>
      </c>
      <c r="S203" s="92" t="str">
        <f t="shared" si="168"/>
        <v>Friday</v>
      </c>
      <c r="T203" s="93" t="s">
        <v>237</v>
      </c>
      <c r="U203" s="94" t="s">
        <v>433</v>
      </c>
      <c r="W203" s="95">
        <v>0.25</v>
      </c>
      <c r="X203" s="96"/>
      <c r="Y203" s="97">
        <f t="shared" si="177"/>
        <v>46072</v>
      </c>
      <c r="Z203" s="98" t="str">
        <f>SUBSTITUTE('Digitas UK Task 26'!$O203, "Complet", "Not Requir")</f>
        <v>Not Required</v>
      </c>
      <c r="AA203" s="98" t="str">
        <f t="shared" si="223"/>
        <v>RE: WELLA | FY26Q3 NNE - UK | TAG REQUEST</v>
      </c>
      <c r="AB203" s="99"/>
      <c r="AF203" s="84" t="str">
        <f t="shared" ref="AF203:AF267" si="236">IF(AD203="","",WEEKNUM(AD203))</f>
        <v/>
      </c>
      <c r="AH203" s="84" t="str">
        <f t="shared" si="224"/>
        <v>PL_2_CR_2_AD_2_Jira_0_</v>
      </c>
      <c r="AI203" s="84" t="str">
        <f t="shared" si="225"/>
        <v>PL_2_CR_2_AD_2_Jira_0_</v>
      </c>
      <c r="AJ203" s="84" t="str">
        <f>IF(Z203&lt;&gt;"Done","",(_xlfn.CONCAT("PL_",DigitasUKAdOp_26Team[[#This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04" spans="1:36" ht="15.75" customHeight="1" x14ac:dyDescent="0.3">
      <c r="A204" s="85" t="str">
        <f t="shared" ref="A204:A205" si="237">IF(B204="","",TEXT(B204,"MMM : DDDD"))</f>
        <v>Feb : Friday</v>
      </c>
      <c r="B204" s="86">
        <v>46073</v>
      </c>
      <c r="C204" s="87" t="s">
        <v>344</v>
      </c>
      <c r="D204" s="88" t="s">
        <v>452</v>
      </c>
      <c r="E204" s="87" t="s">
        <v>428</v>
      </c>
      <c r="F204" s="88" t="s">
        <v>522</v>
      </c>
      <c r="G204" s="88" t="s">
        <v>525</v>
      </c>
      <c r="H204" s="87" t="s">
        <v>443</v>
      </c>
      <c r="I204" s="87" t="s">
        <v>237</v>
      </c>
      <c r="J204" s="88">
        <v>0</v>
      </c>
      <c r="K204" s="88">
        <v>0</v>
      </c>
      <c r="L204" s="88">
        <v>0</v>
      </c>
      <c r="M204" s="89">
        <v>46073</v>
      </c>
      <c r="N204" s="88">
        <v>0.5</v>
      </c>
      <c r="O204" s="90" t="s">
        <v>432</v>
      </c>
      <c r="Q204" s="91">
        <f t="shared" ref="Q204:Q205" si="238">IF(B204="","",WEEKNUM(B204))</f>
        <v>8</v>
      </c>
      <c r="R204" s="91" t="str">
        <f t="shared" ref="R204:R205" si="239">IF(B204="","",TEXT(B204,"MMM"))</f>
        <v>Feb</v>
      </c>
      <c r="S204" s="92" t="str">
        <f t="shared" ref="S204:S205" si="240">IF(B204="","",TEXT(B204,"DDDD"))</f>
        <v>Friday</v>
      </c>
      <c r="T204" s="93" t="s">
        <v>237</v>
      </c>
      <c r="U204" s="94" t="s">
        <v>444</v>
      </c>
      <c r="W204" s="95">
        <v>0</v>
      </c>
      <c r="X204" s="96"/>
      <c r="Y204" s="97">
        <f t="shared" ref="Y204:Y205" si="241">IF(M204="","",M204)</f>
        <v>46073</v>
      </c>
      <c r="Z204" s="98" t="str">
        <f>SUBSTITUTE('Digitas UK Task 26'!$O204, "Complet", "Not Requir")</f>
        <v>Not Required</v>
      </c>
      <c r="AA204" s="98" t="str">
        <f t="shared" ref="AA204:AA205" si="242">IF(G204="","",G204)</f>
        <v>RE: RE: Digitas x Monzo | Tagging support I CTV</v>
      </c>
      <c r="AB204" s="99"/>
      <c r="AF204" s="84" t="str">
        <f t="shared" si="236"/>
        <v/>
      </c>
      <c r="AH204" s="84" t="str">
        <f t="shared" si="224"/>
        <v>PL_0_CR_0_AD_0_Jira_0_</v>
      </c>
      <c r="AI204" s="84" t="str">
        <f t="shared" si="225"/>
        <v/>
      </c>
      <c r="AJ204" s="84" t="str">
        <f>IF(Z204&lt;&gt;"Done","",(_xlfn.CONCAT("PL_",DigitasUKAdOp_26Team[[#This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05" spans="1:36" ht="15.75" customHeight="1" x14ac:dyDescent="0.3">
      <c r="A205" s="85" t="str">
        <f t="shared" si="237"/>
        <v>Feb : Friday</v>
      </c>
      <c r="B205" s="86">
        <v>46073</v>
      </c>
      <c r="C205" s="87" t="s">
        <v>355</v>
      </c>
      <c r="D205" s="88" t="s">
        <v>514</v>
      </c>
      <c r="E205" s="87" t="s">
        <v>428</v>
      </c>
      <c r="F205" s="88" t="s">
        <v>585</v>
      </c>
      <c r="G205" s="88" t="s">
        <v>586</v>
      </c>
      <c r="H205" s="87" t="s">
        <v>269</v>
      </c>
      <c r="I205" s="87" t="s">
        <v>246</v>
      </c>
      <c r="J205" s="88">
        <v>350</v>
      </c>
      <c r="K205" s="88">
        <v>350</v>
      </c>
      <c r="L205" s="88">
        <v>350</v>
      </c>
      <c r="M205" s="89">
        <v>46073</v>
      </c>
      <c r="N205" s="88">
        <v>8</v>
      </c>
      <c r="O205" s="90" t="s">
        <v>432</v>
      </c>
      <c r="Q205" s="91">
        <f t="shared" si="238"/>
        <v>8</v>
      </c>
      <c r="R205" s="91" t="str">
        <f t="shared" si="239"/>
        <v>Feb</v>
      </c>
      <c r="S205" s="92" t="str">
        <f t="shared" si="240"/>
        <v>Friday</v>
      </c>
      <c r="T205" s="93" t="s">
        <v>250</v>
      </c>
      <c r="U205" s="94" t="s">
        <v>433</v>
      </c>
      <c r="V205" s="95" t="s">
        <v>587</v>
      </c>
      <c r="W205" s="95">
        <v>5</v>
      </c>
      <c r="X205" s="96"/>
      <c r="Y205" s="97">
        <f t="shared" si="241"/>
        <v>46073</v>
      </c>
      <c r="Z205" s="98" t="str">
        <f>SUBSTITUTE('Digitas UK Task 26'!$O205, "Complet", "Not Requir")</f>
        <v>Not Required</v>
      </c>
      <c r="AA205" s="98" t="str">
        <f t="shared" si="242"/>
        <v>https://jira.publicismedia.com/browse/TAAGPNG-1941</v>
      </c>
      <c r="AB205" s="99"/>
      <c r="AF205" s="84" t="str">
        <f t="shared" si="236"/>
        <v/>
      </c>
      <c r="AH205" s="84" t="str">
        <f t="shared" si="224"/>
        <v>PL_350_CR_350_AD_350_Jira_1941_</v>
      </c>
      <c r="AI205" s="84" t="str">
        <f t="shared" si="225"/>
        <v>PL_350_CR_350_AD_350_Jira_1941_</v>
      </c>
      <c r="AJ205" s="84" t="str">
        <f>IF(Z205&lt;&gt;"Done","",(_xlfn.CONCAT("PL_",DigitasUKAdOp_26Team[[#This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06" spans="1:36" ht="15.75" customHeight="1" x14ac:dyDescent="0.3">
      <c r="A206" s="85" t="str">
        <f t="shared" ref="A206" si="243">IF(B206="","",TEXT(B206,"MMM : DDDD"))</f>
        <v>Feb : Monday</v>
      </c>
      <c r="B206" s="86">
        <v>46076</v>
      </c>
      <c r="C206" s="87" t="s">
        <v>355</v>
      </c>
      <c r="D206" s="88" t="s">
        <v>514</v>
      </c>
      <c r="E206" s="87" t="s">
        <v>428</v>
      </c>
      <c r="F206" s="88" t="s">
        <v>588</v>
      </c>
      <c r="G206" s="88" t="s">
        <v>589</v>
      </c>
      <c r="H206" s="87" t="s">
        <v>269</v>
      </c>
      <c r="I206" s="87" t="s">
        <v>246</v>
      </c>
      <c r="J206" s="88">
        <v>100</v>
      </c>
      <c r="K206" s="88">
        <v>100</v>
      </c>
      <c r="L206" s="88">
        <v>100</v>
      </c>
      <c r="M206" s="89">
        <v>46076</v>
      </c>
      <c r="N206" s="88">
        <v>2</v>
      </c>
      <c r="O206" s="90" t="s">
        <v>432</v>
      </c>
      <c r="Q206" s="91">
        <f t="shared" ref="Q206" si="244">IF(B206="","",WEEKNUM(B206))</f>
        <v>9</v>
      </c>
      <c r="R206" s="91" t="str">
        <f t="shared" ref="R206" si="245">IF(B206="","",TEXT(B206,"MMM"))</f>
        <v>Feb</v>
      </c>
      <c r="S206" s="92" t="str">
        <f t="shared" ref="S206" si="246">IF(B206="","",TEXT(B206,"DDDD"))</f>
        <v>Monday</v>
      </c>
      <c r="T206" s="93" t="s">
        <v>250</v>
      </c>
      <c r="U206" s="94" t="s">
        <v>433</v>
      </c>
      <c r="W206" s="95">
        <v>1</v>
      </c>
      <c r="X206" s="96"/>
      <c r="Y206" s="97">
        <f t="shared" ref="Y206" si="247">IF(M206="","",M206)</f>
        <v>46076</v>
      </c>
      <c r="Z206" s="98" t="str">
        <f>SUBSTITUTE('Digitas UK Task 26'!$O206, "Complet", "Not Requir")</f>
        <v>Not Required</v>
      </c>
      <c r="AA206" s="98" t="str">
        <f t="shared" ref="AA206" si="248">IF(G206="","",G206)</f>
        <v>https://jira.publicismedia.com/browse/TAAGPNG-1944</v>
      </c>
      <c r="AB206" s="99"/>
      <c r="AF206" s="84" t="str">
        <f t="shared" ref="AF206" si="249">IF(AD206="","",WEEKNUM(AD206))</f>
        <v/>
      </c>
      <c r="AH206" s="84" t="str">
        <f t="shared" si="224"/>
        <v>PL_100_CR_100_AD_100_Jira_1944_</v>
      </c>
      <c r="AI206" s="84" t="str">
        <f t="shared" si="225"/>
        <v>PL_100_CR_100_AD_100_Jira_1944_</v>
      </c>
      <c r="AJ206" s="84" t="str">
        <f>IF(Z206&lt;&gt;"Done","",(_xlfn.CONCAT("PL_",DigitasUKAdOp_26Team[[#This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07" spans="1:36" ht="15.75" customHeight="1" x14ac:dyDescent="0.3">
      <c r="A207" s="85" t="str">
        <f t="shared" si="233"/>
        <v>Feb : Monday</v>
      </c>
      <c r="B207" s="86">
        <v>46076</v>
      </c>
      <c r="C207" s="87" t="s">
        <v>318</v>
      </c>
      <c r="D207" s="88" t="s">
        <v>435</v>
      </c>
      <c r="E207" s="87" t="s">
        <v>428</v>
      </c>
      <c r="F207" s="88" t="s">
        <v>582</v>
      </c>
      <c r="G207" s="88" t="s">
        <v>569</v>
      </c>
      <c r="H207" s="87" t="s">
        <v>443</v>
      </c>
      <c r="I207" s="87" t="s">
        <v>250</v>
      </c>
      <c r="J207" s="88">
        <v>0</v>
      </c>
      <c r="K207" s="88">
        <v>0</v>
      </c>
      <c r="L207" s="88">
        <v>0</v>
      </c>
      <c r="M207" s="89">
        <v>46076</v>
      </c>
      <c r="N207" s="88">
        <v>1</v>
      </c>
      <c r="O207" s="90" t="s">
        <v>432</v>
      </c>
      <c r="Q207" s="91">
        <f t="shared" ref="Q207:Q268" si="250">IF(B207="","",WEEKNUM(B207))</f>
        <v>9</v>
      </c>
      <c r="R207" s="91" t="str">
        <f t="shared" ref="R207:R268" si="251">IF(B207="","",TEXT(B207,"MMM"))</f>
        <v>Feb</v>
      </c>
      <c r="S207" s="92" t="str">
        <f t="shared" ref="S207:S258" si="252">IF(B207="","",TEXT(B207,"DDDD"))</f>
        <v>Monday</v>
      </c>
      <c r="T207" s="93" t="s">
        <v>250</v>
      </c>
      <c r="U207" s="94" t="s">
        <v>444</v>
      </c>
      <c r="W207" s="95">
        <v>0</v>
      </c>
      <c r="X207" s="96"/>
      <c r="Y207" s="97">
        <f t="shared" si="177"/>
        <v>46076</v>
      </c>
      <c r="Z207" s="98" t="str">
        <f>SUBSTITUTE('Digitas UK Task 26'!$O207, "Complet", "Not Requir")</f>
        <v>Not Required</v>
      </c>
      <c r="AA207" s="98" t="str">
        <f t="shared" si="223"/>
        <v>RE: WELLA | FY26Q3 SEBASTIAN UK | TAG REQUEST</v>
      </c>
      <c r="AB207" s="99"/>
      <c r="AF207" s="84" t="str">
        <f t="shared" si="236"/>
        <v/>
      </c>
      <c r="AH207" s="84" t="str">
        <f t="shared" si="224"/>
        <v>PL_0_CR_0_AD_0_Jira_0_</v>
      </c>
      <c r="AI207" s="84" t="str">
        <f t="shared" si="225"/>
        <v/>
      </c>
      <c r="AJ207" s="84" t="str">
        <f>IF(Z207&lt;&gt;"Done","",(_xlfn.CONCAT("PL_",DigitasUKAdOp_26Team[[#This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08" spans="1:36" ht="15.75" customHeight="1" x14ac:dyDescent="0.3">
      <c r="A208" s="85" t="str">
        <f>IF(B208="","",TEXT(B208,"MMM : DDDD"))</f>
        <v>Feb : Monday</v>
      </c>
      <c r="B208" s="86">
        <v>46076</v>
      </c>
      <c r="C208" s="87" t="s">
        <v>318</v>
      </c>
      <c r="D208" s="88" t="s">
        <v>435</v>
      </c>
      <c r="E208" s="87" t="s">
        <v>428</v>
      </c>
      <c r="F208" s="88" t="s">
        <v>582</v>
      </c>
      <c r="G208" s="88" t="s">
        <v>569</v>
      </c>
      <c r="H208" s="87" t="s">
        <v>269</v>
      </c>
      <c r="I208" s="87" t="s">
        <v>250</v>
      </c>
      <c r="J208" s="88">
        <v>1</v>
      </c>
      <c r="K208" s="88">
        <v>1</v>
      </c>
      <c r="L208" s="88">
        <v>1</v>
      </c>
      <c r="M208" s="89">
        <v>46076</v>
      </c>
      <c r="N208" s="88">
        <v>0.25</v>
      </c>
      <c r="O208" s="90" t="s">
        <v>432</v>
      </c>
      <c r="Q208" s="91">
        <f t="shared" si="250"/>
        <v>9</v>
      </c>
      <c r="R208" s="91" t="str">
        <f t="shared" si="251"/>
        <v>Feb</v>
      </c>
      <c r="S208" s="92" t="str">
        <f t="shared" si="252"/>
        <v>Monday</v>
      </c>
      <c r="T208" s="93" t="s">
        <v>237</v>
      </c>
      <c r="U208" s="94" t="s">
        <v>433</v>
      </c>
      <c r="W208" s="95">
        <v>0.25</v>
      </c>
      <c r="X208" s="96"/>
      <c r="Y208" s="97">
        <f t="shared" si="177"/>
        <v>46076</v>
      </c>
      <c r="Z208" s="98" t="str">
        <f>SUBSTITUTE('Digitas UK Task 26'!$O208, "Complet", "Not Requir")</f>
        <v>Not Required</v>
      </c>
      <c r="AA208" s="98" t="str">
        <f t="shared" si="223"/>
        <v>RE: WELLA | FY26Q3 SEBASTIAN UK | TAG REQUEST</v>
      </c>
      <c r="AB208" s="99"/>
      <c r="AF208" s="84" t="str">
        <f t="shared" si="236"/>
        <v/>
      </c>
      <c r="AH208" s="84" t="str">
        <f t="shared" si="224"/>
        <v>PL_1_CR_1_AD_1_Jira_0_</v>
      </c>
      <c r="AI208" s="84" t="str">
        <f t="shared" si="225"/>
        <v>PL_1_CR_1_AD_1_Jira_0_</v>
      </c>
      <c r="AJ208" s="84" t="str">
        <f>IF(Z208&lt;&gt;"Done","",(_xlfn.CONCAT("PL_",DigitasUKAdOp_26Team[[#This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09" spans="1:36" ht="15.75" customHeight="1" x14ac:dyDescent="0.3">
      <c r="A209" s="85" t="str">
        <f>IF(B209="","",TEXT(B209,"MMM : DDDD"))</f>
        <v>Feb : Monday</v>
      </c>
      <c r="B209" s="86">
        <v>46076</v>
      </c>
      <c r="C209" s="87" t="s">
        <v>318</v>
      </c>
      <c r="D209" s="88" t="s">
        <v>435</v>
      </c>
      <c r="E209" s="87" t="s">
        <v>428</v>
      </c>
      <c r="F209" s="88" t="s">
        <v>582</v>
      </c>
      <c r="G209" s="88" t="s">
        <v>569</v>
      </c>
      <c r="H209" s="87" t="s">
        <v>269</v>
      </c>
      <c r="I209" s="87" t="s">
        <v>250</v>
      </c>
      <c r="J209" s="88">
        <v>1</v>
      </c>
      <c r="K209" s="88">
        <v>1</v>
      </c>
      <c r="L209" s="88">
        <v>1</v>
      </c>
      <c r="M209" s="89">
        <v>46076</v>
      </c>
      <c r="N209" s="88">
        <v>0.25</v>
      </c>
      <c r="O209" s="90" t="s">
        <v>432</v>
      </c>
      <c r="Q209" s="91">
        <f t="shared" ref="Q209" si="253">IF(B209="","",WEEKNUM(B209))</f>
        <v>9</v>
      </c>
      <c r="R209" s="91" t="str">
        <f t="shared" ref="R209" si="254">IF(B209="","",TEXT(B209,"MMM"))</f>
        <v>Feb</v>
      </c>
      <c r="S209" s="92" t="str">
        <f t="shared" ref="S209" si="255">IF(B209="","",TEXT(B209,"DDDD"))</f>
        <v>Monday</v>
      </c>
      <c r="T209" s="93" t="s">
        <v>237</v>
      </c>
      <c r="U209" s="94" t="s">
        <v>433</v>
      </c>
      <c r="W209" s="95">
        <v>0.25</v>
      </c>
      <c r="X209" s="96"/>
      <c r="Y209" s="97">
        <f t="shared" ref="Y209" si="256">IF(M209="","",M209)</f>
        <v>46076</v>
      </c>
      <c r="Z209" s="98" t="str">
        <f>SUBSTITUTE('Digitas UK Task 26'!$O209, "Complet", "Not Requir")</f>
        <v>Not Required</v>
      </c>
      <c r="AA209" s="98" t="str">
        <f t="shared" ref="AA209" si="257">IF(G209="","",G209)</f>
        <v>RE: WELLA | FY26Q3 SEBASTIAN UK | TAG REQUEST</v>
      </c>
      <c r="AB209" s="99"/>
      <c r="AF209" s="84" t="str">
        <f t="shared" ref="AF209" si="258">IF(AD209="","",WEEKNUM(AD209))</f>
        <v/>
      </c>
      <c r="AH209" s="84" t="str">
        <f t="shared" si="224"/>
        <v>PL_1_CR_1_AD_1_Jira_0_</v>
      </c>
      <c r="AI209" s="84" t="str">
        <f t="shared" si="225"/>
        <v>PL_1_CR_1_AD_1_Jira_0_</v>
      </c>
      <c r="AJ209" s="84" t="str">
        <f>IF(Z209&lt;&gt;"Done","",(_xlfn.CONCAT("PL_",DigitasUKAdOp_26Team[[#This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10" spans="1:36" ht="15.75" customHeight="1" x14ac:dyDescent="0.3">
      <c r="A210" s="85" t="str">
        <f t="shared" ref="A210:A212" si="259">IF(B210="","",TEXT(B210,"MMM : DDDD"))</f>
        <v>Feb : Tuesday</v>
      </c>
      <c r="B210" s="86">
        <v>46077</v>
      </c>
      <c r="C210" s="87" t="s">
        <v>318</v>
      </c>
      <c r="D210" s="88" t="s">
        <v>435</v>
      </c>
      <c r="E210" s="87" t="s">
        <v>428</v>
      </c>
      <c r="F210" s="88" t="s">
        <v>582</v>
      </c>
      <c r="G210" s="88" t="s">
        <v>569</v>
      </c>
      <c r="H210" s="87" t="s">
        <v>269</v>
      </c>
      <c r="I210" s="87" t="s">
        <v>237</v>
      </c>
      <c r="J210" s="88">
        <v>1</v>
      </c>
      <c r="K210" s="88">
        <v>1</v>
      </c>
      <c r="L210" s="88">
        <v>1</v>
      </c>
      <c r="M210" s="89">
        <v>46076</v>
      </c>
      <c r="N210" s="88">
        <v>0.25</v>
      </c>
      <c r="O210" s="90" t="s">
        <v>432</v>
      </c>
      <c r="Q210" s="91">
        <f t="shared" ref="Q210:Q212" si="260">IF(B210="","",WEEKNUM(B210))</f>
        <v>9</v>
      </c>
      <c r="R210" s="91" t="str">
        <f t="shared" ref="R210:R212" si="261">IF(B210="","",TEXT(B210,"MMM"))</f>
        <v>Feb</v>
      </c>
      <c r="S210" s="92" t="str">
        <f t="shared" ref="S210:S212" si="262">IF(B210="","",TEXT(B210,"DDDD"))</f>
        <v>Tuesday</v>
      </c>
      <c r="T210" s="93" t="s">
        <v>250</v>
      </c>
      <c r="U210" s="94" t="s">
        <v>433</v>
      </c>
      <c r="W210" s="95">
        <v>0.25</v>
      </c>
      <c r="X210" s="96"/>
      <c r="Y210" s="97">
        <f t="shared" ref="Y210:Y211" si="263">IF(M210="","",M210)</f>
        <v>46076</v>
      </c>
      <c r="Z210" s="98" t="str">
        <f>SUBSTITUTE('Digitas UK Task 26'!$O210, "Complet", "Not Requir")</f>
        <v>Not Required</v>
      </c>
      <c r="AA210" s="98" t="str">
        <f t="shared" ref="AA210:AA211" si="264">IF(G210="","",G210)</f>
        <v>RE: WELLA | FY26Q3 SEBASTIAN UK | TAG REQUEST</v>
      </c>
      <c r="AB210" s="99"/>
      <c r="AF210" s="84" t="str">
        <f t="shared" ref="AF210:AF211" si="265">IF(AD210="","",WEEKNUM(AD210))</f>
        <v/>
      </c>
      <c r="AH210" s="84" t="str">
        <f t="shared" si="224"/>
        <v>PL_1_CR_1_AD_1_Jira_0_</v>
      </c>
      <c r="AI210" s="84" t="str">
        <f t="shared" si="225"/>
        <v>PL_1_CR_1_AD_1_Jira_0_</v>
      </c>
      <c r="AJ210" s="84" t="str">
        <f>IF(Z210&lt;&gt;"Done","",(_xlfn.CONCAT("PL_",DigitasUKAdOp_26Team[[#This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11" spans="1:36" ht="15.75" customHeight="1" x14ac:dyDescent="0.3">
      <c r="A211" s="85" t="str">
        <f t="shared" si="259"/>
        <v>Feb : Tuesday</v>
      </c>
      <c r="B211" s="86">
        <v>46077</v>
      </c>
      <c r="C211" s="87" t="s">
        <v>318</v>
      </c>
      <c r="D211" s="88" t="s">
        <v>435</v>
      </c>
      <c r="E211" s="87" t="s">
        <v>428</v>
      </c>
      <c r="F211" s="88" t="s">
        <v>582</v>
      </c>
      <c r="G211" s="88" t="s">
        <v>569</v>
      </c>
      <c r="H211" s="87" t="s">
        <v>269</v>
      </c>
      <c r="I211" s="87" t="s">
        <v>237</v>
      </c>
      <c r="J211" s="88">
        <v>1</v>
      </c>
      <c r="K211" s="88">
        <v>1</v>
      </c>
      <c r="L211" s="88">
        <v>1</v>
      </c>
      <c r="M211" s="89">
        <v>46076</v>
      </c>
      <c r="N211" s="88">
        <v>0.25</v>
      </c>
      <c r="O211" s="90" t="s">
        <v>432</v>
      </c>
      <c r="Q211" s="91">
        <f t="shared" si="260"/>
        <v>9</v>
      </c>
      <c r="R211" s="91" t="str">
        <f t="shared" si="261"/>
        <v>Feb</v>
      </c>
      <c r="S211" s="92" t="str">
        <f t="shared" si="262"/>
        <v>Tuesday</v>
      </c>
      <c r="T211" s="93" t="s">
        <v>250</v>
      </c>
      <c r="U211" s="94" t="s">
        <v>433</v>
      </c>
      <c r="W211" s="95">
        <v>0.25</v>
      </c>
      <c r="X211" s="96"/>
      <c r="Y211" s="97">
        <f t="shared" si="263"/>
        <v>46076</v>
      </c>
      <c r="Z211" s="98" t="str">
        <f>SUBSTITUTE('Digitas UK Task 26'!$O211, "Complet", "Not Requir")</f>
        <v>Not Required</v>
      </c>
      <c r="AA211" s="98" t="str">
        <f t="shared" si="264"/>
        <v>RE: WELLA | FY26Q3 SEBASTIAN UK | TAG REQUEST</v>
      </c>
      <c r="AB211" s="99"/>
      <c r="AF211" s="84" t="str">
        <f t="shared" si="265"/>
        <v/>
      </c>
      <c r="AH211" s="84" t="str">
        <f t="shared" si="224"/>
        <v>PL_1_CR_1_AD_1_Jira_0_</v>
      </c>
      <c r="AI211" s="84" t="str">
        <f t="shared" si="225"/>
        <v>PL_1_CR_1_AD_1_Jira_0_</v>
      </c>
      <c r="AJ211" s="84" t="str">
        <f>IF(Z211&lt;&gt;"Done","",(_xlfn.CONCAT("PL_",DigitasUKAdOp_26Team[[#This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12" spans="1:36" ht="15.75" customHeight="1" x14ac:dyDescent="0.3">
      <c r="A212" s="85" t="str">
        <f t="shared" si="259"/>
        <v>Feb : Tuesday</v>
      </c>
      <c r="B212" s="86">
        <v>46077</v>
      </c>
      <c r="C212" s="87" t="s">
        <v>318</v>
      </c>
      <c r="D212" s="88" t="s">
        <v>435</v>
      </c>
      <c r="E212" s="87" t="s">
        <v>428</v>
      </c>
      <c r="F212" s="88" t="s">
        <v>582</v>
      </c>
      <c r="G212" s="88" t="s">
        <v>569</v>
      </c>
      <c r="H212" s="87" t="s">
        <v>443</v>
      </c>
      <c r="I212" s="87" t="s">
        <v>237</v>
      </c>
      <c r="J212" s="88">
        <v>0</v>
      </c>
      <c r="K212" s="88">
        <v>0</v>
      </c>
      <c r="L212" s="88">
        <v>0</v>
      </c>
      <c r="M212" s="89">
        <v>46076</v>
      </c>
      <c r="N212" s="88">
        <v>1</v>
      </c>
      <c r="O212" s="90" t="s">
        <v>432</v>
      </c>
      <c r="Q212" s="91">
        <f t="shared" si="260"/>
        <v>9</v>
      </c>
      <c r="R212" s="91" t="str">
        <f t="shared" si="261"/>
        <v>Feb</v>
      </c>
      <c r="S212" s="92" t="str">
        <f t="shared" si="262"/>
        <v>Tuesday</v>
      </c>
      <c r="T212" s="93" t="s">
        <v>237</v>
      </c>
      <c r="U212" s="94" t="s">
        <v>444</v>
      </c>
      <c r="W212" s="95">
        <v>0</v>
      </c>
      <c r="X212" s="96"/>
      <c r="Y212" s="97">
        <f t="shared" si="177"/>
        <v>46076</v>
      </c>
      <c r="Z212" s="98" t="str">
        <f>SUBSTITUTE('Digitas UK Task 26'!$O212, "Complet", "Not Requir")</f>
        <v>Not Required</v>
      </c>
      <c r="AA212" s="98" t="str">
        <f t="shared" si="223"/>
        <v>RE: WELLA | FY26Q3 SEBASTIAN UK | TAG REQUEST</v>
      </c>
      <c r="AB212" s="99"/>
      <c r="AF212" s="84" t="str">
        <f t="shared" si="236"/>
        <v/>
      </c>
      <c r="AH212" s="84" t="str">
        <f t="shared" si="224"/>
        <v>PL_0_CR_0_AD_0_Jira_0_</v>
      </c>
      <c r="AI212" s="84" t="str">
        <f t="shared" si="225"/>
        <v/>
      </c>
      <c r="AJ212" s="84" t="str">
        <f>IF(Z212&lt;&gt;"Done","",(_xlfn.CONCAT("PL_",DigitasUKAdOp_26Team[[#This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13" spans="1:36" ht="15.75" customHeight="1" x14ac:dyDescent="0.3">
      <c r="A213" s="85" t="str">
        <f t="shared" si="233"/>
        <v>Feb : Tuesday</v>
      </c>
      <c r="B213" s="86">
        <v>46077</v>
      </c>
      <c r="C213" s="87" t="s">
        <v>318</v>
      </c>
      <c r="D213" s="88" t="s">
        <v>537</v>
      </c>
      <c r="E213" s="87" t="s">
        <v>428</v>
      </c>
      <c r="F213" s="88" t="s">
        <v>590</v>
      </c>
      <c r="G213" s="88" t="s">
        <v>591</v>
      </c>
      <c r="H213" s="87" t="s">
        <v>269</v>
      </c>
      <c r="I213" s="87" t="s">
        <v>431</v>
      </c>
      <c r="J213" s="88">
        <v>2</v>
      </c>
      <c r="K213" s="88">
        <v>2</v>
      </c>
      <c r="L213" s="88">
        <v>2</v>
      </c>
      <c r="M213" s="89">
        <v>46077</v>
      </c>
      <c r="N213" s="88">
        <v>0.5</v>
      </c>
      <c r="O213" s="90" t="s">
        <v>432</v>
      </c>
      <c r="Q213" s="91">
        <f t="shared" si="250"/>
        <v>9</v>
      </c>
      <c r="R213" s="91" t="str">
        <f t="shared" si="251"/>
        <v>Feb</v>
      </c>
      <c r="S213" s="92" t="str">
        <f t="shared" si="252"/>
        <v>Tuesday</v>
      </c>
      <c r="T213" s="93" t="s">
        <v>237</v>
      </c>
      <c r="U213" s="94" t="s">
        <v>433</v>
      </c>
      <c r="V213" s="95" t="s">
        <v>592</v>
      </c>
      <c r="W213" s="95">
        <v>0.25</v>
      </c>
      <c r="X213" s="96"/>
      <c r="Y213" s="97">
        <f t="shared" si="177"/>
        <v>46077</v>
      </c>
      <c r="Z213" s="98" t="str">
        <f>SUBSTITUTE('Digitas UK Task 26'!$O213, "Complet", "Not Requir")</f>
        <v>Not Required</v>
      </c>
      <c r="AA213" s="98" t="str">
        <f t="shared" si="223"/>
        <v>WELLA | FY26Q3 ULTIMATE COLOR FRANCE | TAG REQUEST</v>
      </c>
      <c r="AB213" s="99"/>
      <c r="AF213" s="84" t="str">
        <f t="shared" si="236"/>
        <v/>
      </c>
      <c r="AH213" s="84" t="str">
        <f t="shared" si="224"/>
        <v>PL_2_CR_2_AD_2_Jira_0_</v>
      </c>
      <c r="AI213" s="84" t="str">
        <f t="shared" si="225"/>
        <v>PL_2_CR_2_AD_2_Jira_0_</v>
      </c>
      <c r="AJ213" s="84" t="str">
        <f>IF(Z213&lt;&gt;"Done","",(_xlfn.CONCAT("PL_",DigitasUKAdOp_26Team[[#This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14" spans="1:36" ht="15.75" customHeight="1" x14ac:dyDescent="0.3">
      <c r="A214" s="85" t="str">
        <f t="shared" si="233"/>
        <v>Feb : Wednesday</v>
      </c>
      <c r="B214" s="86">
        <v>46078</v>
      </c>
      <c r="C214" s="87" t="s">
        <v>318</v>
      </c>
      <c r="D214" s="88" t="s">
        <v>537</v>
      </c>
      <c r="E214" s="87" t="s">
        <v>428</v>
      </c>
      <c r="F214" s="88" t="s">
        <v>593</v>
      </c>
      <c r="G214" s="88" t="s">
        <v>591</v>
      </c>
      <c r="H214" s="87" t="s">
        <v>269</v>
      </c>
      <c r="I214" s="87" t="s">
        <v>237</v>
      </c>
      <c r="J214" s="88">
        <v>2</v>
      </c>
      <c r="K214" s="88">
        <v>2</v>
      </c>
      <c r="L214" s="88">
        <v>2</v>
      </c>
      <c r="M214" s="89">
        <v>46077</v>
      </c>
      <c r="N214" s="88">
        <v>0.25</v>
      </c>
      <c r="O214" s="90" t="s">
        <v>432</v>
      </c>
      <c r="Q214" s="91">
        <f t="shared" si="250"/>
        <v>9</v>
      </c>
      <c r="R214" s="91" t="str">
        <f t="shared" si="251"/>
        <v>Feb</v>
      </c>
      <c r="S214" s="92" t="str">
        <f t="shared" si="252"/>
        <v>Wednesday</v>
      </c>
      <c r="T214" s="93" t="s">
        <v>250</v>
      </c>
      <c r="U214" s="94" t="s">
        <v>433</v>
      </c>
      <c r="V214" s="95" t="s">
        <v>592</v>
      </c>
      <c r="W214" s="95">
        <v>0.25</v>
      </c>
      <c r="X214" s="96"/>
      <c r="Y214" s="97">
        <f t="shared" si="177"/>
        <v>46077</v>
      </c>
      <c r="Z214" s="98" t="str">
        <f>SUBSTITUTE('Digitas UK Task 26'!$O214, "Complet", "Not Requir")</f>
        <v>Not Required</v>
      </c>
      <c r="AA214" s="98" t="str">
        <f t="shared" si="223"/>
        <v>WELLA | FY26Q3 ULTIMATE COLOR FRANCE | TAG REQUEST</v>
      </c>
      <c r="AB214" s="99"/>
      <c r="AF214" s="84" t="str">
        <f t="shared" si="236"/>
        <v/>
      </c>
      <c r="AH214" s="84" t="str">
        <f t="shared" si="224"/>
        <v>PL_2_CR_2_AD_2_Jira_0_</v>
      </c>
      <c r="AI214" s="84" t="str">
        <f t="shared" si="225"/>
        <v>PL_2_CR_2_AD_2_Jira_0_</v>
      </c>
      <c r="AJ214" s="84" t="str">
        <f>IF(Z214&lt;&gt;"Done","",(_xlfn.CONCAT("PL_",DigitasUKAdOp_26Team[[#This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15" spans="1:36" ht="15.75" customHeight="1" x14ac:dyDescent="0.3">
      <c r="A215" s="85" t="str">
        <f t="shared" ref="A215" si="266">IF(B215="","",TEXT(B215,"MMM : DDDD"))</f>
        <v>Feb : Wednesday</v>
      </c>
      <c r="B215" s="86">
        <v>46078</v>
      </c>
      <c r="C215" s="87" t="s">
        <v>318</v>
      </c>
      <c r="D215" s="88" t="s">
        <v>537</v>
      </c>
      <c r="E215" s="87" t="s">
        <v>428</v>
      </c>
      <c r="F215" s="88" t="s">
        <v>593</v>
      </c>
      <c r="G215" s="88" t="s">
        <v>591</v>
      </c>
      <c r="H215" s="87" t="s">
        <v>443</v>
      </c>
      <c r="I215" s="87" t="s">
        <v>237</v>
      </c>
      <c r="J215" s="88">
        <v>0</v>
      </c>
      <c r="K215" s="88">
        <v>0</v>
      </c>
      <c r="L215" s="88">
        <v>0</v>
      </c>
      <c r="M215" s="89">
        <v>46077</v>
      </c>
      <c r="N215" s="88">
        <v>1</v>
      </c>
      <c r="O215" s="90" t="s">
        <v>432</v>
      </c>
      <c r="Q215" s="91">
        <f t="shared" ref="Q215" si="267">IF(B215="","",WEEKNUM(B215))</f>
        <v>9</v>
      </c>
      <c r="R215" s="91" t="str">
        <f t="shared" ref="R215" si="268">IF(B215="","",TEXT(B215,"MMM"))</f>
        <v>Feb</v>
      </c>
      <c r="S215" s="92" t="str">
        <f t="shared" ref="S215" si="269">IF(B215="","",TEXT(B215,"DDDD"))</f>
        <v>Wednesday</v>
      </c>
      <c r="T215" s="93" t="s">
        <v>237</v>
      </c>
      <c r="U215" s="94" t="s">
        <v>444</v>
      </c>
      <c r="W215" s="95">
        <v>0</v>
      </c>
      <c r="X215" s="96"/>
      <c r="Y215" s="97">
        <f t="shared" ref="Y215" si="270">IF(M215="","",M215)</f>
        <v>46077</v>
      </c>
      <c r="Z215" s="98" t="str">
        <f>SUBSTITUTE('Digitas UK Task 26'!$O215, "Complet", "Not Requir")</f>
        <v>Not Required</v>
      </c>
      <c r="AA215" s="98" t="str">
        <f t="shared" ref="AA215" si="271">IF(G215="","",G215)</f>
        <v>WELLA | FY26Q3 ULTIMATE COLOR FRANCE | TAG REQUEST</v>
      </c>
      <c r="AB215" s="99"/>
      <c r="AF215" s="84" t="str">
        <f t="shared" ref="AF215" si="272">IF(AD215="","",WEEKNUM(AD215))</f>
        <v/>
      </c>
      <c r="AH215" s="84" t="str">
        <f t="shared" si="224"/>
        <v>PL_0_CR_0_AD_0_Jira_0_</v>
      </c>
      <c r="AI215" s="84" t="str">
        <f t="shared" si="225"/>
        <v/>
      </c>
      <c r="AJ215" s="84" t="str">
        <f>IF(Z215&lt;&gt;"Done","",(_xlfn.CONCAT("PL_",DigitasUKAdOp_26Team[[#This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16" spans="1:36" ht="15.75" customHeight="1" x14ac:dyDescent="0.3">
      <c r="A216" s="85" t="str">
        <f t="shared" si="233"/>
        <v>Feb : Wednesday</v>
      </c>
      <c r="B216" s="86">
        <v>46078</v>
      </c>
      <c r="C216" s="87" t="s">
        <v>318</v>
      </c>
      <c r="D216" s="88" t="s">
        <v>435</v>
      </c>
      <c r="E216" s="87" t="s">
        <v>428</v>
      </c>
      <c r="F216" s="88" t="s">
        <v>594</v>
      </c>
      <c r="G216" s="88" t="s">
        <v>595</v>
      </c>
      <c r="H216" s="87" t="s">
        <v>269</v>
      </c>
      <c r="I216" s="87" t="s">
        <v>250</v>
      </c>
      <c r="J216" s="88">
        <v>2</v>
      </c>
      <c r="K216" s="88">
        <v>2</v>
      </c>
      <c r="L216" s="88">
        <v>2</v>
      </c>
      <c r="M216" s="89">
        <v>46078</v>
      </c>
      <c r="N216" s="88">
        <v>0.25</v>
      </c>
      <c r="O216" s="90" t="s">
        <v>432</v>
      </c>
      <c r="Q216" s="91">
        <f t="shared" si="250"/>
        <v>9</v>
      </c>
      <c r="R216" s="91" t="str">
        <f t="shared" si="251"/>
        <v>Feb</v>
      </c>
      <c r="S216" s="92" t="str">
        <f t="shared" si="252"/>
        <v>Wednesday</v>
      </c>
      <c r="T216" s="93" t="s">
        <v>237</v>
      </c>
      <c r="U216" s="94" t="s">
        <v>433</v>
      </c>
      <c r="W216" s="95">
        <v>0.25</v>
      </c>
      <c r="X216" s="96"/>
      <c r="Y216" s="97">
        <f t="shared" si="177"/>
        <v>46078</v>
      </c>
      <c r="Z216" s="98" t="str">
        <f>SUBSTITUTE('Digitas UK Task 26'!$O216, "Complet", "Not Requir")</f>
        <v>Not Required</v>
      </c>
      <c r="AA216" s="98" t="str">
        <f t="shared" si="223"/>
        <v>RE: WELLA | FY26Q3 ULTIMATE COLOR FRANCE | TAG REQUEST</v>
      </c>
      <c r="AB216" s="99"/>
      <c r="AF216" s="84" t="str">
        <f t="shared" si="236"/>
        <v/>
      </c>
      <c r="AH216" s="84" t="str">
        <f t="shared" si="224"/>
        <v>PL_2_CR_2_AD_2_Jira_0_</v>
      </c>
      <c r="AI216" s="84" t="str">
        <f t="shared" si="225"/>
        <v>PL_2_CR_2_AD_2_Jira_0_</v>
      </c>
      <c r="AJ216" s="84" t="str">
        <f>IF(Z216&lt;&gt;"Done","",(_xlfn.CONCAT("PL_",DigitasUKAdOp_26Team[[#This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17" spans="1:36" ht="15.75" customHeight="1" x14ac:dyDescent="0.3">
      <c r="A217" s="85" t="str">
        <f t="shared" si="233"/>
        <v>Feb : Wednesday</v>
      </c>
      <c r="B217" s="86">
        <v>46078</v>
      </c>
      <c r="C217" s="87" t="s">
        <v>318</v>
      </c>
      <c r="D217" s="88" t="s">
        <v>435</v>
      </c>
      <c r="E217" s="87" t="s">
        <v>428</v>
      </c>
      <c r="F217" s="88" t="s">
        <v>596</v>
      </c>
      <c r="G217" s="88" t="s">
        <v>595</v>
      </c>
      <c r="H217" s="87" t="s">
        <v>269</v>
      </c>
      <c r="I217" s="87" t="s">
        <v>246</v>
      </c>
      <c r="J217" s="88">
        <v>2</v>
      </c>
      <c r="K217" s="88">
        <v>2</v>
      </c>
      <c r="L217" s="88">
        <v>2</v>
      </c>
      <c r="M217" s="89">
        <v>46078</v>
      </c>
      <c r="N217" s="88">
        <v>0.5</v>
      </c>
      <c r="O217" s="90" t="s">
        <v>432</v>
      </c>
      <c r="Q217" s="91">
        <f t="shared" si="250"/>
        <v>9</v>
      </c>
      <c r="R217" s="91" t="str">
        <f t="shared" si="251"/>
        <v>Feb</v>
      </c>
      <c r="S217" s="92" t="str">
        <f t="shared" si="252"/>
        <v>Wednesday</v>
      </c>
      <c r="T217" s="93" t="s">
        <v>250</v>
      </c>
      <c r="U217" s="94" t="s">
        <v>433</v>
      </c>
      <c r="W217" s="95">
        <v>0.25</v>
      </c>
      <c r="X217" s="96"/>
      <c r="Y217" s="97">
        <f t="shared" si="177"/>
        <v>46078</v>
      </c>
      <c r="Z217" s="98" t="str">
        <f>SUBSTITUTE('Digitas UK Task 26'!$O217, "Complet", "Not Requir")</f>
        <v>Not Required</v>
      </c>
      <c r="AA217" s="98" t="str">
        <f t="shared" si="223"/>
        <v>RE: WELLA | FY26Q3 ULTIMATE COLOR FRANCE | TAG REQUEST</v>
      </c>
      <c r="AB217" s="99"/>
      <c r="AF217" s="84" t="str">
        <f t="shared" si="236"/>
        <v/>
      </c>
      <c r="AH217" s="84" t="str">
        <f t="shared" si="224"/>
        <v>PL_2_CR_2_AD_2_Jira_0_</v>
      </c>
      <c r="AI217" s="84" t="str">
        <f t="shared" si="225"/>
        <v>PL_2_CR_2_AD_2_Jira_0_</v>
      </c>
      <c r="AJ217" s="84" t="str">
        <f>IF(Z217&lt;&gt;"Done","",(_xlfn.CONCAT("PL_",DigitasUKAdOp_26Team[[#This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18" spans="1:36" ht="15.75" customHeight="1" x14ac:dyDescent="0.3">
      <c r="A218" s="85" t="str">
        <f t="shared" si="233"/>
        <v>Feb : Wednesday</v>
      </c>
      <c r="B218" s="86">
        <v>46078</v>
      </c>
      <c r="C218" s="87" t="s">
        <v>318</v>
      </c>
      <c r="D218" s="88" t="s">
        <v>435</v>
      </c>
      <c r="E218" s="87" t="s">
        <v>428</v>
      </c>
      <c r="F218" s="88" t="s">
        <v>445</v>
      </c>
      <c r="G218" s="88" t="s">
        <v>569</v>
      </c>
      <c r="H218" s="87" t="s">
        <v>269</v>
      </c>
      <c r="I218" s="87" t="s">
        <v>431</v>
      </c>
      <c r="J218" s="88">
        <v>1</v>
      </c>
      <c r="K218" s="88">
        <v>1</v>
      </c>
      <c r="L218" s="88">
        <v>1</v>
      </c>
      <c r="M218" s="89">
        <v>46078</v>
      </c>
      <c r="N218" s="88">
        <v>0.25</v>
      </c>
      <c r="O218" s="90" t="s">
        <v>432</v>
      </c>
      <c r="Q218" s="91">
        <f t="shared" si="250"/>
        <v>9</v>
      </c>
      <c r="R218" s="91" t="str">
        <f t="shared" si="251"/>
        <v>Feb</v>
      </c>
      <c r="S218" s="92" t="str">
        <f t="shared" si="252"/>
        <v>Wednesday</v>
      </c>
      <c r="T218" s="93" t="s">
        <v>246</v>
      </c>
      <c r="U218" s="94" t="s">
        <v>433</v>
      </c>
      <c r="W218" s="95">
        <v>0.25</v>
      </c>
      <c r="X218" s="96"/>
      <c r="Y218" s="97">
        <f t="shared" si="177"/>
        <v>46078</v>
      </c>
      <c r="Z218" s="98" t="str">
        <f>SUBSTITUTE('Digitas UK Task 26'!$O218, "Complet", "Not Requir")</f>
        <v>Not Required</v>
      </c>
      <c r="AA218" s="98" t="str">
        <f t="shared" si="223"/>
        <v>RE: WELLA | FY26Q3 SEBASTIAN UK | TAG REQUEST</v>
      </c>
      <c r="AB218" s="99"/>
      <c r="AF218" s="84" t="str">
        <f t="shared" si="236"/>
        <v/>
      </c>
      <c r="AH218" s="84" t="str">
        <f t="shared" si="224"/>
        <v>PL_1_CR_1_AD_1_Jira_0_</v>
      </c>
      <c r="AI218" s="84" t="str">
        <f t="shared" si="225"/>
        <v>PL_1_CR_1_AD_1_Jira_0_</v>
      </c>
      <c r="AJ218" s="84" t="str">
        <f>IF(Z218&lt;&gt;"Done","",(_xlfn.CONCAT("PL_",DigitasUKAdOp_26Team[[#This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19" spans="1:36" ht="15.75" customHeight="1" x14ac:dyDescent="0.3">
      <c r="A219" s="85" t="str">
        <f t="shared" si="233"/>
        <v>Feb : Wednesday</v>
      </c>
      <c r="B219" s="86">
        <v>46078</v>
      </c>
      <c r="C219" s="87" t="s">
        <v>334</v>
      </c>
      <c r="D219" s="88" t="s">
        <v>465</v>
      </c>
      <c r="E219" s="87" t="s">
        <v>428</v>
      </c>
      <c r="F219" s="88" t="s">
        <v>450</v>
      </c>
      <c r="G219" s="88" t="s">
        <v>597</v>
      </c>
      <c r="H219" s="87" t="s">
        <v>521</v>
      </c>
      <c r="I219" s="87" t="s">
        <v>246</v>
      </c>
      <c r="J219" s="88">
        <v>30</v>
      </c>
      <c r="K219" s="88">
        <v>30</v>
      </c>
      <c r="L219" s="88">
        <v>30</v>
      </c>
      <c r="M219" s="89">
        <v>46078</v>
      </c>
      <c r="N219" s="88">
        <v>2</v>
      </c>
      <c r="O219" s="90" t="s">
        <v>432</v>
      </c>
      <c r="Q219" s="91">
        <f t="shared" si="250"/>
        <v>9</v>
      </c>
      <c r="R219" s="91" t="str">
        <f t="shared" si="251"/>
        <v>Feb</v>
      </c>
      <c r="S219" s="92" t="str">
        <f t="shared" si="252"/>
        <v>Wednesday</v>
      </c>
      <c r="T219" s="93" t="s">
        <v>246</v>
      </c>
      <c r="U219" s="94" t="s">
        <v>444</v>
      </c>
      <c r="W219" s="95">
        <v>0</v>
      </c>
      <c r="X219" s="96"/>
      <c r="Y219" s="97">
        <f t="shared" si="177"/>
        <v>46078</v>
      </c>
      <c r="Z219" s="98" t="str">
        <f>SUBSTITUTE('Digitas UK Task 26'!$O219, "Complet", "Not Requir")</f>
        <v>Not Required</v>
      </c>
      <c r="AA219" s="98" t="str">
        <f t="shared" si="223"/>
        <v>DE HTML Creative Confirmation</v>
      </c>
      <c r="AB219" s="99"/>
      <c r="AF219" s="84" t="str">
        <f t="shared" si="236"/>
        <v/>
      </c>
      <c r="AH219" s="84" t="str">
        <f t="shared" si="224"/>
        <v>PL_30_CR_30_AD_30_Jira_0_</v>
      </c>
      <c r="AI219" s="84" t="str">
        <f t="shared" si="225"/>
        <v/>
      </c>
      <c r="AJ219" s="84" t="str">
        <f>IF(Z219&lt;&gt;"Done","",(_xlfn.CONCAT("PL_",DigitasUKAdOp_26Team[[#This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20" spans="1:36" ht="15.75" customHeight="1" x14ac:dyDescent="0.3">
      <c r="A220" s="85" t="str">
        <f t="shared" si="233"/>
        <v>Feb : Wednesday</v>
      </c>
      <c r="B220" s="86">
        <v>46078</v>
      </c>
      <c r="C220" s="87" t="s">
        <v>334</v>
      </c>
      <c r="D220" s="88" t="s">
        <v>465</v>
      </c>
      <c r="E220" s="87" t="s">
        <v>428</v>
      </c>
      <c r="F220" s="88" t="s">
        <v>450</v>
      </c>
      <c r="G220" s="88" t="s">
        <v>597</v>
      </c>
      <c r="H220" s="87" t="s">
        <v>521</v>
      </c>
      <c r="I220" s="87" t="s">
        <v>250</v>
      </c>
      <c r="J220" s="88">
        <v>30</v>
      </c>
      <c r="K220" s="88">
        <v>30</v>
      </c>
      <c r="L220" s="88">
        <v>30</v>
      </c>
      <c r="M220" s="89">
        <v>46078</v>
      </c>
      <c r="N220" s="88">
        <v>2</v>
      </c>
      <c r="O220" s="90" t="s">
        <v>432</v>
      </c>
      <c r="Q220" s="91">
        <f t="shared" si="250"/>
        <v>9</v>
      </c>
      <c r="R220" s="91" t="str">
        <f t="shared" si="251"/>
        <v>Feb</v>
      </c>
      <c r="S220" s="92" t="str">
        <f t="shared" si="252"/>
        <v>Wednesday</v>
      </c>
      <c r="T220" s="93" t="s">
        <v>250</v>
      </c>
      <c r="U220" s="94" t="s">
        <v>444</v>
      </c>
      <c r="W220" s="95">
        <v>0</v>
      </c>
      <c r="X220" s="96"/>
      <c r="Y220" s="97">
        <f t="shared" si="177"/>
        <v>46078</v>
      </c>
      <c r="Z220" s="98" t="str">
        <f>SUBSTITUTE('Digitas UK Task 26'!$O220, "Complet", "Not Requir")</f>
        <v>Not Required</v>
      </c>
      <c r="AA220" s="98" t="str">
        <f t="shared" si="223"/>
        <v>DE HTML Creative Confirmation</v>
      </c>
      <c r="AB220" s="99"/>
      <c r="AF220" s="84" t="str">
        <f t="shared" si="236"/>
        <v/>
      </c>
      <c r="AH220" s="84" t="str">
        <f t="shared" si="224"/>
        <v>PL_30_CR_30_AD_30_Jira_0_</v>
      </c>
      <c r="AI220" s="84" t="str">
        <f t="shared" si="225"/>
        <v/>
      </c>
      <c r="AJ220" s="84" t="str">
        <f>IF(Z220&lt;&gt;"Done","",(_xlfn.CONCAT("PL_",DigitasUKAdOp_26Team[[#This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21" spans="1:36" ht="15.75" customHeight="1" x14ac:dyDescent="0.3">
      <c r="A221" s="85" t="str">
        <f t="shared" si="233"/>
        <v>Feb : Wednesday</v>
      </c>
      <c r="B221" s="86">
        <v>46078</v>
      </c>
      <c r="C221" s="87" t="s">
        <v>334</v>
      </c>
      <c r="D221" s="88" t="s">
        <v>465</v>
      </c>
      <c r="E221" s="87" t="s">
        <v>428</v>
      </c>
      <c r="F221" s="88" t="s">
        <v>450</v>
      </c>
      <c r="G221" s="88" t="s">
        <v>597</v>
      </c>
      <c r="H221" s="87" t="s">
        <v>521</v>
      </c>
      <c r="I221" s="87" t="s">
        <v>237</v>
      </c>
      <c r="J221" s="88">
        <v>30</v>
      </c>
      <c r="K221" s="88">
        <v>30</v>
      </c>
      <c r="L221" s="88">
        <v>30</v>
      </c>
      <c r="M221" s="89">
        <v>46078</v>
      </c>
      <c r="N221" s="88">
        <v>2</v>
      </c>
      <c r="O221" s="90" t="s">
        <v>432</v>
      </c>
      <c r="Q221" s="91">
        <f t="shared" si="250"/>
        <v>9</v>
      </c>
      <c r="R221" s="91" t="str">
        <f t="shared" si="251"/>
        <v>Feb</v>
      </c>
      <c r="S221" s="92" t="str">
        <f t="shared" si="252"/>
        <v>Wednesday</v>
      </c>
      <c r="T221" s="93" t="s">
        <v>237</v>
      </c>
      <c r="U221" s="94" t="s">
        <v>444</v>
      </c>
      <c r="W221" s="95">
        <v>0</v>
      </c>
      <c r="X221" s="96"/>
      <c r="Y221" s="97">
        <f t="shared" si="177"/>
        <v>46078</v>
      </c>
      <c r="Z221" s="98" t="str">
        <f>SUBSTITUTE('Digitas UK Task 26'!$O221, "Complet", "Not Requir")</f>
        <v>Not Required</v>
      </c>
      <c r="AA221" s="98" t="str">
        <f t="shared" si="223"/>
        <v>DE HTML Creative Confirmation</v>
      </c>
      <c r="AB221" s="99"/>
      <c r="AF221" s="84" t="str">
        <f t="shared" si="236"/>
        <v/>
      </c>
      <c r="AH221" s="84" t="str">
        <f t="shared" si="224"/>
        <v>PL_30_CR_30_AD_30_Jira_0_</v>
      </c>
      <c r="AI221" s="84" t="str">
        <f t="shared" si="225"/>
        <v/>
      </c>
      <c r="AJ221" s="84" t="str">
        <f>IF(Z221&lt;&gt;"Done","",(_xlfn.CONCAT("PL_",DigitasUKAdOp_26Team[[#This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22" spans="1:36" ht="15.75" customHeight="1" x14ac:dyDescent="0.3">
      <c r="A222" s="85" t="str">
        <f t="shared" si="233"/>
        <v>Feb : Thursday</v>
      </c>
      <c r="B222" s="86">
        <v>46079</v>
      </c>
      <c r="C222" s="87" t="s">
        <v>318</v>
      </c>
      <c r="D222" s="88" t="s">
        <v>435</v>
      </c>
      <c r="E222" s="87" t="s">
        <v>428</v>
      </c>
      <c r="F222" s="88" t="s">
        <v>559</v>
      </c>
      <c r="G222" s="88" t="s">
        <v>484</v>
      </c>
      <c r="H222" s="87" t="s">
        <v>443</v>
      </c>
      <c r="I222" s="87" t="s">
        <v>431</v>
      </c>
      <c r="J222" s="88">
        <v>0</v>
      </c>
      <c r="K222" s="88">
        <v>0</v>
      </c>
      <c r="L222" s="88">
        <v>0</v>
      </c>
      <c r="M222" s="89">
        <v>46079</v>
      </c>
      <c r="N222" s="88">
        <v>0.5</v>
      </c>
      <c r="O222" s="90" t="s">
        <v>432</v>
      </c>
      <c r="Q222" s="91">
        <f t="shared" si="250"/>
        <v>9</v>
      </c>
      <c r="R222" s="91" t="str">
        <f t="shared" si="251"/>
        <v>Feb</v>
      </c>
      <c r="S222" s="92" t="str">
        <f t="shared" si="252"/>
        <v>Thursday</v>
      </c>
      <c r="T222" s="93" t="s">
        <v>431</v>
      </c>
      <c r="U222" s="94" t="s">
        <v>444</v>
      </c>
      <c r="W222" s="95">
        <v>0</v>
      </c>
      <c r="X222" s="96"/>
      <c r="Y222" s="97">
        <f t="shared" ref="Y222:Y284" si="273">IF(M222="","",M222)</f>
        <v>46079</v>
      </c>
      <c r="Z222" s="98" t="str">
        <f>SUBSTITUTE('Digitas UK Task 26'!$O222, "Complet", "Not Requir")</f>
        <v>Not Required</v>
      </c>
      <c r="AA222" s="98" t="str">
        <f t="shared" si="223"/>
        <v>RE: WELLA | FY26Q3 NNE - UK | TAG REQUEST</v>
      </c>
      <c r="AB222" s="99"/>
      <c r="AF222" s="84" t="str">
        <f t="shared" si="236"/>
        <v/>
      </c>
      <c r="AH222" s="84" t="str">
        <f t="shared" si="224"/>
        <v>PL_0_CR_0_AD_0_Jira_0_</v>
      </c>
      <c r="AI222" s="84" t="str">
        <f t="shared" si="225"/>
        <v/>
      </c>
      <c r="AJ222" s="84" t="str">
        <f>IF(Z222&lt;&gt;"Done","",(_xlfn.CONCAT("PL_",DigitasUKAdOp_26Team[[#This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23" spans="1:36" ht="15.75" customHeight="1" x14ac:dyDescent="0.3">
      <c r="A223" s="85" t="str">
        <f t="shared" ref="A223" si="274">IF(B223="","",TEXT(B223,"MMM : DDDD"))</f>
        <v>Feb : Thursday</v>
      </c>
      <c r="B223" s="86">
        <v>46079</v>
      </c>
      <c r="C223" s="87" t="s">
        <v>318</v>
      </c>
      <c r="D223" s="88" t="s">
        <v>435</v>
      </c>
      <c r="E223" s="87" t="s">
        <v>428</v>
      </c>
      <c r="F223" s="88" t="s">
        <v>559</v>
      </c>
      <c r="G223" s="88" t="s">
        <v>484</v>
      </c>
      <c r="H223" s="87" t="s">
        <v>269</v>
      </c>
      <c r="I223" s="87" t="s">
        <v>431</v>
      </c>
      <c r="J223" s="88">
        <v>1</v>
      </c>
      <c r="K223" s="88">
        <v>1</v>
      </c>
      <c r="L223" s="88">
        <v>1</v>
      </c>
      <c r="M223" s="89">
        <v>46079</v>
      </c>
      <c r="N223" s="88">
        <v>0.25</v>
      </c>
      <c r="O223" s="90" t="s">
        <v>432</v>
      </c>
      <c r="Q223" s="91">
        <f t="shared" si="250"/>
        <v>9</v>
      </c>
      <c r="R223" s="91" t="str">
        <f t="shared" si="251"/>
        <v>Feb</v>
      </c>
      <c r="S223" s="92" t="str">
        <f t="shared" si="252"/>
        <v>Thursday</v>
      </c>
      <c r="T223" s="93" t="s">
        <v>237</v>
      </c>
      <c r="U223" s="94" t="s">
        <v>433</v>
      </c>
      <c r="W223" s="95">
        <v>0.25</v>
      </c>
      <c r="X223" s="96"/>
      <c r="Y223" s="97">
        <f t="shared" si="273"/>
        <v>46079</v>
      </c>
      <c r="Z223" s="98" t="str">
        <f>SUBSTITUTE('Digitas UK Task 26'!$O223, "Complet", "Not Requir")</f>
        <v>Not Required</v>
      </c>
      <c r="AA223" s="98" t="str">
        <f t="shared" si="223"/>
        <v>RE: WELLA | FY26Q3 NNE - UK | TAG REQUEST</v>
      </c>
      <c r="AB223" s="99"/>
      <c r="AF223" s="84" t="str">
        <f t="shared" si="236"/>
        <v/>
      </c>
      <c r="AH223" s="84" t="str">
        <f t="shared" si="224"/>
        <v>PL_1_CR_1_AD_1_Jira_0_</v>
      </c>
      <c r="AI223" s="84" t="str">
        <f t="shared" si="225"/>
        <v>PL_1_CR_1_AD_1_Jira_0_</v>
      </c>
      <c r="AJ223" s="84" t="str">
        <f>IF(Z223&lt;&gt;"Done","",(_xlfn.CONCAT("PL_",DigitasUKAdOp_26Team[[#This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24" spans="1:36" ht="15.75" customHeight="1" x14ac:dyDescent="0.3">
      <c r="A224" s="85" t="str">
        <f t="shared" ref="A224" si="275">IF(B224="","",TEXT(B224,"MMM : DDDD"))</f>
        <v>Feb : Thursday</v>
      </c>
      <c r="B224" s="86">
        <v>46079</v>
      </c>
      <c r="C224" s="87" t="s">
        <v>318</v>
      </c>
      <c r="D224" s="88" t="s">
        <v>448</v>
      </c>
      <c r="E224" s="87" t="s">
        <v>428</v>
      </c>
      <c r="F224" s="88" t="s">
        <v>478</v>
      </c>
      <c r="G224" s="88" t="s">
        <v>484</v>
      </c>
      <c r="H224" s="87" t="s">
        <v>269</v>
      </c>
      <c r="I224" s="87" t="s">
        <v>431</v>
      </c>
      <c r="J224" s="88">
        <v>1</v>
      </c>
      <c r="K224" s="88">
        <v>1</v>
      </c>
      <c r="L224" s="88">
        <v>1</v>
      </c>
      <c r="M224" s="89">
        <v>46079</v>
      </c>
      <c r="N224" s="88">
        <v>0.25</v>
      </c>
      <c r="O224" s="90" t="s">
        <v>432</v>
      </c>
      <c r="Q224" s="91">
        <f t="shared" si="250"/>
        <v>9</v>
      </c>
      <c r="R224" s="91" t="str">
        <f t="shared" si="251"/>
        <v>Feb</v>
      </c>
      <c r="S224" s="92" t="str">
        <f t="shared" si="252"/>
        <v>Thursday</v>
      </c>
      <c r="T224" s="93" t="s">
        <v>237</v>
      </c>
      <c r="U224" s="94" t="s">
        <v>433</v>
      </c>
      <c r="W224" s="95">
        <v>0.25</v>
      </c>
      <c r="X224" s="96"/>
      <c r="Y224" s="97">
        <f t="shared" si="273"/>
        <v>46079</v>
      </c>
      <c r="Z224" s="98" t="str">
        <f>SUBSTITUTE('Digitas UK Task 26'!$O224, "Complet", "Not Requir")</f>
        <v>Not Required</v>
      </c>
      <c r="AA224" s="98" t="str">
        <f t="shared" si="223"/>
        <v>RE: WELLA | FY26Q3 NNE - UK | TAG REQUEST</v>
      </c>
      <c r="AB224" s="99"/>
      <c r="AF224" s="84" t="str">
        <f t="shared" si="236"/>
        <v/>
      </c>
      <c r="AH224" s="84" t="str">
        <f t="shared" si="224"/>
        <v>PL_1_CR_1_AD_1_Jira_0_</v>
      </c>
      <c r="AI224" s="84" t="str">
        <f t="shared" si="225"/>
        <v>PL_1_CR_1_AD_1_Jira_0_</v>
      </c>
      <c r="AJ224" s="84" t="str">
        <f>IF(Z224&lt;&gt;"Done","",(_xlfn.CONCAT("PL_",DigitasUKAdOp_26Team[[#This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25" spans="1:36" ht="15.75" customHeight="1" x14ac:dyDescent="0.3">
      <c r="A225" s="85" t="str">
        <f t="shared" si="233"/>
        <v>Feb : Thursday</v>
      </c>
      <c r="B225" s="86">
        <v>46079</v>
      </c>
      <c r="C225" s="87" t="s">
        <v>318</v>
      </c>
      <c r="D225" s="88" t="s">
        <v>435</v>
      </c>
      <c r="E225" s="87" t="s">
        <v>428</v>
      </c>
      <c r="F225" s="88" t="s">
        <v>450</v>
      </c>
      <c r="G225" s="88" t="s">
        <v>575</v>
      </c>
      <c r="H225" s="87" t="s">
        <v>443</v>
      </c>
      <c r="I225" s="87" t="s">
        <v>250</v>
      </c>
      <c r="J225" s="88">
        <v>0</v>
      </c>
      <c r="K225" s="88">
        <v>0</v>
      </c>
      <c r="L225" s="88">
        <v>0</v>
      </c>
      <c r="M225" s="89">
        <v>46079</v>
      </c>
      <c r="N225" s="88">
        <v>1</v>
      </c>
      <c r="O225" s="90" t="s">
        <v>432</v>
      </c>
      <c r="Q225" s="91">
        <f t="shared" si="250"/>
        <v>9</v>
      </c>
      <c r="R225" s="91" t="str">
        <f t="shared" si="251"/>
        <v>Feb</v>
      </c>
      <c r="S225" s="92" t="str">
        <f t="shared" si="252"/>
        <v>Thursday</v>
      </c>
      <c r="T225" s="93" t="s">
        <v>237</v>
      </c>
      <c r="U225" s="94" t="s">
        <v>444</v>
      </c>
      <c r="W225" s="95">
        <v>0</v>
      </c>
      <c r="X225" s="96"/>
      <c r="Y225" s="97">
        <f t="shared" si="273"/>
        <v>46079</v>
      </c>
      <c r="Z225" s="98" t="str">
        <f>SUBSTITUTE('Digitas UK Task 26'!$O225, "Complet", "Not Requir")</f>
        <v>Not Required</v>
      </c>
      <c r="AA225" s="98" t="str">
        <f t="shared" si="223"/>
        <v>RE: WELLA | FY26Q3 WELLA SEBASTIAN FRANCE | TAG REQUEST</v>
      </c>
      <c r="AB225" s="99"/>
      <c r="AF225" s="84" t="str">
        <f t="shared" si="236"/>
        <v/>
      </c>
      <c r="AH225" s="84" t="str">
        <f t="shared" si="224"/>
        <v>PL_0_CR_0_AD_0_Jira_0_</v>
      </c>
      <c r="AI225" s="84" t="str">
        <f t="shared" si="225"/>
        <v/>
      </c>
      <c r="AJ225" s="84" t="str">
        <f>IF(Z225&lt;&gt;"Done","",(_xlfn.CONCAT("PL_",DigitasUKAdOp_26Team[[#This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26" spans="1:36" ht="15.75" customHeight="1" x14ac:dyDescent="0.3">
      <c r="A226" s="85" t="str">
        <f t="shared" ref="A226" si="276">IF(B226="","",TEXT(B226,"MMM : DDDD"))</f>
        <v>Feb : Thursday</v>
      </c>
      <c r="B226" s="86">
        <v>46079</v>
      </c>
      <c r="C226" s="87" t="s">
        <v>318</v>
      </c>
      <c r="D226" s="88" t="s">
        <v>435</v>
      </c>
      <c r="E226" s="87" t="s">
        <v>428</v>
      </c>
      <c r="F226" s="88" t="s">
        <v>541</v>
      </c>
      <c r="G226" s="88" t="s">
        <v>575</v>
      </c>
      <c r="H226" s="87" t="s">
        <v>269</v>
      </c>
      <c r="I226" s="87" t="s">
        <v>250</v>
      </c>
      <c r="J226" s="88">
        <v>1</v>
      </c>
      <c r="K226" s="88">
        <v>1</v>
      </c>
      <c r="L226" s="88">
        <v>1</v>
      </c>
      <c r="M226" s="89">
        <v>46079</v>
      </c>
      <c r="N226" s="88">
        <v>0.25</v>
      </c>
      <c r="O226" s="90" t="s">
        <v>432</v>
      </c>
      <c r="Q226" s="91">
        <f t="shared" si="250"/>
        <v>9</v>
      </c>
      <c r="R226" s="91" t="str">
        <f t="shared" si="251"/>
        <v>Feb</v>
      </c>
      <c r="S226" s="92" t="str">
        <f t="shared" si="252"/>
        <v>Thursday</v>
      </c>
      <c r="T226" s="93" t="s">
        <v>237</v>
      </c>
      <c r="U226" s="94" t="s">
        <v>433</v>
      </c>
      <c r="W226" s="95">
        <v>0.25</v>
      </c>
      <c r="X226" s="96"/>
      <c r="Y226" s="97">
        <f t="shared" si="273"/>
        <v>46079</v>
      </c>
      <c r="Z226" s="98" t="str">
        <f>SUBSTITUTE('Digitas UK Task 26'!$O226, "Complet", "Not Requir")</f>
        <v>Not Required</v>
      </c>
      <c r="AA226" s="98" t="str">
        <f t="shared" si="223"/>
        <v>RE: WELLA | FY26Q3 WELLA SEBASTIAN FRANCE | TAG REQUEST</v>
      </c>
      <c r="AB226" s="99"/>
      <c r="AF226" s="84" t="str">
        <f t="shared" si="236"/>
        <v/>
      </c>
      <c r="AH226" s="84" t="str">
        <f t="shared" si="224"/>
        <v>PL_1_CR_1_AD_1_Jira_0_</v>
      </c>
      <c r="AI226" s="84" t="str">
        <f t="shared" si="225"/>
        <v>PL_1_CR_1_AD_1_Jira_0_</v>
      </c>
      <c r="AJ226" s="84" t="str">
        <f>IF(Z226&lt;&gt;"Done","",(_xlfn.CONCAT("PL_",DigitasUKAdOp_26Team[[#This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27" spans="1:36" ht="15.75" customHeight="1" x14ac:dyDescent="0.3">
      <c r="A227" s="85" t="str">
        <f t="shared" si="233"/>
        <v>Feb : Friday</v>
      </c>
      <c r="B227" s="86">
        <v>46080</v>
      </c>
      <c r="C227" s="87" t="s">
        <v>334</v>
      </c>
      <c r="D227" s="88" t="s">
        <v>598</v>
      </c>
      <c r="E227" s="87" t="s">
        <v>428</v>
      </c>
      <c r="F227" s="88" t="s">
        <v>466</v>
      </c>
      <c r="G227" s="88" t="s">
        <v>599</v>
      </c>
      <c r="H227" s="87" t="s">
        <v>443</v>
      </c>
      <c r="I227" s="87" t="s">
        <v>237</v>
      </c>
      <c r="J227" s="88">
        <v>0</v>
      </c>
      <c r="K227" s="88">
        <v>0</v>
      </c>
      <c r="L227" s="88">
        <v>0</v>
      </c>
      <c r="M227" s="89">
        <v>46080</v>
      </c>
      <c r="N227" s="88">
        <v>1</v>
      </c>
      <c r="O227" s="90" t="s">
        <v>432</v>
      </c>
      <c r="Q227" s="91">
        <f t="shared" si="250"/>
        <v>9</v>
      </c>
      <c r="R227" s="91" t="str">
        <f t="shared" si="251"/>
        <v>Feb</v>
      </c>
      <c r="S227" s="92" t="str">
        <f t="shared" si="252"/>
        <v>Friday</v>
      </c>
      <c r="T227" s="93" t="s">
        <v>237</v>
      </c>
      <c r="U227" s="94" t="s">
        <v>444</v>
      </c>
      <c r="W227" s="95">
        <v>0</v>
      </c>
      <c r="X227" s="96"/>
      <c r="Y227" s="97">
        <f t="shared" si="273"/>
        <v>46080</v>
      </c>
      <c r="Z227" s="98" t="str">
        <f>SUBSTITUTE('Digitas UK Task 26'!$O227, "Complet", "Not Requir")</f>
        <v>Not Required</v>
      </c>
      <c r="AA227" s="98" t="str">
        <f t="shared" si="223"/>
        <v>Klaviyo EMEA - Trafficking Request - Display &amp; OLV - Q1 2026</v>
      </c>
      <c r="AB227" s="99"/>
      <c r="AF227" s="84" t="str">
        <f t="shared" si="236"/>
        <v/>
      </c>
      <c r="AH227" s="84" t="str">
        <f t="shared" si="224"/>
        <v>PL_0_CR_0_AD_0_Jira_0_</v>
      </c>
      <c r="AI227" s="84" t="str">
        <f t="shared" si="225"/>
        <v/>
      </c>
      <c r="AJ227" s="84" t="str">
        <f>IF(Z227&lt;&gt;"Done","",(_xlfn.CONCAT("PL_",DigitasUKAdOp_26Team[[#This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28" spans="1:36" ht="15.75" customHeight="1" x14ac:dyDescent="0.3">
      <c r="A228" s="85" t="str">
        <f t="shared" si="233"/>
        <v>Feb : Friday</v>
      </c>
      <c r="B228" s="86">
        <v>46080</v>
      </c>
      <c r="C228" s="87" t="s">
        <v>334</v>
      </c>
      <c r="D228" s="88" t="s">
        <v>598</v>
      </c>
      <c r="E228" s="87" t="s">
        <v>428</v>
      </c>
      <c r="F228" s="88" t="s">
        <v>471</v>
      </c>
      <c r="G228" s="88" t="s">
        <v>599</v>
      </c>
      <c r="H228" s="87" t="s">
        <v>269</v>
      </c>
      <c r="I228" s="87" t="s">
        <v>246</v>
      </c>
      <c r="J228" s="88">
        <v>40</v>
      </c>
      <c r="K228" s="88">
        <v>40</v>
      </c>
      <c r="L228" s="88">
        <v>40</v>
      </c>
      <c r="M228" s="89">
        <v>46080</v>
      </c>
      <c r="N228" s="88">
        <v>2</v>
      </c>
      <c r="O228" s="90" t="s">
        <v>432</v>
      </c>
      <c r="Q228" s="91">
        <f t="shared" si="250"/>
        <v>9</v>
      </c>
      <c r="R228" s="91" t="str">
        <f t="shared" si="251"/>
        <v>Feb</v>
      </c>
      <c r="S228" s="92" t="str">
        <f t="shared" si="252"/>
        <v>Friday</v>
      </c>
      <c r="T228" s="93" t="s">
        <v>237</v>
      </c>
      <c r="U228" s="94" t="s">
        <v>433</v>
      </c>
      <c r="W228" s="95">
        <v>2</v>
      </c>
      <c r="X228" s="96"/>
      <c r="Y228" s="97">
        <f t="shared" si="273"/>
        <v>46080</v>
      </c>
      <c r="Z228" s="98" t="str">
        <f>SUBSTITUTE('Digitas UK Task 26'!$O228, "Complet", "Not Requir")</f>
        <v>Not Required</v>
      </c>
      <c r="AA228" s="98" t="str">
        <f t="shared" si="223"/>
        <v>Klaviyo EMEA - Trafficking Request - Display &amp; OLV - Q1 2026</v>
      </c>
      <c r="AB228" s="99"/>
      <c r="AF228" s="84" t="str">
        <f t="shared" si="236"/>
        <v/>
      </c>
      <c r="AH228" s="84" t="str">
        <f t="shared" si="224"/>
        <v>PL_40_CR_40_AD_40_Jira_0_</v>
      </c>
      <c r="AI228" s="84" t="str">
        <f t="shared" si="225"/>
        <v>PL_40_CR_40_AD_40_Jira_0_</v>
      </c>
      <c r="AJ228" s="84" t="str">
        <f>IF(Z228&lt;&gt;"Done","",(_xlfn.CONCAT("PL_",DigitasUKAdOp_26Team[[#This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29" spans="1:36" ht="15.75" customHeight="1" x14ac:dyDescent="0.3">
      <c r="A229" s="85" t="str">
        <f t="shared" si="233"/>
        <v>Feb : Friday</v>
      </c>
      <c r="B229" s="86">
        <v>46080</v>
      </c>
      <c r="C229" s="87" t="s">
        <v>334</v>
      </c>
      <c r="D229" s="88" t="s">
        <v>598</v>
      </c>
      <c r="E229" s="87" t="s">
        <v>428</v>
      </c>
      <c r="F229" s="88" t="s">
        <v>466</v>
      </c>
      <c r="G229" s="88" t="s">
        <v>599</v>
      </c>
      <c r="H229" s="87" t="s">
        <v>269</v>
      </c>
      <c r="I229" s="87" t="s">
        <v>250</v>
      </c>
      <c r="J229" s="88">
        <v>40</v>
      </c>
      <c r="K229" s="88">
        <v>40</v>
      </c>
      <c r="L229" s="88">
        <v>40</v>
      </c>
      <c r="M229" s="89">
        <v>46080</v>
      </c>
      <c r="N229" s="88">
        <v>2</v>
      </c>
      <c r="O229" s="90" t="s">
        <v>432</v>
      </c>
      <c r="Q229" s="91">
        <f t="shared" si="250"/>
        <v>9</v>
      </c>
      <c r="R229" s="91" t="str">
        <f t="shared" si="251"/>
        <v>Feb</v>
      </c>
      <c r="S229" s="92" t="str">
        <f t="shared" si="252"/>
        <v>Friday</v>
      </c>
      <c r="T229" s="93" t="s">
        <v>237</v>
      </c>
      <c r="U229" s="94" t="s">
        <v>433</v>
      </c>
      <c r="W229" s="95">
        <v>2</v>
      </c>
      <c r="X229" s="96"/>
      <c r="Y229" s="97">
        <f t="shared" si="273"/>
        <v>46080</v>
      </c>
      <c r="Z229" s="98" t="str">
        <f>SUBSTITUTE('Digitas UK Task 26'!$O229, "Complet", "Not Requir")</f>
        <v>Not Required</v>
      </c>
      <c r="AA229" s="98" t="str">
        <f t="shared" si="223"/>
        <v>Klaviyo EMEA - Trafficking Request - Display &amp; OLV - Q1 2026</v>
      </c>
      <c r="AB229" s="99"/>
      <c r="AF229" s="84" t="str">
        <f t="shared" si="236"/>
        <v/>
      </c>
      <c r="AH229" s="84" t="str">
        <f t="shared" si="224"/>
        <v>PL_40_CR_40_AD_40_Jira_0_</v>
      </c>
      <c r="AI229" s="84" t="str">
        <f t="shared" si="225"/>
        <v>PL_40_CR_40_AD_40_Jira_0_</v>
      </c>
      <c r="AJ229" s="84" t="str">
        <f>IF(Z229&lt;&gt;"Done","",(_xlfn.CONCAT("PL_",DigitasUKAdOp_26Team[[#This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30" spans="1:36" ht="15.75" customHeight="1" x14ac:dyDescent="0.3">
      <c r="A230" s="85" t="str">
        <f t="shared" ref="A230:A231" si="277">IF(B230="","",TEXT(B230,"MMM : DDDD"))</f>
        <v>Feb : Friday</v>
      </c>
      <c r="B230" s="86">
        <v>46080</v>
      </c>
      <c r="C230" s="87" t="s">
        <v>318</v>
      </c>
      <c r="D230" s="88" t="s">
        <v>435</v>
      </c>
      <c r="E230" s="87" t="s">
        <v>428</v>
      </c>
      <c r="F230" s="88" t="s">
        <v>600</v>
      </c>
      <c r="G230" s="88" t="s">
        <v>595</v>
      </c>
      <c r="H230" s="87" t="s">
        <v>269</v>
      </c>
      <c r="I230" s="87" t="s">
        <v>246</v>
      </c>
      <c r="J230" s="88">
        <v>2</v>
      </c>
      <c r="K230" s="88">
        <v>2</v>
      </c>
      <c r="L230" s="88">
        <v>2</v>
      </c>
      <c r="M230" s="89">
        <v>46080</v>
      </c>
      <c r="N230" s="88">
        <v>0.25</v>
      </c>
      <c r="O230" s="90" t="s">
        <v>432</v>
      </c>
      <c r="Q230" s="91">
        <f t="shared" si="250"/>
        <v>9</v>
      </c>
      <c r="R230" s="91" t="str">
        <f t="shared" si="251"/>
        <v>Feb</v>
      </c>
      <c r="S230" s="92" t="str">
        <f t="shared" si="252"/>
        <v>Friday</v>
      </c>
      <c r="T230" s="93" t="s">
        <v>250</v>
      </c>
      <c r="U230" s="94" t="s">
        <v>433</v>
      </c>
      <c r="W230" s="95">
        <v>0.25</v>
      </c>
      <c r="X230" s="96"/>
      <c r="Y230" s="97">
        <f t="shared" si="273"/>
        <v>46080</v>
      </c>
      <c r="Z230" s="98" t="str">
        <f>SUBSTITUTE('Digitas UK Task 26'!$O230, "Complet", "Not Requir")</f>
        <v>Not Required</v>
      </c>
      <c r="AA230" s="98" t="str">
        <f t="shared" si="223"/>
        <v>RE: WELLA | FY26Q3 ULTIMATE COLOR FRANCE | TAG REQUEST</v>
      </c>
      <c r="AB230" s="99"/>
      <c r="AF230" s="84" t="str">
        <f t="shared" si="236"/>
        <v/>
      </c>
      <c r="AH230" s="84" t="str">
        <f t="shared" si="224"/>
        <v>PL_2_CR_2_AD_2_Jira_0_</v>
      </c>
      <c r="AI230" s="84" t="str">
        <f t="shared" si="225"/>
        <v>PL_2_CR_2_AD_2_Jira_0_</v>
      </c>
      <c r="AJ230" s="84" t="str">
        <f>IF(Z230&lt;&gt;"Done","",(_xlfn.CONCAT("PL_",DigitasUKAdOp_26Team[[#This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31" spans="1:36" ht="15.75" customHeight="1" x14ac:dyDescent="0.3">
      <c r="A231" s="85" t="str">
        <f t="shared" si="277"/>
        <v>Feb : Friday</v>
      </c>
      <c r="B231" s="86">
        <v>46080</v>
      </c>
      <c r="C231" s="87" t="s">
        <v>318</v>
      </c>
      <c r="D231" s="88" t="s">
        <v>435</v>
      </c>
      <c r="E231" s="87" t="s">
        <v>428</v>
      </c>
      <c r="F231" s="88" t="s">
        <v>594</v>
      </c>
      <c r="G231" s="88" t="s">
        <v>595</v>
      </c>
      <c r="H231" s="87" t="s">
        <v>269</v>
      </c>
      <c r="I231" s="87" t="s">
        <v>246</v>
      </c>
      <c r="J231" s="88">
        <v>2</v>
      </c>
      <c r="K231" s="88">
        <v>2</v>
      </c>
      <c r="L231" s="88">
        <v>2</v>
      </c>
      <c r="M231" s="89">
        <v>46080</v>
      </c>
      <c r="N231" s="88">
        <v>0.25</v>
      </c>
      <c r="O231" s="90" t="s">
        <v>432</v>
      </c>
      <c r="Q231" s="91">
        <f t="shared" si="250"/>
        <v>9</v>
      </c>
      <c r="R231" s="91" t="str">
        <f t="shared" si="251"/>
        <v>Feb</v>
      </c>
      <c r="S231" s="92" t="str">
        <f t="shared" si="252"/>
        <v>Friday</v>
      </c>
      <c r="T231" s="93" t="s">
        <v>250</v>
      </c>
      <c r="U231" s="94" t="s">
        <v>433</v>
      </c>
      <c r="W231" s="95">
        <v>0.25</v>
      </c>
      <c r="X231" s="96"/>
      <c r="Y231" s="97">
        <f t="shared" si="273"/>
        <v>46080</v>
      </c>
      <c r="Z231" s="98" t="str">
        <f>SUBSTITUTE('Digitas UK Task 26'!$O231, "Complet", "Not Requir")</f>
        <v>Not Required</v>
      </c>
      <c r="AA231" s="98" t="str">
        <f t="shared" si="223"/>
        <v>RE: WELLA | FY26Q3 ULTIMATE COLOR FRANCE | TAG REQUEST</v>
      </c>
      <c r="AB231" s="99"/>
      <c r="AF231" s="84" t="str">
        <f t="shared" si="236"/>
        <v/>
      </c>
      <c r="AH231" s="84" t="str">
        <f t="shared" si="224"/>
        <v>PL_2_CR_2_AD_2_Jira_0_</v>
      </c>
      <c r="AI231" s="84" t="str">
        <f t="shared" si="225"/>
        <v>PL_2_CR_2_AD_2_Jira_0_</v>
      </c>
      <c r="AJ231" s="84" t="str">
        <f>IF(Z231&lt;&gt;"Done","",(_xlfn.CONCAT("PL_",DigitasUKAdOp_26Team[[#This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32" spans="1:36" ht="15.75" customHeight="1" x14ac:dyDescent="0.3">
      <c r="A232" s="85" t="str">
        <f t="shared" ref="A232:A233" si="278">IF(B232="","",TEXT(B232,"MMM : DDDD"))</f>
        <v>Feb : Friday</v>
      </c>
      <c r="B232" s="86">
        <v>46080</v>
      </c>
      <c r="C232" s="87" t="s">
        <v>318</v>
      </c>
      <c r="D232" s="88" t="s">
        <v>435</v>
      </c>
      <c r="E232" s="87" t="s">
        <v>428</v>
      </c>
      <c r="F232" s="88" t="s">
        <v>558</v>
      </c>
      <c r="G232" s="88" t="s">
        <v>484</v>
      </c>
      <c r="H232" s="87" t="s">
        <v>269</v>
      </c>
      <c r="I232" s="87" t="s">
        <v>431</v>
      </c>
      <c r="J232" s="88">
        <v>1</v>
      </c>
      <c r="K232" s="88">
        <v>1</v>
      </c>
      <c r="L232" s="88">
        <v>1</v>
      </c>
      <c r="M232" s="89">
        <v>46080</v>
      </c>
      <c r="N232" s="88">
        <v>0.25</v>
      </c>
      <c r="O232" s="90" t="s">
        <v>432</v>
      </c>
      <c r="Q232" s="91">
        <f t="shared" si="250"/>
        <v>9</v>
      </c>
      <c r="R232" s="91" t="str">
        <f t="shared" si="251"/>
        <v>Feb</v>
      </c>
      <c r="S232" s="92" t="str">
        <f t="shared" si="252"/>
        <v>Friday</v>
      </c>
      <c r="T232" s="93" t="s">
        <v>237</v>
      </c>
      <c r="U232" s="94" t="s">
        <v>433</v>
      </c>
      <c r="W232" s="95">
        <v>0.25</v>
      </c>
      <c r="X232" s="96"/>
      <c r="Y232" s="97">
        <f t="shared" si="273"/>
        <v>46080</v>
      </c>
      <c r="Z232" s="98" t="str">
        <f>SUBSTITUTE('Digitas UK Task 26'!$O232, "Complet", "Not Requir")</f>
        <v>Not Required</v>
      </c>
      <c r="AA232" s="98" t="str">
        <f t="shared" si="223"/>
        <v>RE: WELLA | FY26Q3 NNE - UK | TAG REQUEST</v>
      </c>
      <c r="AB232" s="99"/>
      <c r="AF232" s="84" t="str">
        <f t="shared" si="236"/>
        <v/>
      </c>
      <c r="AH232" s="84" t="str">
        <f t="shared" si="224"/>
        <v>PL_1_CR_1_AD_1_Jira_0_</v>
      </c>
      <c r="AI232" s="84" t="str">
        <f t="shared" si="225"/>
        <v>PL_1_CR_1_AD_1_Jira_0_</v>
      </c>
      <c r="AJ232" s="84" t="str">
        <f>IF(Z232&lt;&gt;"Done","",(_xlfn.CONCAT("PL_",DigitasUKAdOp_26Team[[#This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33" spans="1:36" ht="15.75" customHeight="1" x14ac:dyDescent="0.3">
      <c r="A233" s="85" t="str">
        <f t="shared" si="278"/>
        <v>Feb : Friday</v>
      </c>
      <c r="B233" s="86">
        <v>46080</v>
      </c>
      <c r="C233" s="87" t="s">
        <v>334</v>
      </c>
      <c r="D233" s="88" t="s">
        <v>598</v>
      </c>
      <c r="E233" s="87" t="s">
        <v>428</v>
      </c>
      <c r="F233" s="88" t="s">
        <v>466</v>
      </c>
      <c r="G233" s="88" t="s">
        <v>599</v>
      </c>
      <c r="H233" s="87" t="s">
        <v>443</v>
      </c>
      <c r="I233" s="87" t="s">
        <v>250</v>
      </c>
      <c r="J233" s="88">
        <v>0</v>
      </c>
      <c r="K233" s="88">
        <v>0</v>
      </c>
      <c r="L233" s="88">
        <v>0</v>
      </c>
      <c r="M233" s="89">
        <v>46080</v>
      </c>
      <c r="N233" s="88">
        <v>2</v>
      </c>
      <c r="O233" s="90" t="s">
        <v>432</v>
      </c>
      <c r="Q233" s="91">
        <f t="shared" si="250"/>
        <v>9</v>
      </c>
      <c r="R233" s="91" t="str">
        <f t="shared" si="251"/>
        <v>Feb</v>
      </c>
      <c r="S233" s="92" t="str">
        <f t="shared" si="252"/>
        <v>Friday</v>
      </c>
      <c r="T233" s="93" t="s">
        <v>250</v>
      </c>
      <c r="U233" s="94" t="s">
        <v>444</v>
      </c>
      <c r="W233" s="95">
        <v>0</v>
      </c>
      <c r="X233" s="96"/>
      <c r="Y233" s="97">
        <f t="shared" si="273"/>
        <v>46080</v>
      </c>
      <c r="Z233" s="98" t="str">
        <f>SUBSTITUTE('Digitas UK Task 26'!$O233, "Complet", "Not Requir")</f>
        <v>Not Required</v>
      </c>
      <c r="AA233" s="98" t="str">
        <f t="shared" si="223"/>
        <v>Klaviyo EMEA - Trafficking Request - Display &amp; OLV - Q1 2026</v>
      </c>
      <c r="AB233" s="99"/>
      <c r="AF233" s="84" t="str">
        <f t="shared" si="236"/>
        <v/>
      </c>
      <c r="AH233" s="84" t="str">
        <f t="shared" si="224"/>
        <v>PL_0_CR_0_AD_0_Jira_0_</v>
      </c>
      <c r="AI233" s="84" t="str">
        <f t="shared" si="225"/>
        <v/>
      </c>
      <c r="AJ233" s="84" t="str">
        <f>IF(Z233&lt;&gt;"Done","",(_xlfn.CONCAT("PL_",DigitasUKAdOp_26Team[[#This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34" spans="1:36" ht="15.75" customHeight="1" x14ac:dyDescent="0.3">
      <c r="A234" s="85" t="str">
        <f t="shared" ref="A234" si="279">IF(B234="","",TEXT(B234,"MMM : DDDD"))</f>
        <v>Feb : Friday</v>
      </c>
      <c r="B234" s="86">
        <v>46080</v>
      </c>
      <c r="C234" s="87" t="s">
        <v>334</v>
      </c>
      <c r="D234" s="88" t="s">
        <v>598</v>
      </c>
      <c r="E234" s="87" t="s">
        <v>428</v>
      </c>
      <c r="F234" s="88" t="s">
        <v>471</v>
      </c>
      <c r="G234" s="88" t="s">
        <v>599</v>
      </c>
      <c r="H234" s="87" t="s">
        <v>443</v>
      </c>
      <c r="I234" s="87" t="s">
        <v>246</v>
      </c>
      <c r="J234" s="88">
        <v>0</v>
      </c>
      <c r="K234" s="88">
        <v>0</v>
      </c>
      <c r="L234" s="88">
        <v>0</v>
      </c>
      <c r="M234" s="89">
        <v>46080</v>
      </c>
      <c r="N234" s="88">
        <v>2</v>
      </c>
      <c r="O234" s="90" t="s">
        <v>432</v>
      </c>
      <c r="Q234" s="91">
        <f t="shared" ref="Q234" si="280">IF(B234="","",WEEKNUM(B234))</f>
        <v>9</v>
      </c>
      <c r="R234" s="91" t="str">
        <f t="shared" ref="R234" si="281">IF(B234="","",TEXT(B234,"MMM"))</f>
        <v>Feb</v>
      </c>
      <c r="S234" s="92" t="str">
        <f t="shared" ref="S234" si="282">IF(B234="","",TEXT(B234,"DDDD"))</f>
        <v>Friday</v>
      </c>
      <c r="T234" s="93" t="s">
        <v>246</v>
      </c>
      <c r="U234" s="94" t="s">
        <v>444</v>
      </c>
      <c r="W234" s="95">
        <v>0</v>
      </c>
      <c r="X234" s="96"/>
      <c r="Y234" s="97">
        <f t="shared" ref="Y234" si="283">IF(M234="","",M234)</f>
        <v>46080</v>
      </c>
      <c r="Z234" s="98" t="str">
        <f>SUBSTITUTE('Digitas UK Task 26'!$O234, "Complet", "Not Requir")</f>
        <v>Not Required</v>
      </c>
      <c r="AA234" s="98" t="str">
        <f t="shared" ref="AA234" si="284">IF(G234="","",G234)</f>
        <v>Klaviyo EMEA - Trafficking Request - Display &amp; OLV - Q1 2026</v>
      </c>
      <c r="AB234" s="99"/>
      <c r="AF234" s="84" t="str">
        <f t="shared" ref="AF234" si="285">IF(AD234="","",WEEKNUM(AD234))</f>
        <v/>
      </c>
      <c r="AH234" s="84" t="str">
        <f t="shared" si="224"/>
        <v>PL_0_CR_0_AD_0_Jira_0_</v>
      </c>
      <c r="AI234" s="84" t="str">
        <f t="shared" si="225"/>
        <v/>
      </c>
      <c r="AJ234" s="84" t="str">
        <f>IF(Z234&lt;&gt;"Done","",(_xlfn.CONCAT("PL_",DigitasUKAdOp_26Team[[#This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35" spans="1:36" ht="15.75" customHeight="1" x14ac:dyDescent="0.3">
      <c r="A235" s="85" t="str">
        <f t="shared" si="233"/>
        <v>Mar : Monday</v>
      </c>
      <c r="B235" s="86">
        <v>46083</v>
      </c>
      <c r="C235" s="87" t="s">
        <v>334</v>
      </c>
      <c r="D235" s="88" t="s">
        <v>598</v>
      </c>
      <c r="E235" s="87" t="s">
        <v>428</v>
      </c>
      <c r="F235" s="88" t="s">
        <v>466</v>
      </c>
      <c r="G235" s="88" t="s">
        <v>601</v>
      </c>
      <c r="H235" s="87" t="s">
        <v>269</v>
      </c>
      <c r="I235" s="87" t="s">
        <v>237</v>
      </c>
      <c r="J235" s="88">
        <v>120</v>
      </c>
      <c r="K235" s="88">
        <v>120</v>
      </c>
      <c r="L235" s="88">
        <v>120</v>
      </c>
      <c r="M235" s="89">
        <v>46083</v>
      </c>
      <c r="N235" s="88">
        <v>4</v>
      </c>
      <c r="O235" s="90" t="s">
        <v>432</v>
      </c>
      <c r="Q235" s="91">
        <f t="shared" si="250"/>
        <v>10</v>
      </c>
      <c r="R235" s="91" t="str">
        <f t="shared" si="251"/>
        <v>Mar</v>
      </c>
      <c r="S235" s="92" t="str">
        <f t="shared" si="252"/>
        <v>Monday</v>
      </c>
      <c r="T235" s="93" t="s">
        <v>246</v>
      </c>
      <c r="U235" s="94" t="s">
        <v>433</v>
      </c>
      <c r="W235" s="95">
        <v>2</v>
      </c>
      <c r="X235" s="96"/>
      <c r="Y235" s="97">
        <f t="shared" si="273"/>
        <v>46083</v>
      </c>
      <c r="Z235" s="98" t="str">
        <f>SUBSTITUTE('Digitas UK Task 26'!$O235, "Complet", "Not Requir")</f>
        <v>Not Required</v>
      </c>
      <c r="AA235" s="98" t="str">
        <f t="shared" si="223"/>
        <v>Re: Klaviyo EMEA - Trafficking Request - Display &amp; OLV - Q1 2026</v>
      </c>
      <c r="AB235" s="99"/>
      <c r="AF235" s="84" t="str">
        <f t="shared" si="236"/>
        <v/>
      </c>
      <c r="AH235" s="84" t="str">
        <f t="shared" si="224"/>
        <v>PL_120_CR_120_AD_120_Jira_0_</v>
      </c>
      <c r="AI235" s="84" t="str">
        <f t="shared" si="225"/>
        <v>PL_120_CR_120_AD_120_Jira_0_</v>
      </c>
      <c r="AJ235" s="84" t="str">
        <f>IF(Z235&lt;&gt;"Done","",(_xlfn.CONCAT("PL_",DigitasUKAdOp_26Team[[#This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36" spans="1:36" ht="15.75" customHeight="1" x14ac:dyDescent="0.3">
      <c r="A236" s="85" t="str">
        <f t="shared" si="233"/>
        <v>Mar : Monday</v>
      </c>
      <c r="B236" s="86">
        <v>46083</v>
      </c>
      <c r="C236" s="87" t="s">
        <v>334</v>
      </c>
      <c r="D236" s="88" t="s">
        <v>496</v>
      </c>
      <c r="E236" s="87" t="s">
        <v>428</v>
      </c>
      <c r="F236" s="88" t="s">
        <v>498</v>
      </c>
      <c r="G236" s="88" t="s">
        <v>602</v>
      </c>
      <c r="H236" s="87" t="s">
        <v>269</v>
      </c>
      <c r="I236" s="87" t="s">
        <v>250</v>
      </c>
      <c r="J236" s="88">
        <v>50</v>
      </c>
      <c r="K236" s="88">
        <v>50</v>
      </c>
      <c r="L236" s="88">
        <v>50</v>
      </c>
      <c r="M236" s="89">
        <v>46083</v>
      </c>
      <c r="N236" s="88">
        <v>3</v>
      </c>
      <c r="O236" s="90" t="s">
        <v>432</v>
      </c>
      <c r="Q236" s="91">
        <f t="shared" si="250"/>
        <v>10</v>
      </c>
      <c r="R236" s="91" t="str">
        <f t="shared" si="251"/>
        <v>Mar</v>
      </c>
      <c r="S236" s="92" t="str">
        <f t="shared" si="252"/>
        <v>Monday</v>
      </c>
      <c r="T236" s="93" t="s">
        <v>237</v>
      </c>
      <c r="U236" s="94" t="s">
        <v>433</v>
      </c>
      <c r="W236" s="95">
        <v>1.5</v>
      </c>
      <c r="X236" s="96"/>
      <c r="Y236" s="97">
        <f t="shared" si="273"/>
        <v>46083</v>
      </c>
      <c r="Z236" s="98" t="str">
        <f>SUBSTITUTE('Digitas UK Task 26'!$O236, "Complet", "Not Requir")</f>
        <v>Not Required</v>
      </c>
      <c r="AA236" s="98" t="str">
        <f t="shared" si="223"/>
        <v>Klaviyo EMEA - Trafficking Request - Glow25 - DACH OLV - Q1 2026</v>
      </c>
      <c r="AB236" s="99"/>
      <c r="AF236" s="84" t="str">
        <f t="shared" si="236"/>
        <v/>
      </c>
      <c r="AH236" s="84" t="str">
        <f t="shared" si="224"/>
        <v>PL_50_CR_50_AD_50_Jira_0_</v>
      </c>
      <c r="AI236" s="84" t="str">
        <f t="shared" si="225"/>
        <v>PL_50_CR_50_AD_50_Jira_0_</v>
      </c>
      <c r="AJ236" s="84" t="str">
        <f>IF(Z236&lt;&gt;"Done","",(_xlfn.CONCAT("PL_",DigitasUKAdOp_26Team[[#This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37" spans="1:36" ht="15.75" customHeight="1" x14ac:dyDescent="0.3">
      <c r="A237" s="85" t="str">
        <f t="shared" si="233"/>
        <v>Mar : Monday</v>
      </c>
      <c r="B237" s="86">
        <v>46083</v>
      </c>
      <c r="C237" s="87" t="s">
        <v>334</v>
      </c>
      <c r="D237" s="88" t="s">
        <v>496</v>
      </c>
      <c r="E237" s="87" t="s">
        <v>428</v>
      </c>
      <c r="F237" s="88" t="s">
        <v>603</v>
      </c>
      <c r="G237" s="88" t="s">
        <v>604</v>
      </c>
      <c r="H237" s="87" t="s">
        <v>269</v>
      </c>
      <c r="I237" s="87" t="s">
        <v>246</v>
      </c>
      <c r="J237" s="88">
        <v>50</v>
      </c>
      <c r="K237" s="88">
        <v>50</v>
      </c>
      <c r="L237" s="88">
        <v>50</v>
      </c>
      <c r="M237" s="89">
        <v>46083</v>
      </c>
      <c r="N237" s="88">
        <v>3</v>
      </c>
      <c r="O237" s="90" t="s">
        <v>432</v>
      </c>
      <c r="Q237" s="91">
        <f t="shared" si="250"/>
        <v>10</v>
      </c>
      <c r="R237" s="91" t="str">
        <f t="shared" si="251"/>
        <v>Mar</v>
      </c>
      <c r="S237" s="92" t="str">
        <f t="shared" si="252"/>
        <v>Monday</v>
      </c>
      <c r="T237" s="93" t="s">
        <v>237</v>
      </c>
      <c r="U237" s="94" t="s">
        <v>433</v>
      </c>
      <c r="V237" s="95" t="s">
        <v>605</v>
      </c>
      <c r="W237" s="95">
        <v>2</v>
      </c>
      <c r="X237" s="96"/>
      <c r="Y237" s="97">
        <f t="shared" si="273"/>
        <v>46083</v>
      </c>
      <c r="Z237" s="98" t="str">
        <f>SUBSTITUTE('Digitas UK Task 26'!$O237, "Complet", "Not Requir")</f>
        <v>Not Required</v>
      </c>
      <c r="AA237" s="98" t="str">
        <f t="shared" si="223"/>
        <v xml:space="preserve">Klaviyo EMEA | Trafficking Request | Q1 2026 | KService | UKI </v>
      </c>
      <c r="AB237" s="99"/>
      <c r="AF237" s="84" t="str">
        <f t="shared" si="236"/>
        <v/>
      </c>
      <c r="AH237" s="84" t="str">
        <f t="shared" si="224"/>
        <v>PL_50_CR_50_AD_50_Jira_0_</v>
      </c>
      <c r="AI237" s="84" t="str">
        <f t="shared" si="225"/>
        <v>PL_50_CR_50_AD_50_Jira_0_</v>
      </c>
      <c r="AJ237" s="84" t="str">
        <f>IF(Z237&lt;&gt;"Done","",(_xlfn.CONCAT("PL_",DigitasUKAdOp_26Team[[#This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38" spans="1:36" ht="15.75" customHeight="1" x14ac:dyDescent="0.3">
      <c r="A238" s="85" t="str">
        <f t="shared" si="233"/>
        <v>Mar : Monday</v>
      </c>
      <c r="B238" s="86">
        <v>46083</v>
      </c>
      <c r="C238" s="87" t="s">
        <v>334</v>
      </c>
      <c r="D238" s="88" t="s">
        <v>598</v>
      </c>
      <c r="E238" s="87" t="s">
        <v>428</v>
      </c>
      <c r="F238" s="88" t="s">
        <v>473</v>
      </c>
      <c r="G238" s="88" t="s">
        <v>506</v>
      </c>
      <c r="H238" s="87" t="s">
        <v>269</v>
      </c>
      <c r="I238" s="87" t="s">
        <v>250</v>
      </c>
      <c r="J238" s="88">
        <v>200</v>
      </c>
      <c r="K238" s="88">
        <v>200</v>
      </c>
      <c r="L238" s="88">
        <v>200</v>
      </c>
      <c r="M238" s="89">
        <v>46083</v>
      </c>
      <c r="N238" s="88">
        <v>5</v>
      </c>
      <c r="O238" s="90" t="s">
        <v>432</v>
      </c>
      <c r="Q238" s="91">
        <f t="shared" si="250"/>
        <v>10</v>
      </c>
      <c r="R238" s="91" t="str">
        <f t="shared" si="251"/>
        <v>Mar</v>
      </c>
      <c r="S238" s="92" t="str">
        <f t="shared" si="252"/>
        <v>Monday</v>
      </c>
      <c r="T238" s="93" t="s">
        <v>237</v>
      </c>
      <c r="U238" s="94" t="s">
        <v>433</v>
      </c>
      <c r="V238" s="95" t="s">
        <v>605</v>
      </c>
      <c r="W238" s="95">
        <v>3</v>
      </c>
      <c r="X238" s="96"/>
      <c r="Y238" s="97">
        <f t="shared" si="273"/>
        <v>46083</v>
      </c>
      <c r="Z238" s="98" t="str">
        <f>SUBSTITUTE('Digitas UK Task 26'!$O238, "Complet", "Not Requir")</f>
        <v>Not Required</v>
      </c>
      <c r="AA238" s="98" t="str">
        <f t="shared" si="223"/>
        <v>Klaviyo EMEA - Trafficking Request - OLV - Q1 2026</v>
      </c>
      <c r="AB238" s="99"/>
      <c r="AF238" s="84" t="str">
        <f t="shared" si="236"/>
        <v/>
      </c>
      <c r="AH238" s="84" t="str">
        <f t="shared" si="224"/>
        <v>PL_200_CR_200_AD_200_Jira_0_</v>
      </c>
      <c r="AI238" s="84" t="str">
        <f t="shared" si="225"/>
        <v>PL_200_CR_200_AD_200_Jira_0_</v>
      </c>
      <c r="AJ238" s="84" t="str">
        <f>IF(Z238&lt;&gt;"Done","",(_xlfn.CONCAT("PL_",DigitasUKAdOp_26Team[[#This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39" spans="1:36" ht="15.75" customHeight="1" x14ac:dyDescent="0.3">
      <c r="A239" s="85" t="str">
        <f t="shared" si="233"/>
        <v>Mar : Monday</v>
      </c>
      <c r="B239" s="86">
        <v>46083</v>
      </c>
      <c r="C239" s="87" t="s">
        <v>334</v>
      </c>
      <c r="D239" s="88" t="s">
        <v>496</v>
      </c>
      <c r="E239" s="87" t="s">
        <v>428</v>
      </c>
      <c r="F239" s="88" t="s">
        <v>469</v>
      </c>
      <c r="G239" s="88" t="s">
        <v>606</v>
      </c>
      <c r="H239" s="87" t="s">
        <v>269</v>
      </c>
      <c r="I239" s="87" t="s">
        <v>246</v>
      </c>
      <c r="J239" s="88">
        <v>50</v>
      </c>
      <c r="K239" s="88">
        <v>50</v>
      </c>
      <c r="L239" s="88">
        <v>50</v>
      </c>
      <c r="M239" s="89">
        <v>46083</v>
      </c>
      <c r="N239" s="88">
        <v>3</v>
      </c>
      <c r="O239" s="90" t="s">
        <v>432</v>
      </c>
      <c r="Q239" s="91">
        <f t="shared" si="250"/>
        <v>10</v>
      </c>
      <c r="R239" s="91" t="str">
        <f t="shared" si="251"/>
        <v>Mar</v>
      </c>
      <c r="S239" s="92" t="str">
        <f t="shared" si="252"/>
        <v>Monday</v>
      </c>
      <c r="T239" s="93" t="s">
        <v>237</v>
      </c>
      <c r="U239" s="94" t="s">
        <v>433</v>
      </c>
      <c r="V239" s="95" t="s">
        <v>605</v>
      </c>
      <c r="W239" s="95">
        <v>2</v>
      </c>
      <c r="X239" s="96"/>
      <c r="Y239" s="97">
        <f t="shared" si="273"/>
        <v>46083</v>
      </c>
      <c r="Z239" s="98" t="str">
        <f>SUBSTITUTE('Digitas UK Task 26'!$O239, "Complet", "Not Requir")</f>
        <v>Not Required</v>
      </c>
      <c r="AA239" s="98" t="str">
        <f t="shared" si="223"/>
        <v xml:space="preserve">Klaviyo EMEA | Trafficking Request | Q1 2026 | Manucurist | FR </v>
      </c>
      <c r="AB239" s="99"/>
      <c r="AF239" s="84" t="str">
        <f t="shared" si="236"/>
        <v/>
      </c>
      <c r="AH239" s="84" t="str">
        <f t="shared" si="224"/>
        <v>PL_50_CR_50_AD_50_Jira_0_</v>
      </c>
      <c r="AI239" s="84" t="str">
        <f t="shared" si="225"/>
        <v>PL_50_CR_50_AD_50_Jira_0_</v>
      </c>
      <c r="AJ239" s="84" t="str">
        <f>IF(Z239&lt;&gt;"Done","",(_xlfn.CONCAT("PL_",DigitasUKAdOp_26Team[[#This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40" spans="1:36" ht="15.75" customHeight="1" x14ac:dyDescent="0.3">
      <c r="A240" s="85" t="str">
        <f t="shared" ref="A240:A241" si="286">IF(B240="","",TEXT(B240,"MMM : DDDD"))</f>
        <v>Mar : Monday</v>
      </c>
      <c r="B240" s="86">
        <v>46083</v>
      </c>
      <c r="C240" s="87" t="s">
        <v>334</v>
      </c>
      <c r="D240" s="88" t="s">
        <v>598</v>
      </c>
      <c r="E240" s="87" t="s">
        <v>428</v>
      </c>
      <c r="F240" s="88" t="s">
        <v>450</v>
      </c>
      <c r="G240" s="88" t="s">
        <v>601</v>
      </c>
      <c r="H240" s="87" t="s">
        <v>443</v>
      </c>
      <c r="I240" s="87" t="s">
        <v>237</v>
      </c>
      <c r="J240" s="88">
        <v>0</v>
      </c>
      <c r="K240" s="88">
        <v>0</v>
      </c>
      <c r="L240" s="88">
        <v>0</v>
      </c>
      <c r="M240" s="89">
        <v>46083</v>
      </c>
      <c r="N240" s="88">
        <v>2</v>
      </c>
      <c r="O240" s="90" t="s">
        <v>432</v>
      </c>
      <c r="P240" s="88" t="s">
        <v>607</v>
      </c>
      <c r="Q240" s="91">
        <f t="shared" ref="Q240:Q241" si="287">IF(B240="","",WEEKNUM(B240))</f>
        <v>10</v>
      </c>
      <c r="R240" s="91" t="str">
        <f t="shared" ref="R240:R241" si="288">IF(B240="","",TEXT(B240,"MMM"))</f>
        <v>Mar</v>
      </c>
      <c r="S240" s="92" t="str">
        <f t="shared" ref="S240:S241" si="289">IF(B240="","",TEXT(B240,"DDDD"))</f>
        <v>Monday</v>
      </c>
      <c r="T240" s="93" t="s">
        <v>237</v>
      </c>
      <c r="U240" s="94" t="s">
        <v>444</v>
      </c>
      <c r="W240" s="95">
        <v>0</v>
      </c>
      <c r="X240" s="96"/>
      <c r="Y240" s="97">
        <f t="shared" ref="Y240:Y241" si="290">IF(M240="","",M240)</f>
        <v>46083</v>
      </c>
      <c r="Z240" s="98" t="str">
        <f>SUBSTITUTE('Digitas UK Task 26'!$O240, "Complet", "Not Requir")</f>
        <v>Not Required</v>
      </c>
      <c r="AA240" s="98" t="str">
        <f t="shared" ref="AA240:AA241" si="291">IF(G240="","",G240)</f>
        <v>Re: Klaviyo EMEA - Trafficking Request - Display &amp; OLV - Q1 2026</v>
      </c>
      <c r="AB240" s="99"/>
      <c r="AF240" s="84" t="str">
        <f t="shared" ref="AF240:AF241" si="292">IF(AD240="","",WEEKNUM(AD240))</f>
        <v/>
      </c>
      <c r="AH240" s="84" t="str">
        <f t="shared" si="224"/>
        <v>PL_0_CR_0_AD_0_Jira_0_</v>
      </c>
      <c r="AI240" s="84" t="str">
        <f t="shared" si="225"/>
        <v/>
      </c>
      <c r="AJ240" s="84" t="str">
        <f>IF(Z240&lt;&gt;"Done","",(_xlfn.CONCAT("PL_",DigitasUKAdOp_26Team[[#This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41" spans="1:36" ht="15.75" customHeight="1" x14ac:dyDescent="0.3">
      <c r="A241" s="85" t="str">
        <f t="shared" si="286"/>
        <v>Mar : Monday</v>
      </c>
      <c r="B241" s="86">
        <v>46083</v>
      </c>
      <c r="C241" s="87" t="s">
        <v>334</v>
      </c>
      <c r="D241" s="88" t="s">
        <v>496</v>
      </c>
      <c r="E241" s="87" t="s">
        <v>428</v>
      </c>
      <c r="F241" s="88" t="s">
        <v>603</v>
      </c>
      <c r="G241" s="88" t="s">
        <v>604</v>
      </c>
      <c r="H241" s="87" t="s">
        <v>443</v>
      </c>
      <c r="I241" s="87" t="s">
        <v>246</v>
      </c>
      <c r="J241" s="88">
        <v>0</v>
      </c>
      <c r="K241" s="88">
        <v>0</v>
      </c>
      <c r="L241" s="88">
        <v>0</v>
      </c>
      <c r="M241" s="89">
        <v>46083</v>
      </c>
      <c r="N241" s="88">
        <v>2</v>
      </c>
      <c r="O241" s="90" t="s">
        <v>432</v>
      </c>
      <c r="P241" s="88" t="s">
        <v>607</v>
      </c>
      <c r="Q241" s="91">
        <f t="shared" si="287"/>
        <v>10</v>
      </c>
      <c r="R241" s="91" t="str">
        <f t="shared" si="288"/>
        <v>Mar</v>
      </c>
      <c r="S241" s="92" t="str">
        <f t="shared" si="289"/>
        <v>Monday</v>
      </c>
      <c r="T241" s="93" t="s">
        <v>246</v>
      </c>
      <c r="U241" s="94" t="s">
        <v>444</v>
      </c>
      <c r="W241" s="95">
        <v>0</v>
      </c>
      <c r="X241" s="96"/>
      <c r="Y241" s="97">
        <f t="shared" si="290"/>
        <v>46083</v>
      </c>
      <c r="Z241" s="98" t="str">
        <f>SUBSTITUTE('Digitas UK Task 26'!$O241, "Complet", "Not Requir")</f>
        <v>Not Required</v>
      </c>
      <c r="AA241" s="98" t="str">
        <f t="shared" si="291"/>
        <v xml:space="preserve">Klaviyo EMEA | Trafficking Request | Q1 2026 | KService | UKI </v>
      </c>
      <c r="AB241" s="99"/>
      <c r="AF241" s="84" t="str">
        <f t="shared" si="292"/>
        <v/>
      </c>
      <c r="AH241" s="84" t="str">
        <f t="shared" si="224"/>
        <v>PL_0_CR_0_AD_0_Jira_0_</v>
      </c>
      <c r="AI241" s="84" t="str">
        <f t="shared" si="225"/>
        <v/>
      </c>
      <c r="AJ241" s="84" t="str">
        <f>IF(Z241&lt;&gt;"Done","",(_xlfn.CONCAT("PL_",DigitasUKAdOp_26Team[[#This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42" spans="1:36" ht="15.75" customHeight="1" x14ac:dyDescent="0.3">
      <c r="A242" s="85" t="str">
        <f t="shared" si="233"/>
        <v>Feb : Thursday</v>
      </c>
      <c r="B242" s="86">
        <v>46079</v>
      </c>
      <c r="C242" s="87" t="s">
        <v>608</v>
      </c>
      <c r="E242" s="87"/>
      <c r="G242" s="88" t="s">
        <v>609</v>
      </c>
      <c r="H242" s="87" t="s">
        <v>443</v>
      </c>
      <c r="I242" s="87" t="s">
        <v>237</v>
      </c>
      <c r="J242" s="88">
        <v>0</v>
      </c>
      <c r="K242" s="88">
        <v>0</v>
      </c>
      <c r="L242" s="88">
        <v>0</v>
      </c>
      <c r="M242" s="89">
        <v>46079</v>
      </c>
      <c r="N242" s="88">
        <v>1</v>
      </c>
      <c r="O242" s="90" t="s">
        <v>432</v>
      </c>
      <c r="P242" s="88" t="s">
        <v>610</v>
      </c>
      <c r="Q242" s="91">
        <f t="shared" si="250"/>
        <v>9</v>
      </c>
      <c r="R242" s="91" t="str">
        <f t="shared" si="251"/>
        <v>Feb</v>
      </c>
      <c r="S242" s="92" t="str">
        <f t="shared" si="252"/>
        <v>Thursday</v>
      </c>
      <c r="T242" s="93" t="s">
        <v>237</v>
      </c>
      <c r="U242" s="94" t="s">
        <v>444</v>
      </c>
      <c r="V242" s="95" t="s">
        <v>610</v>
      </c>
      <c r="W242" s="95">
        <v>0</v>
      </c>
      <c r="X242" s="96" t="s">
        <v>237</v>
      </c>
      <c r="Y242" s="97">
        <f t="shared" si="273"/>
        <v>46079</v>
      </c>
      <c r="Z242" s="98" t="str">
        <f>SUBSTITUTE('Digitas UK Task 26'!$O242, "Complet", "Not Requir")</f>
        <v>Not Required</v>
      </c>
      <c r="AA242" s="98" t="str">
        <f t="shared" si="223"/>
        <v>Digitas Townhall Feb</v>
      </c>
      <c r="AB242" s="99"/>
      <c r="AC242" s="84">
        <v>0</v>
      </c>
      <c r="AF242" s="84" t="str">
        <f t="shared" si="236"/>
        <v/>
      </c>
      <c r="AH242" s="84" t="str">
        <f t="shared" si="224"/>
        <v>PL_0_CR_0_AD_0_Jira_0_</v>
      </c>
      <c r="AI242" s="84" t="str">
        <f t="shared" si="225"/>
        <v/>
      </c>
      <c r="AJ242" s="84" t="str">
        <f>IF(Z242&lt;&gt;"Done","",(_xlfn.CONCAT("PL_",DigitasUKAdOp_26Team[[#This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43" spans="1:36" ht="15.75" customHeight="1" x14ac:dyDescent="0.3">
      <c r="A243" s="85" t="str">
        <f t="shared" si="233"/>
        <v>Feb : Thursday</v>
      </c>
      <c r="B243" s="86">
        <v>46079</v>
      </c>
      <c r="C243" s="87" t="s">
        <v>608</v>
      </c>
      <c r="E243" s="87"/>
      <c r="G243" s="88" t="s">
        <v>609</v>
      </c>
      <c r="H243" s="87" t="s">
        <v>443</v>
      </c>
      <c r="I243" s="87" t="s">
        <v>246</v>
      </c>
      <c r="J243" s="88">
        <v>0</v>
      </c>
      <c r="K243" s="88">
        <v>0</v>
      </c>
      <c r="L243" s="88">
        <v>0</v>
      </c>
      <c r="M243" s="89">
        <v>46079</v>
      </c>
      <c r="N243" s="88">
        <v>1</v>
      </c>
      <c r="O243" s="90" t="s">
        <v>432</v>
      </c>
      <c r="P243" s="88" t="s">
        <v>610</v>
      </c>
      <c r="Q243" s="91">
        <f t="shared" si="250"/>
        <v>9</v>
      </c>
      <c r="R243" s="91" t="str">
        <f t="shared" si="251"/>
        <v>Feb</v>
      </c>
      <c r="S243" s="92" t="str">
        <f t="shared" si="252"/>
        <v>Thursday</v>
      </c>
      <c r="T243" s="93" t="s">
        <v>246</v>
      </c>
      <c r="U243" s="94" t="s">
        <v>444</v>
      </c>
      <c r="V243" s="95" t="s">
        <v>610</v>
      </c>
      <c r="W243" s="95">
        <v>0</v>
      </c>
      <c r="X243" s="96" t="s">
        <v>246</v>
      </c>
      <c r="Y243" s="97">
        <f t="shared" si="273"/>
        <v>46079</v>
      </c>
      <c r="Z243" s="98" t="str">
        <f>SUBSTITUTE('Digitas UK Task 26'!$O243, "Complet", "Not Requir")</f>
        <v>Not Required</v>
      </c>
      <c r="AA243" s="98" t="str">
        <f t="shared" si="223"/>
        <v>Digitas Townhall Feb</v>
      </c>
      <c r="AB243" s="99"/>
      <c r="AC243" s="84">
        <v>0</v>
      </c>
      <c r="AF243" s="84" t="str">
        <f t="shared" si="236"/>
        <v/>
      </c>
      <c r="AH243" s="84" t="str">
        <f t="shared" si="224"/>
        <v>PL_0_CR_0_AD_0_Jira_0_</v>
      </c>
      <c r="AI243" s="84" t="str">
        <f t="shared" si="225"/>
        <v/>
      </c>
      <c r="AJ243" s="84" t="str">
        <f>IF(Z243&lt;&gt;"Done","",(_xlfn.CONCAT("PL_",DigitasUKAdOp_26Team[[#This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44" spans="1:36" ht="15.75" customHeight="1" x14ac:dyDescent="0.3">
      <c r="A244" s="85" t="str">
        <f t="shared" si="233"/>
        <v>Feb : Thursday</v>
      </c>
      <c r="B244" s="86">
        <v>46079</v>
      </c>
      <c r="C244" s="87" t="s">
        <v>608</v>
      </c>
      <c r="E244" s="87"/>
      <c r="G244" s="88" t="s">
        <v>609</v>
      </c>
      <c r="H244" s="87" t="s">
        <v>443</v>
      </c>
      <c r="I244" s="87" t="s">
        <v>250</v>
      </c>
      <c r="J244" s="88">
        <v>0</v>
      </c>
      <c r="K244" s="88">
        <v>0</v>
      </c>
      <c r="L244" s="88">
        <v>0</v>
      </c>
      <c r="M244" s="89">
        <v>46079</v>
      </c>
      <c r="N244" s="88">
        <v>1</v>
      </c>
      <c r="O244" s="90" t="s">
        <v>432</v>
      </c>
      <c r="P244" s="88" t="s">
        <v>610</v>
      </c>
      <c r="Q244" s="91">
        <f t="shared" si="250"/>
        <v>9</v>
      </c>
      <c r="R244" s="91" t="str">
        <f t="shared" si="251"/>
        <v>Feb</v>
      </c>
      <c r="S244" s="92" t="str">
        <f t="shared" si="252"/>
        <v>Thursday</v>
      </c>
      <c r="T244" s="93" t="s">
        <v>250</v>
      </c>
      <c r="U244" s="94" t="s">
        <v>444</v>
      </c>
      <c r="V244" s="95" t="s">
        <v>610</v>
      </c>
      <c r="W244" s="95">
        <v>0</v>
      </c>
      <c r="X244" s="96" t="s">
        <v>250</v>
      </c>
      <c r="Y244" s="97">
        <f t="shared" si="273"/>
        <v>46079</v>
      </c>
      <c r="Z244" s="98" t="str">
        <f>SUBSTITUTE('Digitas UK Task 26'!$O244, "Complet", "Not Requir")</f>
        <v>Not Required</v>
      </c>
      <c r="AA244" s="98" t="str">
        <f t="shared" si="223"/>
        <v>Digitas Townhall Feb</v>
      </c>
      <c r="AB244" s="99"/>
      <c r="AC244" s="84">
        <v>0</v>
      </c>
      <c r="AF244" s="84" t="str">
        <f t="shared" si="236"/>
        <v/>
      </c>
      <c r="AH244" s="84" t="str">
        <f t="shared" si="224"/>
        <v>PL_0_CR_0_AD_0_Jira_0_</v>
      </c>
      <c r="AI244" s="84" t="str">
        <f t="shared" si="225"/>
        <v/>
      </c>
      <c r="AJ244" s="84" t="str">
        <f>IF(Z244&lt;&gt;"Done","",(_xlfn.CONCAT("PL_",DigitasUKAdOp_26Team[[#This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45" spans="1:36" ht="15.75" customHeight="1" x14ac:dyDescent="0.3">
      <c r="A245" s="85" t="str">
        <f t="shared" si="233"/>
        <v>Feb : Thursday</v>
      </c>
      <c r="B245" s="86">
        <v>46079</v>
      </c>
      <c r="C245" s="87" t="s">
        <v>608</v>
      </c>
      <c r="E245" s="87"/>
      <c r="G245" s="88" t="s">
        <v>609</v>
      </c>
      <c r="H245" s="87" t="s">
        <v>443</v>
      </c>
      <c r="I245" s="87" t="s">
        <v>431</v>
      </c>
      <c r="J245" s="88">
        <v>0</v>
      </c>
      <c r="K245" s="88">
        <v>0</v>
      </c>
      <c r="L245" s="88">
        <v>0</v>
      </c>
      <c r="M245" s="89">
        <v>46079</v>
      </c>
      <c r="N245" s="88">
        <v>1</v>
      </c>
      <c r="O245" s="90" t="s">
        <v>432</v>
      </c>
      <c r="P245" s="88" t="s">
        <v>610</v>
      </c>
      <c r="Q245" s="91">
        <f t="shared" si="250"/>
        <v>9</v>
      </c>
      <c r="R245" s="91" t="str">
        <f t="shared" si="251"/>
        <v>Feb</v>
      </c>
      <c r="S245" s="92" t="str">
        <f t="shared" si="252"/>
        <v>Thursday</v>
      </c>
      <c r="T245" s="93" t="s">
        <v>431</v>
      </c>
      <c r="U245" s="94" t="s">
        <v>444</v>
      </c>
      <c r="V245" s="95" t="s">
        <v>610</v>
      </c>
      <c r="W245" s="95">
        <v>0</v>
      </c>
      <c r="X245" s="96" t="s">
        <v>431</v>
      </c>
      <c r="Y245" s="97">
        <f t="shared" si="273"/>
        <v>46079</v>
      </c>
      <c r="Z245" s="98" t="str">
        <f>SUBSTITUTE('Digitas UK Task 26'!$O245, "Complet", "Not Requir")</f>
        <v>Not Required</v>
      </c>
      <c r="AA245" s="98" t="str">
        <f t="shared" si="223"/>
        <v>Digitas Townhall Feb</v>
      </c>
      <c r="AB245" s="99"/>
      <c r="AC245" s="84">
        <v>0</v>
      </c>
      <c r="AF245" s="84" t="str">
        <f t="shared" si="236"/>
        <v/>
      </c>
      <c r="AH245" s="84" t="str">
        <f t="shared" si="224"/>
        <v>PL_0_CR_0_AD_0_Jira_0_</v>
      </c>
      <c r="AI245" s="84" t="str">
        <f t="shared" si="225"/>
        <v/>
      </c>
      <c r="AJ245" s="84" t="str">
        <f>IF(Z245&lt;&gt;"Done","",(_xlfn.CONCAT("PL_",DigitasUKAdOp_26Team[[#This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46" spans="1:36" ht="15.75" customHeight="1" x14ac:dyDescent="0.3">
      <c r="A246" s="85" t="str">
        <f t="shared" si="233"/>
        <v>Mar : Tuesday</v>
      </c>
      <c r="B246" s="86">
        <v>46084</v>
      </c>
      <c r="C246" s="87" t="s">
        <v>334</v>
      </c>
      <c r="D246" s="88" t="s">
        <v>496</v>
      </c>
      <c r="E246" s="87" t="s">
        <v>428</v>
      </c>
      <c r="F246" s="88" t="s">
        <v>603</v>
      </c>
      <c r="G246" s="88" t="s">
        <v>604</v>
      </c>
      <c r="H246" s="87" t="s">
        <v>443</v>
      </c>
      <c r="I246" s="87" t="s">
        <v>237</v>
      </c>
      <c r="J246" s="88">
        <v>0</v>
      </c>
      <c r="K246" s="88">
        <v>0</v>
      </c>
      <c r="L246" s="88">
        <v>0</v>
      </c>
      <c r="M246" s="89">
        <v>46079</v>
      </c>
      <c r="N246" s="88">
        <v>0.5</v>
      </c>
      <c r="O246" s="90" t="s">
        <v>432</v>
      </c>
      <c r="Q246" s="91">
        <f t="shared" si="250"/>
        <v>10</v>
      </c>
      <c r="R246" s="91" t="str">
        <f t="shared" si="251"/>
        <v>Mar</v>
      </c>
      <c r="S246" s="92" t="str">
        <f t="shared" si="252"/>
        <v>Tuesday</v>
      </c>
      <c r="T246" s="93" t="s">
        <v>237</v>
      </c>
      <c r="U246" s="94" t="s">
        <v>444</v>
      </c>
      <c r="W246" s="95">
        <v>0</v>
      </c>
      <c r="X246" s="96"/>
      <c r="Y246" s="97">
        <f t="shared" si="273"/>
        <v>46079</v>
      </c>
      <c r="Z246" s="98" t="str">
        <f>SUBSTITUTE('Digitas UK Task 26'!$O246, "Complet", "Not Requir")</f>
        <v>Not Required</v>
      </c>
      <c r="AA246" s="98" t="str">
        <f t="shared" si="223"/>
        <v xml:space="preserve">Klaviyo EMEA | Trafficking Request | Q1 2026 | KService | UKI </v>
      </c>
      <c r="AB246" s="99"/>
      <c r="AF246" s="84" t="str">
        <f t="shared" si="236"/>
        <v/>
      </c>
      <c r="AH246" s="84" t="str">
        <f t="shared" si="224"/>
        <v>PL_0_CR_0_AD_0_Jira_0_</v>
      </c>
      <c r="AI246" s="84" t="str">
        <f t="shared" si="225"/>
        <v/>
      </c>
      <c r="AJ246" s="84" t="str">
        <f>IF(Z246&lt;&gt;"Done","",(_xlfn.CONCAT("PL_",DigitasUKAdOp_26Team[[#This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47" spans="1:36" ht="15.75" customHeight="1" x14ac:dyDescent="0.3">
      <c r="A247" s="85" t="str">
        <f t="shared" si="233"/>
        <v>Mar : Wednesday</v>
      </c>
      <c r="B247" s="86">
        <v>46085</v>
      </c>
      <c r="C247" s="87" t="s">
        <v>334</v>
      </c>
      <c r="D247" s="88" t="s">
        <v>465</v>
      </c>
      <c r="E247" s="87" t="s">
        <v>428</v>
      </c>
      <c r="F247" s="88" t="s">
        <v>498</v>
      </c>
      <c r="G247" s="88" t="s">
        <v>611</v>
      </c>
      <c r="H247" s="87" t="s">
        <v>269</v>
      </c>
      <c r="I247" s="87" t="s">
        <v>250</v>
      </c>
      <c r="J247" s="88">
        <v>25</v>
      </c>
      <c r="K247" s="88">
        <v>25</v>
      </c>
      <c r="L247" s="88">
        <v>25</v>
      </c>
      <c r="M247" s="89">
        <v>46085</v>
      </c>
      <c r="N247" s="88">
        <v>1</v>
      </c>
      <c r="O247" s="90" t="s">
        <v>432</v>
      </c>
      <c r="Q247" s="91">
        <f t="shared" si="250"/>
        <v>10</v>
      </c>
      <c r="R247" s="91" t="str">
        <f t="shared" si="251"/>
        <v>Mar</v>
      </c>
      <c r="S247" s="92" t="str">
        <f t="shared" si="252"/>
        <v>Wednesday</v>
      </c>
      <c r="T247" s="93" t="s">
        <v>246</v>
      </c>
      <c r="U247" s="94" t="s">
        <v>433</v>
      </c>
      <c r="W247" s="95">
        <v>0.5</v>
      </c>
      <c r="X247" s="96"/>
      <c r="Y247" s="97">
        <f t="shared" si="273"/>
        <v>46085</v>
      </c>
      <c r="Z247" s="98" t="str">
        <f>SUBSTITUTE('Digitas UK Task 26'!$O247, "Complet", "Not Requir")</f>
        <v>Not Required</v>
      </c>
      <c r="AA247" s="98" t="str">
        <f t="shared" si="223"/>
        <v>Klaviyo EMEA - Trafficking Request - Demand Gen(Glow, Folk, Manucurist, Purdy)- Q1 2026</v>
      </c>
      <c r="AB247" s="99"/>
      <c r="AF247" s="84" t="str">
        <f t="shared" si="236"/>
        <v/>
      </c>
      <c r="AH247" s="84" t="str">
        <f t="shared" si="224"/>
        <v>PL_25_CR_25_AD_25_Jira_0_</v>
      </c>
      <c r="AI247" s="84" t="str">
        <f t="shared" si="225"/>
        <v>PL_25_CR_25_AD_25_Jira_0_</v>
      </c>
      <c r="AJ247" s="84" t="str">
        <f>IF(Z247&lt;&gt;"Done","",(_xlfn.CONCAT("PL_",DigitasUKAdOp_26Team[[#This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48" spans="1:36" ht="15.75" customHeight="1" x14ac:dyDescent="0.3">
      <c r="A248" s="85" t="str">
        <f t="shared" si="233"/>
        <v>Mar : Wednesday</v>
      </c>
      <c r="B248" s="86">
        <v>46085</v>
      </c>
      <c r="C248" s="87" t="s">
        <v>334</v>
      </c>
      <c r="D248" s="88" t="s">
        <v>465</v>
      </c>
      <c r="E248" s="87" t="s">
        <v>428</v>
      </c>
      <c r="F248" s="88" t="s">
        <v>469</v>
      </c>
      <c r="G248" s="88" t="s">
        <v>611</v>
      </c>
      <c r="H248" s="87" t="s">
        <v>269</v>
      </c>
      <c r="I248" s="87" t="s">
        <v>250</v>
      </c>
      <c r="J248" s="88">
        <v>25</v>
      </c>
      <c r="K248" s="88">
        <v>25</v>
      </c>
      <c r="L248" s="88">
        <v>25</v>
      </c>
      <c r="M248" s="89">
        <v>46085</v>
      </c>
      <c r="N248" s="88">
        <v>1</v>
      </c>
      <c r="O248" s="90" t="s">
        <v>432</v>
      </c>
      <c r="Q248" s="91">
        <f t="shared" si="250"/>
        <v>10</v>
      </c>
      <c r="R248" s="91" t="str">
        <f t="shared" si="251"/>
        <v>Mar</v>
      </c>
      <c r="S248" s="92" t="str">
        <f t="shared" si="252"/>
        <v>Wednesday</v>
      </c>
      <c r="T248" s="93" t="s">
        <v>246</v>
      </c>
      <c r="U248" s="94" t="s">
        <v>433</v>
      </c>
      <c r="W248" s="95">
        <v>0.5</v>
      </c>
      <c r="X248" s="96"/>
      <c r="Y248" s="97">
        <f t="shared" si="273"/>
        <v>46085</v>
      </c>
      <c r="Z248" s="98" t="str">
        <f>SUBSTITUTE('Digitas UK Task 26'!$O248, "Complet", "Not Requir")</f>
        <v>Not Required</v>
      </c>
      <c r="AA248" s="98" t="str">
        <f t="shared" si="223"/>
        <v>Klaviyo EMEA - Trafficking Request - Demand Gen(Glow, Folk, Manucurist, Purdy)- Q1 2026</v>
      </c>
      <c r="AB248" s="99"/>
      <c r="AF248" s="84" t="str">
        <f t="shared" si="236"/>
        <v/>
      </c>
      <c r="AH248" s="84" t="str">
        <f t="shared" si="224"/>
        <v>PL_25_CR_25_AD_25_Jira_0_</v>
      </c>
      <c r="AI248" s="84" t="str">
        <f t="shared" si="225"/>
        <v>PL_25_CR_25_AD_25_Jira_0_</v>
      </c>
      <c r="AJ248" s="84" t="str">
        <f>IF(Z248&lt;&gt;"Done","",(_xlfn.CONCAT("PL_",DigitasUKAdOp_26Team[[#This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49" spans="1:36" ht="15.75" customHeight="1" x14ac:dyDescent="0.3">
      <c r="A249" s="85" t="str">
        <f t="shared" si="233"/>
        <v>Mar : Wednesday</v>
      </c>
      <c r="B249" s="86">
        <v>46085</v>
      </c>
      <c r="C249" s="87" t="s">
        <v>334</v>
      </c>
      <c r="D249" s="88" t="s">
        <v>465</v>
      </c>
      <c r="E249" s="87" t="s">
        <v>428</v>
      </c>
      <c r="F249" s="88" t="s">
        <v>471</v>
      </c>
      <c r="G249" s="88" t="s">
        <v>611</v>
      </c>
      <c r="H249" s="87" t="s">
        <v>269</v>
      </c>
      <c r="I249" s="87" t="s">
        <v>246</v>
      </c>
      <c r="J249" s="88">
        <v>25</v>
      </c>
      <c r="K249" s="88">
        <v>25</v>
      </c>
      <c r="L249" s="88">
        <v>25</v>
      </c>
      <c r="M249" s="89">
        <v>46085</v>
      </c>
      <c r="N249" s="88">
        <v>1</v>
      </c>
      <c r="O249" s="90" t="s">
        <v>432</v>
      </c>
      <c r="Q249" s="91">
        <f t="shared" si="250"/>
        <v>10</v>
      </c>
      <c r="R249" s="91" t="str">
        <f t="shared" si="251"/>
        <v>Mar</v>
      </c>
      <c r="S249" s="92" t="str">
        <f t="shared" si="252"/>
        <v>Wednesday</v>
      </c>
      <c r="T249" s="93" t="s">
        <v>250</v>
      </c>
      <c r="U249" s="94" t="s">
        <v>433</v>
      </c>
      <c r="W249" s="95">
        <v>0.5</v>
      </c>
      <c r="X249" s="96"/>
      <c r="Y249" s="97">
        <f t="shared" si="273"/>
        <v>46085</v>
      </c>
      <c r="Z249" s="98" t="str">
        <f>SUBSTITUTE('Digitas UK Task 26'!$O249, "Complet", "Not Requir")</f>
        <v>Not Required</v>
      </c>
      <c r="AA249" s="98" t="str">
        <f t="shared" si="223"/>
        <v>Klaviyo EMEA - Trafficking Request - Demand Gen(Glow, Folk, Manucurist, Purdy)- Q1 2026</v>
      </c>
      <c r="AB249" s="99"/>
      <c r="AF249" s="84" t="str">
        <f t="shared" si="236"/>
        <v/>
      </c>
      <c r="AH249" s="84" t="str">
        <f t="shared" si="224"/>
        <v>PL_25_CR_25_AD_25_Jira_0_</v>
      </c>
      <c r="AI249" s="84" t="str">
        <f t="shared" si="225"/>
        <v>PL_25_CR_25_AD_25_Jira_0_</v>
      </c>
      <c r="AJ249" s="84" t="str">
        <f>IF(Z249&lt;&gt;"Done","",(_xlfn.CONCAT("PL_",DigitasUKAdOp_26Team[[#This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50" spans="1:36" ht="15.75" customHeight="1" x14ac:dyDescent="0.3">
      <c r="A250" s="85" t="str">
        <f t="shared" si="233"/>
        <v>Mar : Wednesday</v>
      </c>
      <c r="B250" s="86">
        <v>46085</v>
      </c>
      <c r="C250" s="87" t="s">
        <v>334</v>
      </c>
      <c r="D250" s="88" t="s">
        <v>465</v>
      </c>
      <c r="E250" s="87" t="s">
        <v>428</v>
      </c>
      <c r="F250" s="88" t="s">
        <v>473</v>
      </c>
      <c r="G250" s="88" t="s">
        <v>611</v>
      </c>
      <c r="H250" s="87" t="s">
        <v>269</v>
      </c>
      <c r="I250" s="87" t="s">
        <v>246</v>
      </c>
      <c r="J250" s="88">
        <v>25</v>
      </c>
      <c r="K250" s="88">
        <v>25</v>
      </c>
      <c r="L250" s="88">
        <v>25</v>
      </c>
      <c r="M250" s="89">
        <v>46085</v>
      </c>
      <c r="N250" s="88">
        <v>1</v>
      </c>
      <c r="O250" s="90" t="s">
        <v>432</v>
      </c>
      <c r="Q250" s="91">
        <f t="shared" si="250"/>
        <v>10</v>
      </c>
      <c r="R250" s="91" t="str">
        <f t="shared" si="251"/>
        <v>Mar</v>
      </c>
      <c r="S250" s="92" t="str">
        <f t="shared" si="252"/>
        <v>Wednesday</v>
      </c>
      <c r="T250" s="93" t="s">
        <v>250</v>
      </c>
      <c r="U250" s="94" t="s">
        <v>433</v>
      </c>
      <c r="W250" s="95">
        <v>0.5</v>
      </c>
      <c r="X250" s="96"/>
      <c r="Y250" s="97">
        <f t="shared" si="273"/>
        <v>46085</v>
      </c>
      <c r="Z250" s="98" t="str">
        <f>SUBSTITUTE('Digitas UK Task 26'!$O250, "Complet", "Not Requir")</f>
        <v>Not Required</v>
      </c>
      <c r="AA250" s="98" t="str">
        <f t="shared" si="223"/>
        <v>Klaviyo EMEA - Trafficking Request - Demand Gen(Glow, Folk, Manucurist, Purdy)- Q1 2026</v>
      </c>
      <c r="AB250" s="99"/>
      <c r="AF250" s="84" t="str">
        <f t="shared" si="236"/>
        <v/>
      </c>
      <c r="AH250" s="84" t="str">
        <f t="shared" si="224"/>
        <v>PL_25_CR_25_AD_25_Jira_0_</v>
      </c>
      <c r="AI250" s="84" t="str">
        <f t="shared" si="225"/>
        <v>PL_25_CR_25_AD_25_Jira_0_</v>
      </c>
      <c r="AJ250" s="84" t="str">
        <f>IF(Z250&lt;&gt;"Done","",(_xlfn.CONCAT("PL_",DigitasUKAdOp_26Team[[#This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51" spans="1:36" ht="15.75" customHeight="1" x14ac:dyDescent="0.3">
      <c r="A251" s="85" t="str">
        <f t="shared" si="233"/>
        <v>Mar : Thursday</v>
      </c>
      <c r="B251" s="86">
        <v>46086</v>
      </c>
      <c r="C251" s="87" t="s">
        <v>318</v>
      </c>
      <c r="D251" s="88" t="s">
        <v>435</v>
      </c>
      <c r="E251" s="87" t="s">
        <v>428</v>
      </c>
      <c r="F251" s="88" t="s">
        <v>570</v>
      </c>
      <c r="G251" s="88" t="s">
        <v>569</v>
      </c>
      <c r="H251" s="87" t="s">
        <v>443</v>
      </c>
      <c r="I251" s="87" t="s">
        <v>250</v>
      </c>
      <c r="J251" s="88">
        <v>0</v>
      </c>
      <c r="K251" s="88">
        <v>0</v>
      </c>
      <c r="L251" s="88">
        <v>0</v>
      </c>
      <c r="M251" s="89">
        <v>46086</v>
      </c>
      <c r="N251" s="88">
        <v>0.5</v>
      </c>
      <c r="O251" s="90" t="s">
        <v>432</v>
      </c>
      <c r="Q251" s="91">
        <f t="shared" si="250"/>
        <v>10</v>
      </c>
      <c r="R251" s="91" t="str">
        <f t="shared" si="251"/>
        <v>Mar</v>
      </c>
      <c r="S251" s="92" t="str">
        <f t="shared" si="252"/>
        <v>Thursday</v>
      </c>
      <c r="T251" s="93" t="s">
        <v>250</v>
      </c>
      <c r="U251" s="94" t="s">
        <v>444</v>
      </c>
      <c r="W251" s="95">
        <v>0</v>
      </c>
      <c r="X251" s="96"/>
      <c r="Y251" s="97">
        <f t="shared" si="273"/>
        <v>46086</v>
      </c>
      <c r="Z251" s="98" t="str">
        <f>SUBSTITUTE('Digitas UK Task 26'!$O251, "Complet", "Not Requir")</f>
        <v>Not Required</v>
      </c>
      <c r="AA251" s="98" t="str">
        <f t="shared" si="223"/>
        <v>RE: WELLA | FY26Q3 SEBASTIAN UK | TAG REQUEST</v>
      </c>
      <c r="AB251" s="99"/>
      <c r="AF251" s="84" t="str">
        <f t="shared" si="236"/>
        <v/>
      </c>
      <c r="AH251" s="84" t="str">
        <f t="shared" si="224"/>
        <v>PL_0_CR_0_AD_0_Jira_0_</v>
      </c>
      <c r="AI251" s="84" t="str">
        <f t="shared" si="225"/>
        <v/>
      </c>
      <c r="AJ251" s="84" t="str">
        <f>IF(Z251&lt;&gt;"Done","",(_xlfn.CONCAT("PL_",DigitasUKAdOp_26Team[[#This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52" spans="1:36" ht="15.75" customHeight="1" x14ac:dyDescent="0.3">
      <c r="A252" s="85" t="str">
        <f t="shared" si="233"/>
        <v>Mar : Thursday</v>
      </c>
      <c r="B252" s="86">
        <v>46086</v>
      </c>
      <c r="C252" s="87" t="s">
        <v>318</v>
      </c>
      <c r="D252" s="88" t="s">
        <v>435</v>
      </c>
      <c r="E252" s="87" t="s">
        <v>428</v>
      </c>
      <c r="F252" s="88" t="s">
        <v>570</v>
      </c>
      <c r="G252" s="88" t="s">
        <v>569</v>
      </c>
      <c r="H252" s="87" t="s">
        <v>269</v>
      </c>
      <c r="I252" s="87" t="s">
        <v>250</v>
      </c>
      <c r="J252" s="88">
        <v>1</v>
      </c>
      <c r="K252" s="88">
        <v>1</v>
      </c>
      <c r="L252" s="88">
        <v>1</v>
      </c>
      <c r="M252" s="89">
        <v>46086</v>
      </c>
      <c r="N252" s="88">
        <v>0.25</v>
      </c>
      <c r="O252" s="90" t="s">
        <v>432</v>
      </c>
      <c r="Q252" s="91">
        <f t="shared" si="250"/>
        <v>10</v>
      </c>
      <c r="R252" s="91" t="str">
        <f t="shared" si="251"/>
        <v>Mar</v>
      </c>
      <c r="S252" s="92" t="str">
        <f t="shared" si="252"/>
        <v>Thursday</v>
      </c>
      <c r="T252" s="93" t="s">
        <v>237</v>
      </c>
      <c r="U252" s="94" t="s">
        <v>433</v>
      </c>
      <c r="W252" s="95">
        <v>0.25</v>
      </c>
      <c r="X252" s="96"/>
      <c r="Y252" s="97">
        <f t="shared" si="273"/>
        <v>46086</v>
      </c>
      <c r="Z252" s="98" t="str">
        <f>SUBSTITUTE('Digitas UK Task 26'!$O252, "Complet", "Not Requir")</f>
        <v>Not Required</v>
      </c>
      <c r="AA252" s="98" t="str">
        <f t="shared" si="223"/>
        <v>RE: WELLA | FY26Q3 SEBASTIAN UK | TAG REQUEST</v>
      </c>
      <c r="AB252" s="99"/>
      <c r="AF252" s="84" t="str">
        <f t="shared" si="236"/>
        <v/>
      </c>
      <c r="AH252" s="84" t="str">
        <f t="shared" si="224"/>
        <v>PL_1_CR_1_AD_1_Jira_0_</v>
      </c>
      <c r="AI252" s="84" t="str">
        <f t="shared" si="225"/>
        <v>PL_1_CR_1_AD_1_Jira_0_</v>
      </c>
      <c r="AJ252" s="84" t="str">
        <f>IF(Z252&lt;&gt;"Done","",(_xlfn.CONCAT("PL_",DigitasUKAdOp_26Team[[#This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53" spans="1:36" ht="15.75" customHeight="1" x14ac:dyDescent="0.3">
      <c r="A253" s="85" t="str">
        <f t="shared" si="233"/>
        <v>Mar : Friday</v>
      </c>
      <c r="B253" s="86">
        <v>46087</v>
      </c>
      <c r="C253" s="87" t="s">
        <v>334</v>
      </c>
      <c r="D253" s="88" t="s">
        <v>465</v>
      </c>
      <c r="E253" s="87" t="s">
        <v>428</v>
      </c>
      <c r="F253" s="88" t="s">
        <v>450</v>
      </c>
      <c r="G253" s="88" t="s">
        <v>612</v>
      </c>
      <c r="H253" s="87" t="s">
        <v>521</v>
      </c>
      <c r="I253" s="87" t="s">
        <v>250</v>
      </c>
      <c r="J253" s="88">
        <v>0</v>
      </c>
      <c r="K253" s="88">
        <v>0</v>
      </c>
      <c r="L253" s="88">
        <v>0</v>
      </c>
      <c r="M253" s="89">
        <v>46087</v>
      </c>
      <c r="N253" s="88">
        <v>2</v>
      </c>
      <c r="O253" s="90" t="s">
        <v>432</v>
      </c>
      <c r="Q253" s="91">
        <f t="shared" si="250"/>
        <v>10</v>
      </c>
      <c r="R253" s="91" t="str">
        <f t="shared" si="251"/>
        <v>Mar</v>
      </c>
      <c r="S253" s="92" t="str">
        <f t="shared" si="252"/>
        <v>Friday</v>
      </c>
      <c r="T253" s="93" t="s">
        <v>250</v>
      </c>
      <c r="U253" s="94" t="s">
        <v>444</v>
      </c>
      <c r="W253" s="95">
        <v>0</v>
      </c>
      <c r="X253" s="96"/>
      <c r="Y253" s="97">
        <f t="shared" si="273"/>
        <v>46087</v>
      </c>
      <c r="Z253" s="98" t="str">
        <f>SUBSTITUTE('Digitas UK Task 26'!$O253, "Complet", "Not Requir")</f>
        <v>Not Required</v>
      </c>
      <c r="AA253" s="98" t="str">
        <f t="shared" si="223"/>
        <v>RE: Klaviyo EMEA - Trafficking Request - MailChimp - Q1 2026</v>
      </c>
      <c r="AB253" s="99"/>
      <c r="AF253" s="84" t="str">
        <f t="shared" si="236"/>
        <v/>
      </c>
      <c r="AH253" s="84" t="str">
        <f t="shared" si="224"/>
        <v>PL_0_CR_0_AD_0_Jira_0_</v>
      </c>
      <c r="AI253" s="84" t="str">
        <f t="shared" si="225"/>
        <v/>
      </c>
      <c r="AJ253" s="84" t="str">
        <f>IF(Z253&lt;&gt;"Done","",(_xlfn.CONCAT("PL_",DigitasUKAdOp_26Team[[#This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54" spans="1:36" ht="15.75" customHeight="1" x14ac:dyDescent="0.3">
      <c r="A254" s="85" t="str">
        <f t="shared" si="233"/>
        <v>Mar : Friday</v>
      </c>
      <c r="B254" s="86">
        <v>46087</v>
      </c>
      <c r="C254" s="87" t="s">
        <v>334</v>
      </c>
      <c r="D254" s="88" t="s">
        <v>465</v>
      </c>
      <c r="E254" s="87" t="s">
        <v>428</v>
      </c>
      <c r="F254" s="88" t="s">
        <v>450</v>
      </c>
      <c r="G254" s="88" t="s">
        <v>612</v>
      </c>
      <c r="H254" s="87" t="s">
        <v>521</v>
      </c>
      <c r="I254" s="87" t="s">
        <v>237</v>
      </c>
      <c r="J254" s="88">
        <v>0</v>
      </c>
      <c r="K254" s="88">
        <v>0</v>
      </c>
      <c r="L254" s="88">
        <v>0</v>
      </c>
      <c r="M254" s="89">
        <v>46087</v>
      </c>
      <c r="N254" s="88">
        <v>2</v>
      </c>
      <c r="O254" s="90" t="s">
        <v>432</v>
      </c>
      <c r="Q254" s="91">
        <f t="shared" si="250"/>
        <v>10</v>
      </c>
      <c r="R254" s="91" t="str">
        <f t="shared" si="251"/>
        <v>Mar</v>
      </c>
      <c r="S254" s="92" t="str">
        <f t="shared" si="252"/>
        <v>Friday</v>
      </c>
      <c r="T254" s="93" t="s">
        <v>237</v>
      </c>
      <c r="U254" s="94" t="s">
        <v>444</v>
      </c>
      <c r="W254" s="95">
        <v>0</v>
      </c>
      <c r="X254" s="96"/>
      <c r="Y254" s="97">
        <f t="shared" si="273"/>
        <v>46087</v>
      </c>
      <c r="Z254" s="98" t="str">
        <f>SUBSTITUTE('Digitas UK Task 26'!$O254, "Complet", "Not Requir")</f>
        <v>Not Required</v>
      </c>
      <c r="AA254" s="98" t="str">
        <f t="shared" si="223"/>
        <v>RE: Klaviyo EMEA - Trafficking Request - MailChimp - Q1 2026</v>
      </c>
      <c r="AB254" s="99"/>
      <c r="AF254" s="84" t="str">
        <f t="shared" si="236"/>
        <v/>
      </c>
      <c r="AH254" s="84" t="str">
        <f t="shared" si="224"/>
        <v>PL_0_CR_0_AD_0_Jira_0_</v>
      </c>
      <c r="AI254" s="84" t="str">
        <f t="shared" si="225"/>
        <v/>
      </c>
      <c r="AJ254" s="84" t="str">
        <f>IF(Z254&lt;&gt;"Done","",(_xlfn.CONCAT("PL_",DigitasUKAdOp_26Team[[#This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55" spans="1:36" ht="15.75" customHeight="1" x14ac:dyDescent="0.3">
      <c r="A255" s="85" t="str">
        <f t="shared" si="233"/>
        <v>Mar : Friday</v>
      </c>
      <c r="B255" s="86">
        <v>46087</v>
      </c>
      <c r="C255" s="87" t="s">
        <v>318</v>
      </c>
      <c r="D255" s="88" t="s">
        <v>435</v>
      </c>
      <c r="E255" s="87" t="s">
        <v>428</v>
      </c>
      <c r="F255" s="88" t="s">
        <v>559</v>
      </c>
      <c r="G255" s="88" t="s">
        <v>484</v>
      </c>
      <c r="H255" s="87" t="s">
        <v>269</v>
      </c>
      <c r="I255" s="87" t="s">
        <v>250</v>
      </c>
      <c r="J255" s="88">
        <v>10</v>
      </c>
      <c r="K255" s="88">
        <v>10</v>
      </c>
      <c r="L255" s="88">
        <v>10</v>
      </c>
      <c r="M255" s="89">
        <v>46087</v>
      </c>
      <c r="N255" s="88">
        <v>0.5</v>
      </c>
      <c r="O255" s="90" t="s">
        <v>432</v>
      </c>
      <c r="Q255" s="91">
        <f t="shared" si="250"/>
        <v>10</v>
      </c>
      <c r="R255" s="91" t="str">
        <f t="shared" si="251"/>
        <v>Mar</v>
      </c>
      <c r="S255" s="92" t="str">
        <f t="shared" si="252"/>
        <v>Friday</v>
      </c>
      <c r="T255" s="93" t="s">
        <v>237</v>
      </c>
      <c r="U255" s="94" t="s">
        <v>433</v>
      </c>
      <c r="W255" s="95">
        <v>0.5</v>
      </c>
      <c r="X255" s="96"/>
      <c r="Y255" s="97">
        <f t="shared" si="273"/>
        <v>46087</v>
      </c>
      <c r="Z255" s="98" t="str">
        <f>SUBSTITUTE('Digitas UK Task 26'!$O255, "Complet", "Not Requir")</f>
        <v>Not Required</v>
      </c>
      <c r="AA255" s="98" t="str">
        <f t="shared" si="223"/>
        <v>RE: WELLA | FY26Q3 NNE - UK | TAG REQUEST</v>
      </c>
      <c r="AB255" s="99"/>
      <c r="AF255" s="84" t="str">
        <f t="shared" si="236"/>
        <v/>
      </c>
      <c r="AH255" s="84" t="str">
        <f t="shared" si="224"/>
        <v>PL_10_CR_10_AD_10_Jira_0_</v>
      </c>
      <c r="AI255" s="84" t="str">
        <f t="shared" si="225"/>
        <v>PL_10_CR_10_AD_10_Jira_0_</v>
      </c>
      <c r="AJ255" s="84" t="str">
        <f>IF(Z255&lt;&gt;"Done","",(_xlfn.CONCAT("PL_",DigitasUKAdOp_26Team[[#This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56" spans="1:36" ht="15.75" customHeight="1" x14ac:dyDescent="0.3">
      <c r="A256" s="85" t="str">
        <f t="shared" si="233"/>
        <v>Mar : Monday</v>
      </c>
      <c r="B256" s="86">
        <v>46090</v>
      </c>
      <c r="C256" s="87" t="s">
        <v>334</v>
      </c>
      <c r="D256" s="88" t="s">
        <v>465</v>
      </c>
      <c r="E256" s="87" t="s">
        <v>428</v>
      </c>
      <c r="F256" s="88" t="s">
        <v>498</v>
      </c>
      <c r="G256" s="88" t="s">
        <v>612</v>
      </c>
      <c r="H256" s="87" t="s">
        <v>269</v>
      </c>
      <c r="I256" s="87" t="s">
        <v>250</v>
      </c>
      <c r="J256" s="88">
        <v>30</v>
      </c>
      <c r="K256" s="88">
        <v>30</v>
      </c>
      <c r="L256" s="88">
        <v>30</v>
      </c>
      <c r="M256" s="89">
        <v>46090</v>
      </c>
      <c r="N256" s="88">
        <v>1</v>
      </c>
      <c r="O256" s="90" t="s">
        <v>432</v>
      </c>
      <c r="Q256" s="91">
        <f t="shared" si="250"/>
        <v>11</v>
      </c>
      <c r="R256" s="91" t="str">
        <f t="shared" si="251"/>
        <v>Mar</v>
      </c>
      <c r="S256" s="92" t="str">
        <f t="shared" si="252"/>
        <v>Monday</v>
      </c>
      <c r="T256" s="93" t="s">
        <v>246</v>
      </c>
      <c r="U256" s="94" t="s">
        <v>433</v>
      </c>
      <c r="W256" s="95">
        <v>0.5</v>
      </c>
      <c r="X256" s="96"/>
      <c r="Y256" s="97">
        <f t="shared" si="273"/>
        <v>46090</v>
      </c>
      <c r="Z256" s="98" t="str">
        <f>SUBSTITUTE('Digitas UK Task 26'!$O256, "Complet", "Not Requir")</f>
        <v>Not Required</v>
      </c>
      <c r="AA256" s="98" t="str">
        <f t="shared" si="223"/>
        <v>RE: Klaviyo EMEA - Trafficking Request - MailChimp - Q1 2026</v>
      </c>
      <c r="AB256" s="99"/>
      <c r="AF256" s="84" t="str">
        <f t="shared" si="236"/>
        <v/>
      </c>
      <c r="AH256" s="84" t="str">
        <f t="shared" si="224"/>
        <v>PL_30_CR_30_AD_30_Jira_0_</v>
      </c>
      <c r="AI256" s="84" t="str">
        <f t="shared" si="225"/>
        <v>PL_30_CR_30_AD_30_Jira_0_</v>
      </c>
      <c r="AJ256" s="84" t="str">
        <f>IF(Z256&lt;&gt;"Done","",(_xlfn.CONCAT("PL_",DigitasUKAdOp_26Team[[#This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57" spans="1:36" ht="15.75" customHeight="1" x14ac:dyDescent="0.3">
      <c r="A257" s="85" t="str">
        <f t="shared" si="233"/>
        <v>Mar : Monday</v>
      </c>
      <c r="B257" s="86">
        <v>46090</v>
      </c>
      <c r="C257" s="87" t="s">
        <v>334</v>
      </c>
      <c r="D257" s="88" t="s">
        <v>465</v>
      </c>
      <c r="E257" s="87" t="s">
        <v>428</v>
      </c>
      <c r="F257" s="88" t="s">
        <v>469</v>
      </c>
      <c r="G257" s="88" t="s">
        <v>612</v>
      </c>
      <c r="H257" s="87" t="s">
        <v>269</v>
      </c>
      <c r="I257" s="87" t="s">
        <v>250</v>
      </c>
      <c r="J257" s="88">
        <v>30</v>
      </c>
      <c r="K257" s="88">
        <v>30</v>
      </c>
      <c r="L257" s="88">
        <v>30</v>
      </c>
      <c r="M257" s="89">
        <v>46090</v>
      </c>
      <c r="N257" s="88">
        <v>1</v>
      </c>
      <c r="O257" s="90" t="s">
        <v>432</v>
      </c>
      <c r="Q257" s="91">
        <f t="shared" si="250"/>
        <v>11</v>
      </c>
      <c r="R257" s="91" t="str">
        <f t="shared" si="251"/>
        <v>Mar</v>
      </c>
      <c r="S257" s="92" t="str">
        <f t="shared" si="252"/>
        <v>Monday</v>
      </c>
      <c r="T257" s="93" t="s">
        <v>246</v>
      </c>
      <c r="U257" s="94" t="s">
        <v>433</v>
      </c>
      <c r="W257" s="95">
        <v>0.5</v>
      </c>
      <c r="X257" s="96"/>
      <c r="Y257" s="97">
        <f t="shared" si="273"/>
        <v>46090</v>
      </c>
      <c r="Z257" s="98" t="str">
        <f>SUBSTITUTE('Digitas UK Task 26'!$O257, "Complet", "Not Requir")</f>
        <v>Not Required</v>
      </c>
      <c r="AA257" s="98" t="str">
        <f t="shared" si="223"/>
        <v>RE: Klaviyo EMEA - Trafficking Request - MailChimp - Q1 2026</v>
      </c>
      <c r="AB257" s="99"/>
      <c r="AF257" s="84" t="str">
        <f t="shared" si="236"/>
        <v/>
      </c>
      <c r="AH257" s="84" t="str">
        <f t="shared" si="224"/>
        <v>PL_30_CR_30_AD_30_Jira_0_</v>
      </c>
      <c r="AI257" s="84" t="str">
        <f t="shared" si="225"/>
        <v>PL_30_CR_30_AD_30_Jira_0_</v>
      </c>
      <c r="AJ257" s="84" t="str">
        <f>IF(Z257&lt;&gt;"Done","",(_xlfn.CONCAT("PL_",DigitasUKAdOp_26Team[[#This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58" spans="1:36" ht="15.75" customHeight="1" x14ac:dyDescent="0.3">
      <c r="A258" s="85" t="str">
        <f t="shared" si="233"/>
        <v>Mar : Monday</v>
      </c>
      <c r="B258" s="86">
        <v>46090</v>
      </c>
      <c r="C258" s="87" t="s">
        <v>334</v>
      </c>
      <c r="D258" s="88" t="s">
        <v>465</v>
      </c>
      <c r="E258" s="87" t="s">
        <v>428</v>
      </c>
      <c r="F258" s="88" t="s">
        <v>470</v>
      </c>
      <c r="G258" s="88" t="s">
        <v>612</v>
      </c>
      <c r="H258" s="87" t="s">
        <v>269</v>
      </c>
      <c r="I258" s="87" t="s">
        <v>246</v>
      </c>
      <c r="J258" s="88">
        <v>30</v>
      </c>
      <c r="K258" s="88">
        <v>30</v>
      </c>
      <c r="L258" s="88">
        <v>30</v>
      </c>
      <c r="M258" s="89">
        <v>46090</v>
      </c>
      <c r="N258" s="88">
        <v>1</v>
      </c>
      <c r="O258" s="90" t="s">
        <v>432</v>
      </c>
      <c r="Q258" s="91">
        <f t="shared" si="250"/>
        <v>11</v>
      </c>
      <c r="R258" s="91" t="str">
        <f t="shared" si="251"/>
        <v>Mar</v>
      </c>
      <c r="S258" s="92" t="str">
        <f t="shared" si="252"/>
        <v>Monday</v>
      </c>
      <c r="T258" s="93" t="s">
        <v>250</v>
      </c>
      <c r="U258" s="94" t="s">
        <v>433</v>
      </c>
      <c r="W258" s="95">
        <v>0.5</v>
      </c>
      <c r="X258" s="96"/>
      <c r="Y258" s="97">
        <f t="shared" si="273"/>
        <v>46090</v>
      </c>
      <c r="Z258" s="98" t="str">
        <f>SUBSTITUTE('Digitas UK Task 26'!$O258, "Complet", "Not Requir")</f>
        <v>Not Required</v>
      </c>
      <c r="AA258" s="98" t="str">
        <f t="shared" si="223"/>
        <v>RE: Klaviyo EMEA - Trafficking Request - MailChimp - Q1 2026</v>
      </c>
      <c r="AB258" s="99"/>
      <c r="AF258" s="84" t="str">
        <f t="shared" si="236"/>
        <v/>
      </c>
      <c r="AH258" s="84" t="str">
        <f t="shared" ref="AH258:AH321" si="293">IF(B258="","",_xlfn.CONCAT("PL_",J258,"_CR_",K258,"_AD_",L258,"_Jira_",IF(AND(C258="P&amp;G",ISNUMBER(SEARCH("TAAGPNG-",G258))),MID(G258,SEARCH("TAAGPNG-",G258)+8,LEN(G258)-SEARCH("TAAGPNG-",G258)-7),"0"),"_"))</f>
        <v>PL_30_CR_30_AD_30_Jira_0_</v>
      </c>
      <c r="AI258" s="84" t="str">
        <f t="shared" ref="AI258:AI321" si="294">IF(U258&lt;&gt;"Done","",_xlfn.CONCAT("PL_",J258,"_CR_",K258,"_AD_",L258,"_Jira_",IF(AND(C258="P&amp;G",ISNUMBER(SEARCH("TAAGPNG-",G258))),MID(G258,SEARCH("TAAGPNG-",G258)+8,LEN(G258)-SEARCH("TAAGPNG-",G258)-7),"0"),"_"))</f>
        <v>PL_30_CR_30_AD_30_Jira_0_</v>
      </c>
      <c r="AJ258" s="84" t="str">
        <f>IF(Z258&lt;&gt;"Done","",(_xlfn.CONCAT("PL_",DigitasUKAdOp_26Team[[#This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59" spans="1:36" ht="15.75" customHeight="1" x14ac:dyDescent="0.3">
      <c r="A259" s="85" t="str">
        <f t="shared" ref="A259:A280" si="295">IF(B259="","",TEXT(B259,"MMM : DDDD"))</f>
        <v>Mar : Monday</v>
      </c>
      <c r="B259" s="86">
        <v>46090</v>
      </c>
      <c r="C259" s="87" t="s">
        <v>334</v>
      </c>
      <c r="D259" s="88" t="s">
        <v>465</v>
      </c>
      <c r="E259" s="87" t="s">
        <v>428</v>
      </c>
      <c r="F259" s="88" t="s">
        <v>472</v>
      </c>
      <c r="G259" s="88" t="s">
        <v>612</v>
      </c>
      <c r="H259" s="87" t="s">
        <v>269</v>
      </c>
      <c r="I259" s="87" t="s">
        <v>246</v>
      </c>
      <c r="J259" s="88">
        <v>30</v>
      </c>
      <c r="K259" s="88">
        <v>30</v>
      </c>
      <c r="L259" s="88">
        <v>30</v>
      </c>
      <c r="M259" s="89">
        <v>46090</v>
      </c>
      <c r="N259" s="88">
        <v>1</v>
      </c>
      <c r="O259" s="90" t="s">
        <v>432</v>
      </c>
      <c r="Q259" s="91">
        <f t="shared" si="250"/>
        <v>11</v>
      </c>
      <c r="R259" s="91" t="str">
        <f t="shared" si="251"/>
        <v>Mar</v>
      </c>
      <c r="S259" s="92" t="str">
        <f t="shared" ref="S259:S261" si="296">IF(B259="","",TEXT(B259,"DDDD"))</f>
        <v>Monday</v>
      </c>
      <c r="T259" s="93" t="s">
        <v>250</v>
      </c>
      <c r="U259" s="94" t="s">
        <v>433</v>
      </c>
      <c r="W259" s="95">
        <v>0.5</v>
      </c>
      <c r="X259" s="96"/>
      <c r="Y259" s="97">
        <f t="shared" si="273"/>
        <v>46090</v>
      </c>
      <c r="Z259" s="98" t="str">
        <f>SUBSTITUTE('Digitas UK Task 26'!$O259, "Complet", "Not Requir")</f>
        <v>Not Required</v>
      </c>
      <c r="AA259" s="98" t="str">
        <f t="shared" ref="AA259:AA280" si="297">IF(G259="","",G259)</f>
        <v>RE: Klaviyo EMEA - Trafficking Request - MailChimp - Q1 2026</v>
      </c>
      <c r="AB259" s="99"/>
      <c r="AF259" s="84" t="str">
        <f t="shared" si="236"/>
        <v/>
      </c>
      <c r="AH259" s="84" t="str">
        <f t="shared" si="293"/>
        <v>PL_30_CR_30_AD_30_Jira_0_</v>
      </c>
      <c r="AI259" s="84" t="str">
        <f t="shared" si="294"/>
        <v>PL_30_CR_30_AD_30_Jira_0_</v>
      </c>
      <c r="AJ259" s="84" t="str">
        <f>IF(Z259&lt;&gt;"Done","",(_xlfn.CONCAT("PL_",DigitasUKAdOp_26Team[[#This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60" spans="1:36" ht="15.75" customHeight="1" x14ac:dyDescent="0.3">
      <c r="A260" s="85" t="str">
        <f t="shared" si="295"/>
        <v>Mar : Monday</v>
      </c>
      <c r="B260" s="86">
        <v>46090</v>
      </c>
      <c r="C260" s="87" t="s">
        <v>318</v>
      </c>
      <c r="D260" s="88" t="s">
        <v>435</v>
      </c>
      <c r="E260" s="87" t="s">
        <v>428</v>
      </c>
      <c r="F260" s="88" t="s">
        <v>450</v>
      </c>
      <c r="G260" s="88" t="s">
        <v>450</v>
      </c>
      <c r="H260" s="87" t="s">
        <v>443</v>
      </c>
      <c r="I260" s="87" t="s">
        <v>250</v>
      </c>
      <c r="J260" s="88">
        <v>0</v>
      </c>
      <c r="K260" s="88">
        <v>0</v>
      </c>
      <c r="L260" s="88">
        <v>0</v>
      </c>
      <c r="M260" s="89">
        <v>46090</v>
      </c>
      <c r="N260" s="88">
        <v>1</v>
      </c>
      <c r="O260" s="90" t="s">
        <v>432</v>
      </c>
      <c r="Q260" s="91">
        <f t="shared" si="250"/>
        <v>11</v>
      </c>
      <c r="R260" s="91" t="str">
        <f t="shared" si="251"/>
        <v>Mar</v>
      </c>
      <c r="S260" s="92" t="str">
        <f t="shared" si="296"/>
        <v>Monday</v>
      </c>
      <c r="T260" s="93" t="s">
        <v>250</v>
      </c>
      <c r="U260" s="94" t="s">
        <v>444</v>
      </c>
      <c r="W260" s="95">
        <v>0</v>
      </c>
      <c r="X260" s="96"/>
      <c r="Y260" s="97">
        <f t="shared" si="273"/>
        <v>46090</v>
      </c>
      <c r="Z260" s="98" t="str">
        <f>SUBSTITUTE('Digitas UK Task 26'!$O260, "Complet", "Not Requir")</f>
        <v>Not Required</v>
      </c>
      <c r="AA260" s="98" t="str">
        <f t="shared" si="297"/>
        <v>NA</v>
      </c>
      <c r="AB260" s="99"/>
      <c r="AF260" s="84" t="str">
        <f t="shared" si="236"/>
        <v/>
      </c>
      <c r="AH260" s="84" t="str">
        <f t="shared" si="293"/>
        <v>PL_0_CR_0_AD_0_Jira_0_</v>
      </c>
      <c r="AI260" s="84" t="str">
        <f t="shared" si="294"/>
        <v/>
      </c>
      <c r="AJ260" s="84" t="str">
        <f>IF(Z260&lt;&gt;"Done","",(_xlfn.CONCAT("PL_",DigitasUKAdOp_26Team[[#This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61" spans="1:36" ht="15.75" customHeight="1" x14ac:dyDescent="0.3">
      <c r="A261" s="85" t="str">
        <f t="shared" si="295"/>
        <v>Mar : Monday</v>
      </c>
      <c r="B261" s="86">
        <v>46090</v>
      </c>
      <c r="C261" s="87" t="s">
        <v>325</v>
      </c>
      <c r="D261" s="88" t="s">
        <v>481</v>
      </c>
      <c r="E261" s="87" t="s">
        <v>428</v>
      </c>
      <c r="F261" s="88" t="s">
        <v>450</v>
      </c>
      <c r="G261" s="88" t="s">
        <v>613</v>
      </c>
      <c r="H261" s="87" t="s">
        <v>443</v>
      </c>
      <c r="I261" s="87" t="s">
        <v>250</v>
      </c>
      <c r="J261" s="88">
        <v>0</v>
      </c>
      <c r="K261" s="88">
        <v>0</v>
      </c>
      <c r="L261" s="88">
        <v>0</v>
      </c>
      <c r="M261" s="89">
        <v>46090</v>
      </c>
      <c r="N261" s="88">
        <v>1</v>
      </c>
      <c r="O261" s="90" t="s">
        <v>432</v>
      </c>
      <c r="Q261" s="91">
        <f t="shared" si="250"/>
        <v>11</v>
      </c>
      <c r="R261" s="91" t="str">
        <f t="shared" si="251"/>
        <v>Mar</v>
      </c>
      <c r="S261" s="92" t="str">
        <f t="shared" si="296"/>
        <v>Monday</v>
      </c>
      <c r="T261" s="93" t="s">
        <v>250</v>
      </c>
      <c r="U261" s="94" t="s">
        <v>444</v>
      </c>
      <c r="W261" s="95">
        <v>0</v>
      </c>
      <c r="X261" s="96"/>
      <c r="Y261" s="97">
        <f t="shared" si="273"/>
        <v>46090</v>
      </c>
      <c r="Z261" s="98" t="str">
        <f>SUBSTITUTE('Digitas UK Task 26'!$O261, "Complet", "Not Requir")</f>
        <v>Not Required</v>
      </c>
      <c r="AA261" s="98" t="str">
        <f t="shared" si="297"/>
        <v>Cathay Pacific - Spring Sale 2026 - trafficking</v>
      </c>
      <c r="AB261" s="99"/>
      <c r="AF261" s="84" t="str">
        <f t="shared" si="236"/>
        <v/>
      </c>
      <c r="AH261" s="84" t="str">
        <f t="shared" si="293"/>
        <v>PL_0_CR_0_AD_0_Jira_0_</v>
      </c>
      <c r="AI261" s="84" t="str">
        <f t="shared" si="294"/>
        <v/>
      </c>
      <c r="AJ261" s="84" t="str">
        <f>IF(Z261&lt;&gt;"Done","",(_xlfn.CONCAT("PL_",DigitasUKAdOp_26Team[[#This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62" spans="1:36" ht="15.75" customHeight="1" x14ac:dyDescent="0.3">
      <c r="A262" s="85" t="str">
        <f t="shared" si="295"/>
        <v>Mar : Monday</v>
      </c>
      <c r="B262" s="86">
        <v>46090</v>
      </c>
      <c r="C262" s="87" t="s">
        <v>318</v>
      </c>
      <c r="D262" s="88" t="s">
        <v>435</v>
      </c>
      <c r="E262" s="87" t="s">
        <v>428</v>
      </c>
      <c r="F262" s="88" t="s">
        <v>568</v>
      </c>
      <c r="G262" s="88" t="s">
        <v>569</v>
      </c>
      <c r="H262" s="87" t="s">
        <v>269</v>
      </c>
      <c r="I262" s="87" t="s">
        <v>246</v>
      </c>
      <c r="J262" s="88">
        <v>10</v>
      </c>
      <c r="K262" s="88">
        <v>10</v>
      </c>
      <c r="L262" s="88">
        <v>10</v>
      </c>
      <c r="M262" s="89">
        <v>46090</v>
      </c>
      <c r="N262" s="88">
        <v>0.5</v>
      </c>
      <c r="O262" s="90" t="s">
        <v>432</v>
      </c>
      <c r="Q262" s="91">
        <f t="shared" ref="Q262" si="298">IF(B262="","",WEEKNUM(B262))</f>
        <v>11</v>
      </c>
      <c r="R262" s="91" t="str">
        <f t="shared" ref="R262" si="299">IF(B262="","",TEXT(B262,"MMM"))</f>
        <v>Mar</v>
      </c>
      <c r="S262" s="92" t="str">
        <f t="shared" ref="S262" si="300">IF(B262="","",TEXT(B262,"DDDD"))</f>
        <v>Monday</v>
      </c>
      <c r="T262" s="93" t="s">
        <v>250</v>
      </c>
      <c r="U262" s="94" t="s">
        <v>433</v>
      </c>
      <c r="W262" s="95">
        <v>0.25</v>
      </c>
      <c r="X262" s="96"/>
      <c r="Y262" s="97">
        <f t="shared" ref="Y262" si="301">IF(M262="","",M262)</f>
        <v>46090</v>
      </c>
      <c r="Z262" s="98" t="str">
        <f>SUBSTITUTE('Digitas UK Task 26'!$O262, "Complet", "Not Requir")</f>
        <v>Not Required</v>
      </c>
      <c r="AA262" s="98" t="str">
        <f t="shared" si="297"/>
        <v>RE: WELLA | FY26Q3 SEBASTIAN UK | TAG REQUEST</v>
      </c>
      <c r="AB262" s="99"/>
      <c r="AF262" s="84" t="str">
        <f t="shared" ref="AF262" si="302">IF(AD262="","",WEEKNUM(AD262))</f>
        <v/>
      </c>
      <c r="AH262" s="84" t="str">
        <f t="shared" si="293"/>
        <v>PL_10_CR_10_AD_10_Jira_0_</v>
      </c>
      <c r="AI262" s="84" t="str">
        <f t="shared" si="294"/>
        <v>PL_10_CR_10_AD_10_Jira_0_</v>
      </c>
      <c r="AJ262" s="84" t="str">
        <f>IF(Z262&lt;&gt;"Done","",(_xlfn.CONCAT("PL_",DigitasUKAdOp_26Team[[#This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63" spans="1:36" ht="15.75" customHeight="1" x14ac:dyDescent="0.3">
      <c r="A263" s="85" t="str">
        <f t="shared" ref="A263:A265" si="303">IF(B263="","",TEXT(B263,"MMM : DDDD"))</f>
        <v>Mar : Monday</v>
      </c>
      <c r="B263" s="86">
        <v>46090</v>
      </c>
      <c r="C263" s="87" t="s">
        <v>318</v>
      </c>
      <c r="D263" s="88" t="s">
        <v>435</v>
      </c>
      <c r="E263" s="87" t="s">
        <v>428</v>
      </c>
      <c r="F263" s="88" t="s">
        <v>614</v>
      </c>
      <c r="G263" s="88" t="s">
        <v>569</v>
      </c>
      <c r="H263" s="87" t="s">
        <v>269</v>
      </c>
      <c r="I263" s="87" t="s">
        <v>246</v>
      </c>
      <c r="J263" s="88">
        <v>10</v>
      </c>
      <c r="K263" s="88">
        <v>10</v>
      </c>
      <c r="L263" s="88">
        <v>10</v>
      </c>
      <c r="M263" s="89">
        <v>46090</v>
      </c>
      <c r="N263" s="88">
        <v>0.5</v>
      </c>
      <c r="O263" s="90" t="s">
        <v>432</v>
      </c>
      <c r="Q263" s="91">
        <f t="shared" ref="Q263:Q264" si="304">IF(B263="","",WEEKNUM(B263))</f>
        <v>11</v>
      </c>
      <c r="R263" s="91" t="str">
        <f t="shared" ref="R263:R264" si="305">IF(B263="","",TEXT(B263,"MMM"))</f>
        <v>Mar</v>
      </c>
      <c r="S263" s="92" t="str">
        <f t="shared" ref="S263:S264" si="306">IF(B263="","",TEXT(B263,"DDDD"))</f>
        <v>Monday</v>
      </c>
      <c r="T263" s="93" t="s">
        <v>250</v>
      </c>
      <c r="U263" s="94" t="s">
        <v>433</v>
      </c>
      <c r="W263" s="95">
        <v>0.25</v>
      </c>
      <c r="X263" s="96"/>
      <c r="Y263" s="97">
        <f t="shared" ref="Y263:Y264" si="307">IF(M263="","",M263)</f>
        <v>46090</v>
      </c>
      <c r="Z263" s="98" t="str">
        <f>SUBSTITUTE('Digitas UK Task 26'!$O263, "Complet", "Not Requir")</f>
        <v>Not Required</v>
      </c>
      <c r="AA263" s="98" t="str">
        <f t="shared" ref="AA263:AA264" si="308">IF(G263="","",G263)</f>
        <v>RE: WELLA | FY26Q3 SEBASTIAN UK | TAG REQUEST</v>
      </c>
      <c r="AB263" s="99"/>
      <c r="AF263" s="84" t="str">
        <f t="shared" ref="AF263:AF264" si="309">IF(AD263="","",WEEKNUM(AD263))</f>
        <v/>
      </c>
      <c r="AH263" s="84" t="str">
        <f t="shared" si="293"/>
        <v>PL_10_CR_10_AD_10_Jira_0_</v>
      </c>
      <c r="AI263" s="84" t="str">
        <f t="shared" si="294"/>
        <v>PL_10_CR_10_AD_10_Jira_0_</v>
      </c>
      <c r="AJ263" s="84" t="str">
        <f>IF(Z263&lt;&gt;"Done","",(_xlfn.CONCAT("PL_",DigitasUKAdOp_26Team[[#This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64" spans="1:36" ht="15.75" customHeight="1" x14ac:dyDescent="0.3">
      <c r="A264" s="85" t="str">
        <f t="shared" si="303"/>
        <v>Mar : Monday</v>
      </c>
      <c r="B264" s="86">
        <v>46090</v>
      </c>
      <c r="C264" s="87" t="s">
        <v>325</v>
      </c>
      <c r="D264" s="88" t="s">
        <v>481</v>
      </c>
      <c r="E264" s="87" t="s">
        <v>428</v>
      </c>
      <c r="F264" s="88" t="s">
        <v>450</v>
      </c>
      <c r="G264" s="88" t="s">
        <v>613</v>
      </c>
      <c r="H264" s="87" t="s">
        <v>443</v>
      </c>
      <c r="I264" s="87" t="s">
        <v>246</v>
      </c>
      <c r="J264" s="88">
        <v>0</v>
      </c>
      <c r="K264" s="88">
        <v>0</v>
      </c>
      <c r="L264" s="88">
        <v>0</v>
      </c>
      <c r="M264" s="89">
        <v>46090</v>
      </c>
      <c r="N264" s="88">
        <v>1</v>
      </c>
      <c r="O264" s="90" t="s">
        <v>432</v>
      </c>
      <c r="Q264" s="91">
        <f t="shared" si="304"/>
        <v>11</v>
      </c>
      <c r="R264" s="91" t="str">
        <f t="shared" si="305"/>
        <v>Mar</v>
      </c>
      <c r="S264" s="92" t="str">
        <f t="shared" si="306"/>
        <v>Monday</v>
      </c>
      <c r="T264" s="93" t="s">
        <v>246</v>
      </c>
      <c r="U264" s="94" t="s">
        <v>444</v>
      </c>
      <c r="W264" s="95">
        <v>0</v>
      </c>
      <c r="X264" s="96"/>
      <c r="Y264" s="97">
        <f t="shared" si="307"/>
        <v>46090</v>
      </c>
      <c r="Z264" s="98" t="str">
        <f>SUBSTITUTE('Digitas UK Task 26'!$O264, "Complet", "Not Requir")</f>
        <v>Not Required</v>
      </c>
      <c r="AA264" s="98" t="str">
        <f t="shared" si="308"/>
        <v>Cathay Pacific - Spring Sale 2026 - trafficking</v>
      </c>
      <c r="AB264" s="99"/>
      <c r="AF264" s="84" t="str">
        <f t="shared" si="309"/>
        <v/>
      </c>
      <c r="AH264" s="84" t="str">
        <f t="shared" si="293"/>
        <v>PL_0_CR_0_AD_0_Jira_0_</v>
      </c>
      <c r="AI264" s="84" t="str">
        <f t="shared" si="294"/>
        <v/>
      </c>
      <c r="AJ264" s="84" t="str">
        <f>IF(Z264&lt;&gt;"Done","",(_xlfn.CONCAT("PL_",DigitasUKAdOp_26Team[[#This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65" spans="1:36" ht="15.75" customHeight="1" x14ac:dyDescent="0.3">
      <c r="A265" s="85" t="str">
        <f t="shared" si="303"/>
        <v>Mar : Tuesday</v>
      </c>
      <c r="B265" s="86">
        <v>46091</v>
      </c>
      <c r="C265" s="87" t="s">
        <v>318</v>
      </c>
      <c r="D265" s="88" t="s">
        <v>435</v>
      </c>
      <c r="E265" s="87" t="s">
        <v>428</v>
      </c>
      <c r="F265" s="88" t="s">
        <v>594</v>
      </c>
      <c r="G265" s="88" t="s">
        <v>595</v>
      </c>
      <c r="H265" s="87" t="s">
        <v>269</v>
      </c>
      <c r="I265" s="87" t="s">
        <v>431</v>
      </c>
      <c r="J265" s="88">
        <v>2</v>
      </c>
      <c r="K265" s="88">
        <v>2</v>
      </c>
      <c r="L265" s="88">
        <v>2</v>
      </c>
      <c r="M265" s="89">
        <v>10</v>
      </c>
      <c r="N265" s="88">
        <v>0.5</v>
      </c>
      <c r="O265" s="90" t="s">
        <v>432</v>
      </c>
      <c r="Q265" s="91">
        <f t="shared" si="250"/>
        <v>11</v>
      </c>
      <c r="R265" s="91" t="str">
        <f t="shared" si="251"/>
        <v>Mar</v>
      </c>
      <c r="S265" s="92" t="str">
        <f t="shared" ref="S265:S324" si="310">IF(B265="","",TEXT(B265,"DDDD"))</f>
        <v>Tuesday</v>
      </c>
      <c r="T265" s="93" t="s">
        <v>246</v>
      </c>
      <c r="U265" s="94" t="s">
        <v>433</v>
      </c>
      <c r="W265" s="95">
        <v>0.25</v>
      </c>
      <c r="X265" s="96"/>
      <c r="Y265" s="97">
        <f t="shared" si="273"/>
        <v>10</v>
      </c>
      <c r="Z265" s="98" t="str">
        <f>SUBSTITUTE('Digitas UK Task 26'!$O265, "Complet", "Not Requir")</f>
        <v>Not Required</v>
      </c>
      <c r="AA265" s="98" t="str">
        <f t="shared" si="297"/>
        <v>RE: WELLA | FY26Q3 ULTIMATE COLOR FRANCE | TAG REQUEST</v>
      </c>
      <c r="AB265" s="99"/>
      <c r="AF265" s="84" t="str">
        <f t="shared" si="236"/>
        <v/>
      </c>
      <c r="AH265" s="84" t="str">
        <f t="shared" si="293"/>
        <v>PL_2_CR_2_AD_2_Jira_0_</v>
      </c>
      <c r="AI265" s="84" t="str">
        <f t="shared" si="294"/>
        <v>PL_2_CR_2_AD_2_Jira_0_</v>
      </c>
      <c r="AJ265" s="84" t="str">
        <f>IF(Z265&lt;&gt;"Done","",(_xlfn.CONCAT("PL_",DigitasUKAdOp_26Team[[#This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66" spans="1:36" ht="15.75" customHeight="1" x14ac:dyDescent="0.3">
      <c r="A266" s="85" t="str">
        <f t="shared" ref="A266" si="311">IF(B266="","",TEXT(B266,"MMM : DDDD"))</f>
        <v>Mar : Tuesday</v>
      </c>
      <c r="B266" s="86">
        <v>46091</v>
      </c>
      <c r="C266" s="87" t="s">
        <v>318</v>
      </c>
      <c r="D266" s="88" t="s">
        <v>435</v>
      </c>
      <c r="E266" s="87" t="s">
        <v>428</v>
      </c>
      <c r="F266" s="88" t="s">
        <v>594</v>
      </c>
      <c r="G266" s="88" t="s">
        <v>595</v>
      </c>
      <c r="H266" s="87" t="s">
        <v>443</v>
      </c>
      <c r="I266" s="87" t="s">
        <v>431</v>
      </c>
      <c r="J266" s="88">
        <v>0</v>
      </c>
      <c r="K266" s="88">
        <v>0</v>
      </c>
      <c r="L266" s="88">
        <v>0</v>
      </c>
      <c r="M266" s="89">
        <v>10</v>
      </c>
      <c r="N266" s="88">
        <v>0.5</v>
      </c>
      <c r="O266" s="90" t="s">
        <v>432</v>
      </c>
      <c r="Q266" s="91">
        <f t="shared" si="250"/>
        <v>11</v>
      </c>
      <c r="R266" s="91" t="str">
        <f t="shared" si="251"/>
        <v>Mar</v>
      </c>
      <c r="S266" s="92" t="str">
        <f t="shared" si="310"/>
        <v>Tuesday</v>
      </c>
      <c r="T266" s="93" t="s">
        <v>431</v>
      </c>
      <c r="U266" s="94" t="s">
        <v>444</v>
      </c>
      <c r="W266" s="95">
        <v>0</v>
      </c>
      <c r="X266" s="96"/>
      <c r="Y266" s="97">
        <f t="shared" si="273"/>
        <v>10</v>
      </c>
      <c r="Z266" s="98" t="str">
        <f>SUBSTITUTE('Digitas UK Task 26'!$O266, "Complet", "Not Requir")</f>
        <v>Not Required</v>
      </c>
      <c r="AA266" s="98" t="str">
        <f t="shared" si="297"/>
        <v>RE: WELLA | FY26Q3 ULTIMATE COLOR FRANCE | TAG REQUEST</v>
      </c>
      <c r="AB266" s="99"/>
      <c r="AF266" s="84" t="str">
        <f t="shared" si="236"/>
        <v/>
      </c>
      <c r="AH266" s="84" t="str">
        <f t="shared" si="293"/>
        <v>PL_0_CR_0_AD_0_Jira_0_</v>
      </c>
      <c r="AI266" s="84" t="str">
        <f t="shared" si="294"/>
        <v/>
      </c>
      <c r="AJ266" s="84" t="str">
        <f>IF(Z266&lt;&gt;"Done","",(_xlfn.CONCAT("PL_",DigitasUKAdOp_26Team[[#This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67" spans="1:36" ht="15.75" customHeight="1" x14ac:dyDescent="0.3">
      <c r="A267" s="85" t="str">
        <f t="shared" si="295"/>
        <v>Mar : Tuesday</v>
      </c>
      <c r="B267" s="86">
        <v>46091</v>
      </c>
      <c r="C267" s="87" t="s">
        <v>325</v>
      </c>
      <c r="D267" s="88" t="s">
        <v>481</v>
      </c>
      <c r="E267" s="87" t="s">
        <v>428</v>
      </c>
      <c r="F267" s="88" t="s">
        <v>450</v>
      </c>
      <c r="G267" s="88" t="s">
        <v>613</v>
      </c>
      <c r="H267" s="87" t="s">
        <v>443</v>
      </c>
      <c r="I267" s="87" t="s">
        <v>250</v>
      </c>
      <c r="J267" s="88">
        <v>0</v>
      </c>
      <c r="K267" s="88">
        <v>0</v>
      </c>
      <c r="L267" s="88">
        <v>0</v>
      </c>
      <c r="M267" s="89">
        <v>10</v>
      </c>
      <c r="N267" s="88">
        <v>2</v>
      </c>
      <c r="O267" s="90" t="s">
        <v>432</v>
      </c>
      <c r="Q267" s="91">
        <f t="shared" si="250"/>
        <v>11</v>
      </c>
      <c r="R267" s="91" t="str">
        <f t="shared" si="251"/>
        <v>Mar</v>
      </c>
      <c r="S267" s="92" t="str">
        <f t="shared" si="310"/>
        <v>Tuesday</v>
      </c>
      <c r="T267" s="93" t="s">
        <v>250</v>
      </c>
      <c r="U267" s="94" t="s">
        <v>444</v>
      </c>
      <c r="W267" s="95">
        <v>0</v>
      </c>
      <c r="X267" s="96"/>
      <c r="Y267" s="97">
        <f t="shared" si="273"/>
        <v>10</v>
      </c>
      <c r="Z267" s="98" t="str">
        <f>SUBSTITUTE('Digitas UK Task 26'!$O267, "Complet", "Not Requir")</f>
        <v>Not Required</v>
      </c>
      <c r="AA267" s="98" t="str">
        <f t="shared" si="297"/>
        <v>Cathay Pacific - Spring Sale 2026 - trafficking</v>
      </c>
      <c r="AB267" s="99"/>
      <c r="AF267" s="84" t="str">
        <f t="shared" si="236"/>
        <v/>
      </c>
      <c r="AH267" s="84" t="str">
        <f t="shared" si="293"/>
        <v>PL_0_CR_0_AD_0_Jira_0_</v>
      </c>
      <c r="AI267" s="84" t="str">
        <f t="shared" si="294"/>
        <v/>
      </c>
      <c r="AJ267" s="84" t="str">
        <f>IF(Z267&lt;&gt;"Done","",(_xlfn.CONCAT("PL_",DigitasUKAdOp_26Team[[#This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68" spans="1:36" ht="15.75" customHeight="1" x14ac:dyDescent="0.3">
      <c r="A268" s="85" t="str">
        <f t="shared" si="295"/>
        <v>Mar : Tuesday</v>
      </c>
      <c r="B268" s="86">
        <v>46091</v>
      </c>
      <c r="C268" s="87" t="s">
        <v>318</v>
      </c>
      <c r="D268" s="88" t="s">
        <v>435</v>
      </c>
      <c r="E268" s="87" t="s">
        <v>428</v>
      </c>
      <c r="F268" s="88" t="s">
        <v>463</v>
      </c>
      <c r="G268" s="88" t="s">
        <v>462</v>
      </c>
      <c r="H268" s="87" t="s">
        <v>269</v>
      </c>
      <c r="I268" s="87" t="s">
        <v>431</v>
      </c>
      <c r="J268" s="88">
        <v>1</v>
      </c>
      <c r="K268" s="88">
        <v>1</v>
      </c>
      <c r="L268" s="88">
        <v>1</v>
      </c>
      <c r="M268" s="89">
        <v>10</v>
      </c>
      <c r="N268" s="88">
        <v>0.5</v>
      </c>
      <c r="O268" s="90" t="s">
        <v>432</v>
      </c>
      <c r="Q268" s="91">
        <f t="shared" si="250"/>
        <v>11</v>
      </c>
      <c r="R268" s="91" t="str">
        <f t="shared" si="251"/>
        <v>Mar</v>
      </c>
      <c r="S268" s="92" t="str">
        <f t="shared" si="310"/>
        <v>Tuesday</v>
      </c>
      <c r="T268" s="93" t="s">
        <v>250</v>
      </c>
      <c r="U268" s="94" t="s">
        <v>433</v>
      </c>
      <c r="W268" s="95">
        <v>0.25</v>
      </c>
      <c r="X268" s="96"/>
      <c r="Y268" s="97">
        <f t="shared" si="273"/>
        <v>10</v>
      </c>
      <c r="Z268" s="98" t="str">
        <f>SUBSTITUTE('Digitas UK Task 26'!$O268, "Complet", "Not Requir")</f>
        <v>Not Required</v>
      </c>
      <c r="AA268" s="98" t="str">
        <f t="shared" si="297"/>
        <v>RE: WELLA | FY26Q3 ULTIMATE COLOR UK | TAG REQUEST</v>
      </c>
      <c r="AB268" s="99"/>
      <c r="AF268" s="84" t="str">
        <f t="shared" ref="AF268:AF330" si="312">IF(AD268="","",WEEKNUM(AD268))</f>
        <v/>
      </c>
      <c r="AH268" s="84" t="str">
        <f t="shared" si="293"/>
        <v>PL_1_CR_1_AD_1_Jira_0_</v>
      </c>
      <c r="AI268" s="84" t="str">
        <f t="shared" si="294"/>
        <v>PL_1_CR_1_AD_1_Jira_0_</v>
      </c>
      <c r="AJ268" s="84" t="str">
        <f>IF(Z268&lt;&gt;"Done","",(_xlfn.CONCAT("PL_",DigitasUKAdOp_26Team[[#This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69" spans="1:36" ht="15.75" customHeight="1" x14ac:dyDescent="0.3">
      <c r="A269" s="85" t="str">
        <f t="shared" si="295"/>
        <v>Mar : Tuesday</v>
      </c>
      <c r="B269" s="86">
        <v>46091</v>
      </c>
      <c r="C269" s="87" t="s">
        <v>318</v>
      </c>
      <c r="D269" s="88" t="s">
        <v>431</v>
      </c>
      <c r="E269" s="87" t="s">
        <v>428</v>
      </c>
      <c r="F269" s="88" t="s">
        <v>450</v>
      </c>
      <c r="G269" s="88" t="s">
        <v>615</v>
      </c>
      <c r="H269" s="87" t="s">
        <v>521</v>
      </c>
      <c r="I269" s="87" t="s">
        <v>250</v>
      </c>
      <c r="J269" s="88">
        <v>0</v>
      </c>
      <c r="K269" s="88">
        <v>0</v>
      </c>
      <c r="L269" s="88">
        <v>0</v>
      </c>
      <c r="M269" s="89">
        <v>46091</v>
      </c>
      <c r="N269" s="88">
        <v>1</v>
      </c>
      <c r="O269" s="90" t="s">
        <v>432</v>
      </c>
      <c r="Q269" s="91">
        <f t="shared" ref="Q269" si="313">IF(B269="","",WEEKNUM(B269))</f>
        <v>11</v>
      </c>
      <c r="R269" s="91" t="str">
        <f t="shared" ref="R269" si="314">IF(B269="","",TEXT(B269,"MMM"))</f>
        <v>Mar</v>
      </c>
      <c r="S269" s="92" t="str">
        <f t="shared" ref="S269" si="315">IF(B269="","",TEXT(B269,"DDDD"))</f>
        <v>Tuesday</v>
      </c>
      <c r="T269" s="93" t="s">
        <v>250</v>
      </c>
      <c r="U269" s="94" t="s">
        <v>444</v>
      </c>
      <c r="W269" s="95">
        <v>0</v>
      </c>
      <c r="X269" s="96"/>
      <c r="Y269" s="97">
        <f t="shared" ref="Y269" si="316">IF(M269="","",M269)</f>
        <v>46091</v>
      </c>
      <c r="Z269" s="98" t="str">
        <f>SUBSTITUTE('Digitas UK Task 26'!$O269, "Complet", "Not Requir")</f>
        <v>Not Required</v>
      </c>
      <c r="AA269" s="98" t="str">
        <f t="shared" ref="AA269" si="317">IF(G269="","",G269)</f>
        <v xml:space="preserve">Well 1x1 Process doc </v>
      </c>
      <c r="AB269" s="99"/>
      <c r="AF269" s="84" t="str">
        <f t="shared" si="312"/>
        <v/>
      </c>
      <c r="AH269" s="84" t="str">
        <f t="shared" si="293"/>
        <v>PL_0_CR_0_AD_0_Jira_0_</v>
      </c>
      <c r="AI269" s="84" t="str">
        <f t="shared" si="294"/>
        <v/>
      </c>
      <c r="AJ269" s="84" t="str">
        <f>IF(Z269&lt;&gt;"Done","",(_xlfn.CONCAT("PL_",DigitasUKAdOp_26Team[[#This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70" spans="1:36" ht="15.75" customHeight="1" x14ac:dyDescent="0.3">
      <c r="A270" s="85" t="str">
        <f t="shared" ref="A270" si="318">IF(B270="","",TEXT(B270,"MMM : DDDD"))</f>
        <v>Mar : Tuesday</v>
      </c>
      <c r="B270" s="86">
        <v>46091</v>
      </c>
      <c r="C270" s="87" t="s">
        <v>318</v>
      </c>
      <c r="D270" s="88" t="s">
        <v>431</v>
      </c>
      <c r="E270" s="87" t="s">
        <v>428</v>
      </c>
      <c r="F270" s="88" t="s">
        <v>450</v>
      </c>
      <c r="G270" s="88" t="s">
        <v>615</v>
      </c>
      <c r="H270" s="87" t="s">
        <v>521</v>
      </c>
      <c r="I270" s="87" t="s">
        <v>246</v>
      </c>
      <c r="J270" s="88">
        <v>0</v>
      </c>
      <c r="K270" s="88">
        <v>0</v>
      </c>
      <c r="L270" s="88">
        <v>0</v>
      </c>
      <c r="M270" s="89">
        <v>46091</v>
      </c>
      <c r="N270" s="88">
        <v>1</v>
      </c>
      <c r="O270" s="90" t="s">
        <v>432</v>
      </c>
      <c r="Q270" s="91">
        <f t="shared" ref="Q270" si="319">IF(B270="","",WEEKNUM(B270))</f>
        <v>11</v>
      </c>
      <c r="R270" s="91" t="str">
        <f t="shared" ref="R270" si="320">IF(B270="","",TEXT(B270,"MMM"))</f>
        <v>Mar</v>
      </c>
      <c r="S270" s="92" t="str">
        <f t="shared" ref="S270" si="321">IF(B270="","",TEXT(B270,"DDDD"))</f>
        <v>Tuesday</v>
      </c>
      <c r="T270" s="93" t="s">
        <v>246</v>
      </c>
      <c r="U270" s="94" t="s">
        <v>444</v>
      </c>
      <c r="W270" s="95">
        <v>0</v>
      </c>
      <c r="X270" s="96"/>
      <c r="Y270" s="97">
        <f t="shared" ref="Y270" si="322">IF(M270="","",M270)</f>
        <v>46091</v>
      </c>
      <c r="Z270" s="98" t="str">
        <f>SUBSTITUTE('Digitas UK Task 26'!$O270, "Complet", "Not Requir")</f>
        <v>Not Required</v>
      </c>
      <c r="AA270" s="98" t="str">
        <f t="shared" ref="AA270" si="323">IF(G270="","",G270)</f>
        <v xml:space="preserve">Well 1x1 Process doc </v>
      </c>
      <c r="AB270" s="99"/>
      <c r="AF270" s="84" t="str">
        <f t="shared" ref="AF270" si="324">IF(AD270="","",WEEKNUM(AD270))</f>
        <v/>
      </c>
      <c r="AH270" s="84" t="str">
        <f t="shared" si="293"/>
        <v>PL_0_CR_0_AD_0_Jira_0_</v>
      </c>
      <c r="AI270" s="84" t="str">
        <f t="shared" si="294"/>
        <v/>
      </c>
      <c r="AJ270" s="84" t="str">
        <f>IF(Z270&lt;&gt;"Done","",(_xlfn.CONCAT("PL_",DigitasUKAdOp_26Team[[#This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71" spans="1:36" ht="15.75" customHeight="1" x14ac:dyDescent="0.3">
      <c r="A271" s="85" t="str">
        <f t="shared" si="295"/>
        <v>Mar : Wednesday</v>
      </c>
      <c r="B271" s="86">
        <v>46092</v>
      </c>
      <c r="C271" s="87" t="s">
        <v>344</v>
      </c>
      <c r="D271" s="88" t="s">
        <v>452</v>
      </c>
      <c r="E271" s="87" t="s">
        <v>428</v>
      </c>
      <c r="F271" s="88" t="s">
        <v>522</v>
      </c>
      <c r="G271" s="88" t="s">
        <v>525</v>
      </c>
      <c r="H271" s="87" t="s">
        <v>443</v>
      </c>
      <c r="I271" s="87" t="s">
        <v>250</v>
      </c>
      <c r="J271" s="88">
        <v>0</v>
      </c>
      <c r="K271" s="88">
        <v>0</v>
      </c>
      <c r="L271" s="88">
        <v>0</v>
      </c>
      <c r="M271" s="89">
        <v>46092</v>
      </c>
      <c r="N271" s="88">
        <v>0.5</v>
      </c>
      <c r="O271" s="90" t="s">
        <v>432</v>
      </c>
      <c r="Q271" s="91">
        <f t="shared" ref="Q271:Q331" si="325">IF(B271="","",WEEKNUM(B271))</f>
        <v>11</v>
      </c>
      <c r="R271" s="91" t="str">
        <f t="shared" ref="R271:R316" si="326">IF(B271="","",TEXT(B271,"MMM"))</f>
        <v>Mar</v>
      </c>
      <c r="S271" s="92" t="str">
        <f t="shared" si="310"/>
        <v>Wednesday</v>
      </c>
      <c r="T271" s="93" t="s">
        <v>250</v>
      </c>
      <c r="U271" s="94" t="s">
        <v>444</v>
      </c>
      <c r="W271" s="95">
        <v>0</v>
      </c>
      <c r="X271" s="96"/>
      <c r="Y271" s="97">
        <f t="shared" si="273"/>
        <v>46092</v>
      </c>
      <c r="Z271" s="98" t="str">
        <f>SUBSTITUTE('Digitas UK Task 26'!$O271, "Complet", "Not Requir")</f>
        <v>Not Required</v>
      </c>
      <c r="AA271" s="98" t="str">
        <f t="shared" si="297"/>
        <v>RE: RE: Digitas x Monzo | Tagging support I CTV</v>
      </c>
      <c r="AB271" s="99"/>
      <c r="AF271" s="84" t="str">
        <f t="shared" si="312"/>
        <v/>
      </c>
      <c r="AH271" s="84" t="str">
        <f t="shared" si="293"/>
        <v>PL_0_CR_0_AD_0_Jira_0_</v>
      </c>
      <c r="AI271" s="84" t="str">
        <f t="shared" si="294"/>
        <v/>
      </c>
      <c r="AJ271" s="84" t="str">
        <f>IF(Z271&lt;&gt;"Done","",(_xlfn.CONCAT("PL_",DigitasUKAdOp_26Team[[#This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72" spans="1:36" ht="15.75" customHeight="1" x14ac:dyDescent="0.3">
      <c r="A272" s="85" t="str">
        <f t="shared" ref="A272" si="327">IF(B272="","",TEXT(B272,"MMM : DDDD"))</f>
        <v>Mar : Wednesday</v>
      </c>
      <c r="B272" s="86">
        <v>46092</v>
      </c>
      <c r="C272" s="87" t="s">
        <v>344</v>
      </c>
      <c r="D272" s="88" t="s">
        <v>452</v>
      </c>
      <c r="E272" s="87" t="s">
        <v>428</v>
      </c>
      <c r="F272" s="88" t="s">
        <v>522</v>
      </c>
      <c r="G272" s="88" t="s">
        <v>525</v>
      </c>
      <c r="H272" s="87" t="s">
        <v>269</v>
      </c>
      <c r="I272" s="87" t="s">
        <v>250</v>
      </c>
      <c r="J272" s="88">
        <v>3</v>
      </c>
      <c r="K272" s="88">
        <v>3</v>
      </c>
      <c r="L272" s="88">
        <v>3</v>
      </c>
      <c r="M272" s="89">
        <v>46092</v>
      </c>
      <c r="N272" s="88">
        <v>0.25</v>
      </c>
      <c r="O272" s="90" t="s">
        <v>432</v>
      </c>
      <c r="Q272" s="91">
        <f t="shared" si="325"/>
        <v>11</v>
      </c>
      <c r="R272" s="91" t="str">
        <f t="shared" si="326"/>
        <v>Mar</v>
      </c>
      <c r="S272" s="92" t="str">
        <f t="shared" si="310"/>
        <v>Wednesday</v>
      </c>
      <c r="T272" s="93" t="s">
        <v>246</v>
      </c>
      <c r="U272" s="94" t="s">
        <v>433</v>
      </c>
      <c r="W272" s="95">
        <v>0.25</v>
      </c>
      <c r="X272" s="96"/>
      <c r="Y272" s="97">
        <f t="shared" si="273"/>
        <v>46092</v>
      </c>
      <c r="Z272" s="98" t="str">
        <f>SUBSTITUTE('Digitas UK Task 26'!$O272, "Complet", "Not Requir")</f>
        <v>Not Required</v>
      </c>
      <c r="AA272" s="98" t="str">
        <f t="shared" si="297"/>
        <v>RE: RE: Digitas x Monzo | Tagging support I CTV</v>
      </c>
      <c r="AB272" s="99"/>
      <c r="AF272" s="84" t="str">
        <f t="shared" si="312"/>
        <v/>
      </c>
      <c r="AH272" s="84" t="str">
        <f t="shared" si="293"/>
        <v>PL_3_CR_3_AD_3_Jira_0_</v>
      </c>
      <c r="AI272" s="84" t="str">
        <f t="shared" si="294"/>
        <v>PL_3_CR_3_AD_3_Jira_0_</v>
      </c>
      <c r="AJ272" s="84" t="str">
        <f>IF(Z272&lt;&gt;"Done","",(_xlfn.CONCAT("PL_",DigitasUKAdOp_26Team[[#This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73" spans="1:36" ht="15.75" customHeight="1" x14ac:dyDescent="0.3">
      <c r="A273" s="85" t="str">
        <f t="shared" ref="A273" si="328">IF(B273="","",TEXT(B273,"MMM : DDDD"))</f>
        <v>Mar : Wednesday</v>
      </c>
      <c r="B273" s="86">
        <v>46092</v>
      </c>
      <c r="C273" s="87" t="s">
        <v>344</v>
      </c>
      <c r="D273" s="88" t="s">
        <v>452</v>
      </c>
      <c r="E273" s="87" t="s">
        <v>428</v>
      </c>
      <c r="F273" s="88" t="s">
        <v>522</v>
      </c>
      <c r="G273" s="88" t="s">
        <v>525</v>
      </c>
      <c r="H273" s="87" t="s">
        <v>269</v>
      </c>
      <c r="I273" s="87" t="s">
        <v>246</v>
      </c>
      <c r="J273" s="88">
        <v>25</v>
      </c>
      <c r="K273" s="88">
        <v>25</v>
      </c>
      <c r="L273" s="88">
        <v>25</v>
      </c>
      <c r="M273" s="89">
        <v>46092</v>
      </c>
      <c r="N273" s="88">
        <v>1</v>
      </c>
      <c r="O273" s="90" t="s">
        <v>432</v>
      </c>
      <c r="Q273" s="91">
        <f t="shared" si="325"/>
        <v>11</v>
      </c>
      <c r="R273" s="91" t="str">
        <f t="shared" si="326"/>
        <v>Mar</v>
      </c>
      <c r="S273" s="92" t="str">
        <f t="shared" si="310"/>
        <v>Wednesday</v>
      </c>
      <c r="T273" s="93" t="s">
        <v>250</v>
      </c>
      <c r="U273" s="94" t="s">
        <v>433</v>
      </c>
      <c r="W273" s="95">
        <v>0.5</v>
      </c>
      <c r="X273" s="96"/>
      <c r="Y273" s="97">
        <f t="shared" si="273"/>
        <v>46092</v>
      </c>
      <c r="Z273" s="98" t="str">
        <f>SUBSTITUTE('Digitas UK Task 26'!$O273, "Complet", "Not Requir")</f>
        <v>Not Required</v>
      </c>
      <c r="AA273" s="98" t="str">
        <f t="shared" si="297"/>
        <v>RE: RE: Digitas x Monzo | Tagging support I CTV</v>
      </c>
      <c r="AB273" s="99"/>
      <c r="AF273" s="84" t="str">
        <f t="shared" si="312"/>
        <v/>
      </c>
      <c r="AH273" s="84" t="str">
        <f t="shared" si="293"/>
        <v>PL_25_CR_25_AD_25_Jira_0_</v>
      </c>
      <c r="AI273" s="84" t="str">
        <f t="shared" si="294"/>
        <v>PL_25_CR_25_AD_25_Jira_0_</v>
      </c>
      <c r="AJ273" s="84" t="str">
        <f>IF(Z273&lt;&gt;"Done","",(_xlfn.CONCAT("PL_",DigitasUKAdOp_26Team[[#This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74" spans="1:36" ht="15.75" customHeight="1" x14ac:dyDescent="0.3">
      <c r="A274" s="85" t="str">
        <f t="shared" ref="A274" si="329">IF(B274="","",TEXT(B274,"MMM : DDDD"))</f>
        <v>Mar : Wednesday</v>
      </c>
      <c r="B274" s="86">
        <v>46092</v>
      </c>
      <c r="C274" s="87" t="s">
        <v>344</v>
      </c>
      <c r="D274" s="88" t="s">
        <v>452</v>
      </c>
      <c r="E274" s="87" t="s">
        <v>428</v>
      </c>
      <c r="F274" s="88" t="s">
        <v>522</v>
      </c>
      <c r="G274" s="88" t="s">
        <v>545</v>
      </c>
      <c r="H274" s="87" t="s">
        <v>269</v>
      </c>
      <c r="I274" s="87" t="s">
        <v>246</v>
      </c>
      <c r="J274" s="88">
        <v>25</v>
      </c>
      <c r="K274" s="88">
        <v>25</v>
      </c>
      <c r="L274" s="88">
        <v>25</v>
      </c>
      <c r="M274" s="89">
        <v>46092</v>
      </c>
      <c r="N274" s="88">
        <v>1</v>
      </c>
      <c r="O274" s="90" t="s">
        <v>432</v>
      </c>
      <c r="Q274" s="91">
        <f t="shared" si="325"/>
        <v>11</v>
      </c>
      <c r="R274" s="91" t="str">
        <f t="shared" si="326"/>
        <v>Mar</v>
      </c>
      <c r="S274" s="92" t="str">
        <f t="shared" si="310"/>
        <v>Wednesday</v>
      </c>
      <c r="T274" s="93" t="s">
        <v>250</v>
      </c>
      <c r="U274" s="94" t="s">
        <v>433</v>
      </c>
      <c r="W274" s="95">
        <v>0.5</v>
      </c>
      <c r="X274" s="96"/>
      <c r="Y274" s="97">
        <f t="shared" si="273"/>
        <v>46092</v>
      </c>
      <c r="Z274" s="98" t="str">
        <f>SUBSTITUTE('Digitas UK Task 26'!$O274, "Complet", "Not Requir")</f>
        <v>Not Required</v>
      </c>
      <c r="AA274" s="98" t="str">
        <f t="shared" si="297"/>
        <v>RE: Digitas x Monzo | Tagging support I TTD_Retargeting</v>
      </c>
      <c r="AB274" s="99"/>
      <c r="AF274" s="84" t="str">
        <f t="shared" si="312"/>
        <v/>
      </c>
      <c r="AH274" s="84" t="str">
        <f t="shared" si="293"/>
        <v>PL_25_CR_25_AD_25_Jira_0_</v>
      </c>
      <c r="AI274" s="84" t="str">
        <f t="shared" si="294"/>
        <v>PL_25_CR_25_AD_25_Jira_0_</v>
      </c>
      <c r="AJ274" s="84" t="str">
        <f>IF(Z274&lt;&gt;"Done","",(_xlfn.CONCAT("PL_",DigitasUKAdOp_26Team[[#This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75" spans="1:36" ht="15.75" customHeight="1" x14ac:dyDescent="0.3">
      <c r="A275" s="85" t="str">
        <f t="shared" ref="A275" si="330">IF(B275="","",TEXT(B275,"MMM : DDDD"))</f>
        <v>Mar : Wednesday</v>
      </c>
      <c r="B275" s="86">
        <v>46092</v>
      </c>
      <c r="C275" s="87" t="s">
        <v>344</v>
      </c>
      <c r="D275" s="88" t="s">
        <v>452</v>
      </c>
      <c r="E275" s="87" t="s">
        <v>428</v>
      </c>
      <c r="F275" s="88" t="s">
        <v>522</v>
      </c>
      <c r="G275" s="88" t="s">
        <v>545</v>
      </c>
      <c r="H275" s="87" t="s">
        <v>269</v>
      </c>
      <c r="I275" s="87" t="s">
        <v>246</v>
      </c>
      <c r="J275" s="88">
        <v>25</v>
      </c>
      <c r="K275" s="88">
        <v>25</v>
      </c>
      <c r="L275" s="88">
        <v>25</v>
      </c>
      <c r="M275" s="89">
        <v>46092</v>
      </c>
      <c r="N275" s="88">
        <v>1</v>
      </c>
      <c r="O275" s="90" t="s">
        <v>432</v>
      </c>
      <c r="Q275" s="91">
        <f t="shared" ref="Q275" si="331">IF(B275="","",WEEKNUM(B275))</f>
        <v>11</v>
      </c>
      <c r="R275" s="91" t="str">
        <f t="shared" ref="R275" si="332">IF(B275="","",TEXT(B275,"MMM"))</f>
        <v>Mar</v>
      </c>
      <c r="S275" s="92" t="str">
        <f t="shared" ref="S275" si="333">IF(B275="","",TEXT(B275,"DDDD"))</f>
        <v>Wednesday</v>
      </c>
      <c r="T275" s="93" t="s">
        <v>250</v>
      </c>
      <c r="U275" s="94" t="s">
        <v>433</v>
      </c>
      <c r="W275" s="95">
        <v>0.5</v>
      </c>
      <c r="X275" s="96"/>
      <c r="Y275" s="97">
        <f t="shared" ref="Y275" si="334">IF(M275="","",M275)</f>
        <v>46092</v>
      </c>
      <c r="Z275" s="98" t="str">
        <f>SUBSTITUTE('Digitas UK Task 26'!$O275, "Complet", "Not Requir")</f>
        <v>Not Required</v>
      </c>
      <c r="AA275" s="98" t="str">
        <f t="shared" ref="AA275" si="335">IF(G275="","",G275)</f>
        <v>RE: Digitas x Monzo | Tagging support I TTD_Retargeting</v>
      </c>
      <c r="AB275" s="99"/>
      <c r="AF275" s="84" t="str">
        <f t="shared" ref="AF275" si="336">IF(AD275="","",WEEKNUM(AD275))</f>
        <v/>
      </c>
      <c r="AH275" s="84" t="str">
        <f t="shared" si="293"/>
        <v>PL_25_CR_25_AD_25_Jira_0_</v>
      </c>
      <c r="AI275" s="84" t="str">
        <f t="shared" si="294"/>
        <v>PL_25_CR_25_AD_25_Jira_0_</v>
      </c>
      <c r="AJ275" s="84" t="str">
        <f>IF(Z275&lt;&gt;"Done","",(_xlfn.CONCAT("PL_",DigitasUKAdOp_26Team[[#This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76" spans="1:36" ht="15.75" customHeight="1" x14ac:dyDescent="0.3">
      <c r="A276" s="85" t="str">
        <f t="shared" ref="A276:A278" si="337">IF(B276="","",TEXT(B276,"MMM : DDDD"))</f>
        <v>Mar : Wednesday</v>
      </c>
      <c r="B276" s="86">
        <v>46092</v>
      </c>
      <c r="C276" s="87" t="s">
        <v>334</v>
      </c>
      <c r="D276" s="88" t="s">
        <v>616</v>
      </c>
      <c r="E276" s="87" t="s">
        <v>428</v>
      </c>
      <c r="F276" s="88" t="s">
        <v>603</v>
      </c>
      <c r="G276" s="88" t="s">
        <v>617</v>
      </c>
      <c r="H276" s="87" t="s">
        <v>521</v>
      </c>
      <c r="I276" s="87" t="s">
        <v>250</v>
      </c>
      <c r="J276" s="88">
        <v>0</v>
      </c>
      <c r="K276" s="88">
        <v>0</v>
      </c>
      <c r="L276" s="88">
        <v>0</v>
      </c>
      <c r="M276" s="89">
        <v>46092</v>
      </c>
      <c r="N276" s="88">
        <v>1</v>
      </c>
      <c r="O276" s="90" t="s">
        <v>432</v>
      </c>
      <c r="Q276" s="91">
        <f t="shared" si="325"/>
        <v>11</v>
      </c>
      <c r="R276" s="91" t="str">
        <f t="shared" si="326"/>
        <v>Mar</v>
      </c>
      <c r="S276" s="92" t="str">
        <f t="shared" si="310"/>
        <v>Wednesday</v>
      </c>
      <c r="T276" s="93" t="s">
        <v>250</v>
      </c>
      <c r="U276" s="94" t="s">
        <v>444</v>
      </c>
      <c r="W276" s="95">
        <v>0</v>
      </c>
      <c r="X276" s="96"/>
      <c r="Y276" s="97">
        <f t="shared" si="273"/>
        <v>46092</v>
      </c>
      <c r="Z276" s="98" t="str">
        <f>SUBSTITUTE('Digitas UK Task 26'!$O276, "Complet", "Not Requir")</f>
        <v>Not Required</v>
      </c>
      <c r="AA276" s="98" t="str">
        <f t="shared" si="297"/>
        <v>Klaviyo EMEA - Trafficking Request - Gozney, Folk Clothing Display, Killstar, Dermalogica - Display - Q1 2026</v>
      </c>
      <c r="AB276" s="99"/>
      <c r="AF276" s="84" t="str">
        <f t="shared" si="312"/>
        <v/>
      </c>
      <c r="AH276" s="84" t="str">
        <f t="shared" si="293"/>
        <v>PL_0_CR_0_AD_0_Jira_0_</v>
      </c>
      <c r="AI276" s="84" t="str">
        <f t="shared" si="294"/>
        <v/>
      </c>
      <c r="AJ276" s="84" t="str">
        <f>IF(Z276&lt;&gt;"Done","",(_xlfn.CONCAT("PL_",DigitasUKAdOp_26Team[[#This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77" spans="1:36" ht="15.75" customHeight="1" x14ac:dyDescent="0.3">
      <c r="A277" s="85" t="str">
        <f t="shared" si="337"/>
        <v>Mar : Wednesday</v>
      </c>
      <c r="B277" s="86">
        <v>46092</v>
      </c>
      <c r="C277" s="87" t="s">
        <v>334</v>
      </c>
      <c r="D277" s="88" t="s">
        <v>616</v>
      </c>
      <c r="E277" s="87" t="s">
        <v>428</v>
      </c>
      <c r="F277" s="88" t="s">
        <v>466</v>
      </c>
      <c r="G277" s="88" t="s">
        <v>617</v>
      </c>
      <c r="H277" s="87" t="s">
        <v>443</v>
      </c>
      <c r="I277" s="87" t="s">
        <v>246</v>
      </c>
      <c r="J277" s="88">
        <v>0</v>
      </c>
      <c r="K277" s="88">
        <v>0</v>
      </c>
      <c r="L277" s="88">
        <v>0</v>
      </c>
      <c r="M277" s="89">
        <v>46092</v>
      </c>
      <c r="N277" s="88">
        <v>1</v>
      </c>
      <c r="O277" s="90" t="s">
        <v>432</v>
      </c>
      <c r="Q277" s="91">
        <f t="shared" si="325"/>
        <v>11</v>
      </c>
      <c r="R277" s="91" t="str">
        <f t="shared" si="326"/>
        <v>Mar</v>
      </c>
      <c r="S277" s="92" t="str">
        <f t="shared" si="310"/>
        <v>Wednesday</v>
      </c>
      <c r="T277" s="93" t="s">
        <v>246</v>
      </c>
      <c r="U277" s="94" t="s">
        <v>444</v>
      </c>
      <c r="W277" s="95">
        <v>0</v>
      </c>
      <c r="X277" s="96"/>
      <c r="Y277" s="97">
        <f t="shared" si="273"/>
        <v>46092</v>
      </c>
      <c r="Z277" s="98" t="str">
        <f>SUBSTITUTE('Digitas UK Task 26'!$O277, "Complet", "Not Requir")</f>
        <v>Not Required</v>
      </c>
      <c r="AA277" s="98" t="str">
        <f t="shared" si="297"/>
        <v>Klaviyo EMEA - Trafficking Request - Gozney, Folk Clothing Display, Killstar, Dermalogica - Display - Q1 2026</v>
      </c>
      <c r="AB277" s="99"/>
      <c r="AF277" s="84" t="str">
        <f t="shared" si="312"/>
        <v/>
      </c>
      <c r="AH277" s="84" t="str">
        <f t="shared" si="293"/>
        <v>PL_0_CR_0_AD_0_Jira_0_</v>
      </c>
      <c r="AI277" s="84" t="str">
        <f t="shared" si="294"/>
        <v/>
      </c>
      <c r="AJ277" s="84" t="str">
        <f>IF(Z277&lt;&gt;"Done","",(_xlfn.CONCAT("PL_",DigitasUKAdOp_26Team[[#This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78" spans="1:36" ht="15.75" customHeight="1" x14ac:dyDescent="0.3">
      <c r="A278" s="85" t="str">
        <f t="shared" si="337"/>
        <v>Mar : Thursday</v>
      </c>
      <c r="B278" s="86">
        <v>46093</v>
      </c>
      <c r="C278" s="87" t="s">
        <v>318</v>
      </c>
      <c r="D278" s="88" t="s">
        <v>435</v>
      </c>
      <c r="E278" s="87" t="s">
        <v>428</v>
      </c>
      <c r="F278" s="88" t="s">
        <v>461</v>
      </c>
      <c r="G278" s="88" t="s">
        <v>462</v>
      </c>
      <c r="H278" s="87" t="s">
        <v>269</v>
      </c>
      <c r="I278" s="87" t="s">
        <v>431</v>
      </c>
      <c r="J278" s="88">
        <v>22</v>
      </c>
      <c r="K278" s="88">
        <v>22</v>
      </c>
      <c r="L278" s="88">
        <v>22</v>
      </c>
      <c r="M278" s="89">
        <v>46093</v>
      </c>
      <c r="N278" s="88">
        <v>2</v>
      </c>
      <c r="O278" s="90" t="s">
        <v>432</v>
      </c>
      <c r="Q278" s="91">
        <f t="shared" si="325"/>
        <v>11</v>
      </c>
      <c r="R278" s="91" t="str">
        <f t="shared" si="326"/>
        <v>Mar</v>
      </c>
      <c r="S278" s="92" t="str">
        <f t="shared" si="310"/>
        <v>Thursday</v>
      </c>
      <c r="T278" s="93" t="s">
        <v>246</v>
      </c>
      <c r="U278" s="94" t="s">
        <v>433</v>
      </c>
      <c r="W278" s="95">
        <v>1</v>
      </c>
      <c r="X278" s="96"/>
      <c r="Y278" s="97">
        <f t="shared" si="273"/>
        <v>46093</v>
      </c>
      <c r="Z278" s="98" t="str">
        <f>SUBSTITUTE('Digitas UK Task 26'!$O278, "Complet", "Not Requir")</f>
        <v>Not Required</v>
      </c>
      <c r="AA278" s="98" t="str">
        <f t="shared" si="297"/>
        <v>RE: WELLA | FY26Q3 ULTIMATE COLOR UK | TAG REQUEST</v>
      </c>
      <c r="AB278" s="99"/>
      <c r="AF278" s="84" t="str">
        <f t="shared" si="312"/>
        <v/>
      </c>
      <c r="AH278" s="84" t="str">
        <f t="shared" si="293"/>
        <v>PL_22_CR_22_AD_22_Jira_0_</v>
      </c>
      <c r="AI278" s="84" t="str">
        <f t="shared" si="294"/>
        <v>PL_22_CR_22_AD_22_Jira_0_</v>
      </c>
      <c r="AJ278" s="84" t="str">
        <f>IF(Z278&lt;&gt;"Done","",(_xlfn.CONCAT("PL_",DigitasUKAdOp_26Team[[#This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79" spans="1:36" ht="15.75" customHeight="1" x14ac:dyDescent="0.3">
      <c r="A279" s="85" t="str">
        <f t="shared" si="295"/>
        <v>Mar : Thursday</v>
      </c>
      <c r="B279" s="86">
        <v>46093</v>
      </c>
      <c r="C279" s="87" t="s">
        <v>334</v>
      </c>
      <c r="D279" s="88" t="s">
        <v>616</v>
      </c>
      <c r="E279" s="87" t="s">
        <v>428</v>
      </c>
      <c r="F279" s="88" t="s">
        <v>603</v>
      </c>
      <c r="G279" s="88" t="s">
        <v>617</v>
      </c>
      <c r="H279" s="87" t="s">
        <v>269</v>
      </c>
      <c r="I279" s="87" t="s">
        <v>250</v>
      </c>
      <c r="J279" s="88">
        <v>320</v>
      </c>
      <c r="K279" s="88">
        <v>320</v>
      </c>
      <c r="L279" s="88">
        <v>320</v>
      </c>
      <c r="M279" s="89">
        <v>46093</v>
      </c>
      <c r="N279" s="88">
        <v>5</v>
      </c>
      <c r="O279" s="90" t="s">
        <v>432</v>
      </c>
      <c r="Q279" s="91">
        <f t="shared" si="325"/>
        <v>11</v>
      </c>
      <c r="R279" s="91" t="str">
        <f t="shared" si="326"/>
        <v>Mar</v>
      </c>
      <c r="S279" s="92" t="str">
        <f t="shared" si="310"/>
        <v>Thursday</v>
      </c>
      <c r="T279" s="93" t="s">
        <v>246</v>
      </c>
      <c r="U279" s="94" t="s">
        <v>433</v>
      </c>
      <c r="W279" s="95">
        <v>2.5</v>
      </c>
      <c r="X279" s="96"/>
      <c r="Y279" s="97">
        <f t="shared" si="273"/>
        <v>46093</v>
      </c>
      <c r="Z279" s="98" t="str">
        <f>SUBSTITUTE('Digitas UK Task 26'!$O279, "Complet", "Not Requir")</f>
        <v>Not Required</v>
      </c>
      <c r="AA279" s="98" t="str">
        <f t="shared" si="297"/>
        <v>Klaviyo EMEA - Trafficking Request - Gozney, Folk Clothing Display, Killstar, Dermalogica - Display - Q1 2026</v>
      </c>
      <c r="AB279" s="99"/>
      <c r="AF279" s="84" t="str">
        <f t="shared" si="312"/>
        <v/>
      </c>
      <c r="AH279" s="84" t="str">
        <f t="shared" si="293"/>
        <v>PL_320_CR_320_AD_320_Jira_0_</v>
      </c>
      <c r="AI279" s="84" t="str">
        <f t="shared" si="294"/>
        <v>PL_320_CR_320_AD_320_Jira_0_</v>
      </c>
      <c r="AJ279" s="84" t="str">
        <f>IF(Z279&lt;&gt;"Done","",(_xlfn.CONCAT("PL_",DigitasUKAdOp_26Team[[#This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80" spans="1:36" ht="15.75" customHeight="1" x14ac:dyDescent="0.3">
      <c r="A280" s="85" t="str">
        <f t="shared" si="295"/>
        <v>Mar : Thursday</v>
      </c>
      <c r="B280" s="86">
        <v>46093</v>
      </c>
      <c r="C280" s="87" t="s">
        <v>334</v>
      </c>
      <c r="D280" s="88" t="s">
        <v>616</v>
      </c>
      <c r="E280" s="87" t="s">
        <v>428</v>
      </c>
      <c r="F280" s="88" t="s">
        <v>466</v>
      </c>
      <c r="G280" s="88" t="s">
        <v>617</v>
      </c>
      <c r="H280" s="87" t="s">
        <v>269</v>
      </c>
      <c r="I280" s="87" t="s">
        <v>246</v>
      </c>
      <c r="J280" s="88">
        <v>160</v>
      </c>
      <c r="K280" s="88">
        <v>160</v>
      </c>
      <c r="L280" s="88">
        <v>160</v>
      </c>
      <c r="M280" s="89">
        <v>46093</v>
      </c>
      <c r="N280" s="88">
        <v>4</v>
      </c>
      <c r="O280" s="90" t="s">
        <v>432</v>
      </c>
      <c r="Q280" s="91">
        <f t="shared" si="325"/>
        <v>11</v>
      </c>
      <c r="R280" s="91" t="str">
        <f t="shared" si="326"/>
        <v>Mar</v>
      </c>
      <c r="S280" s="92" t="str">
        <f t="shared" si="310"/>
        <v>Thursday</v>
      </c>
      <c r="T280" s="93" t="s">
        <v>250</v>
      </c>
      <c r="U280" s="94" t="s">
        <v>433</v>
      </c>
      <c r="W280" s="95">
        <v>2</v>
      </c>
      <c r="X280" s="96"/>
      <c r="Y280" s="97">
        <f t="shared" si="273"/>
        <v>46093</v>
      </c>
      <c r="Z280" s="98" t="str">
        <f>SUBSTITUTE('Digitas UK Task 26'!$O280, "Complet", "Not Requir")</f>
        <v>Not Required</v>
      </c>
      <c r="AA280" s="98" t="str">
        <f t="shared" si="297"/>
        <v>Klaviyo EMEA - Trafficking Request - Gozney, Folk Clothing Display, Killstar, Dermalogica - Display - Q1 2026</v>
      </c>
      <c r="AB280" s="99"/>
      <c r="AF280" s="84" t="str">
        <f t="shared" si="312"/>
        <v/>
      </c>
      <c r="AH280" s="84" t="str">
        <f t="shared" si="293"/>
        <v>PL_160_CR_160_AD_160_Jira_0_</v>
      </c>
      <c r="AI280" s="84" t="str">
        <f t="shared" si="294"/>
        <v>PL_160_CR_160_AD_160_Jira_0_</v>
      </c>
      <c r="AJ280" s="84" t="str">
        <f>IF(Z280&lt;&gt;"Done","",(_xlfn.CONCAT("PL_",DigitasUKAdOp_26Team[[#This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81" spans="1:36" ht="15.75" customHeight="1" x14ac:dyDescent="0.3">
      <c r="A281" s="85" t="str">
        <f t="shared" ref="A281:A342" si="338">IF(B281="","",TEXT(B281,"MMM : DDDD"))</f>
        <v>Mar : Thursday</v>
      </c>
      <c r="B281" s="86">
        <v>46093</v>
      </c>
      <c r="C281" s="87" t="s">
        <v>318</v>
      </c>
      <c r="D281" s="88" t="s">
        <v>435</v>
      </c>
      <c r="E281" s="87" t="s">
        <v>428</v>
      </c>
      <c r="F281" s="88" t="s">
        <v>450</v>
      </c>
      <c r="G281" s="88" t="s">
        <v>618</v>
      </c>
      <c r="H281" s="87" t="s">
        <v>521</v>
      </c>
      <c r="I281" s="87" t="s">
        <v>431</v>
      </c>
      <c r="J281" s="88">
        <v>0</v>
      </c>
      <c r="K281" s="88">
        <v>0</v>
      </c>
      <c r="L281" s="88">
        <v>0</v>
      </c>
      <c r="M281" s="89">
        <v>46093</v>
      </c>
      <c r="N281" s="88">
        <v>0.5</v>
      </c>
      <c r="O281" s="90" t="s">
        <v>432</v>
      </c>
      <c r="Q281" s="91">
        <f t="shared" si="325"/>
        <v>11</v>
      </c>
      <c r="R281" s="91" t="str">
        <f t="shared" si="326"/>
        <v>Mar</v>
      </c>
      <c r="S281" s="92" t="str">
        <f t="shared" si="310"/>
        <v>Thursday</v>
      </c>
      <c r="T281" s="93" t="s">
        <v>431</v>
      </c>
      <c r="U281" s="94" t="s">
        <v>444</v>
      </c>
      <c r="W281" s="95">
        <v>0</v>
      </c>
      <c r="X281" s="96"/>
      <c r="Y281" s="97">
        <f t="shared" si="273"/>
        <v>46093</v>
      </c>
      <c r="Z281" s="98" t="str">
        <f>SUBSTITUTE('Digitas UK Task 26'!$O281, "Complet", "Not Requir")</f>
        <v>Not Required</v>
      </c>
      <c r="AA281" s="98" t="str">
        <f t="shared" ref="AA281:AA342" si="339">IF(G281="","",G281)</f>
        <v xml:space="preserve">RE: WELLA | SITE ID LIST </v>
      </c>
      <c r="AB281" s="99"/>
      <c r="AF281" s="84" t="str">
        <f t="shared" si="312"/>
        <v/>
      </c>
      <c r="AH281" s="84" t="str">
        <f t="shared" si="293"/>
        <v>PL_0_CR_0_AD_0_Jira_0_</v>
      </c>
      <c r="AI281" s="84" t="str">
        <f t="shared" si="294"/>
        <v/>
      </c>
      <c r="AJ281" s="84" t="str">
        <f>IF(Z281&lt;&gt;"Done","",(_xlfn.CONCAT("PL_",DigitasUKAdOp_26Team[[#This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82" spans="1:36" ht="15.75" customHeight="1" x14ac:dyDescent="0.3">
      <c r="A282" s="85" t="str">
        <f t="shared" ref="A282" si="340">IF(B282="","",TEXT(B282,"MMM : DDDD"))</f>
        <v>Mar : Thursday</v>
      </c>
      <c r="B282" s="86">
        <v>46093</v>
      </c>
      <c r="C282" s="87" t="s">
        <v>318</v>
      </c>
      <c r="D282" s="88" t="s">
        <v>435</v>
      </c>
      <c r="E282" s="87" t="s">
        <v>428</v>
      </c>
      <c r="F282" s="88" t="s">
        <v>450</v>
      </c>
      <c r="G282" s="88" t="s">
        <v>618</v>
      </c>
      <c r="H282" s="87" t="s">
        <v>443</v>
      </c>
      <c r="I282" s="87" t="s">
        <v>431</v>
      </c>
      <c r="J282" s="88">
        <v>0</v>
      </c>
      <c r="K282" s="88">
        <v>0</v>
      </c>
      <c r="L282" s="88">
        <v>0</v>
      </c>
      <c r="M282" s="89">
        <v>46093</v>
      </c>
      <c r="N282" s="88">
        <v>0.5</v>
      </c>
      <c r="O282" s="90" t="s">
        <v>432</v>
      </c>
      <c r="Q282" s="91">
        <f t="shared" si="325"/>
        <v>11</v>
      </c>
      <c r="R282" s="91" t="str">
        <f t="shared" si="326"/>
        <v>Mar</v>
      </c>
      <c r="S282" s="92" t="str">
        <f t="shared" si="310"/>
        <v>Thursday</v>
      </c>
      <c r="T282" s="93" t="s">
        <v>431</v>
      </c>
      <c r="U282" s="94" t="s">
        <v>444</v>
      </c>
      <c r="W282" s="95">
        <v>0</v>
      </c>
      <c r="X282" s="96"/>
      <c r="Y282" s="97">
        <f t="shared" si="273"/>
        <v>46093</v>
      </c>
      <c r="Z282" s="98" t="str">
        <f>SUBSTITUTE('Digitas UK Task 26'!$O282, "Complet", "Not Requir")</f>
        <v>Not Required</v>
      </c>
      <c r="AA282" s="98" t="str">
        <f t="shared" si="339"/>
        <v xml:space="preserve">RE: WELLA | SITE ID LIST </v>
      </c>
      <c r="AB282" s="99"/>
      <c r="AF282" s="84" t="str">
        <f t="shared" si="312"/>
        <v/>
      </c>
      <c r="AH282" s="84" t="str">
        <f t="shared" si="293"/>
        <v>PL_0_CR_0_AD_0_Jira_0_</v>
      </c>
      <c r="AI282" s="84" t="str">
        <f t="shared" si="294"/>
        <v/>
      </c>
      <c r="AJ282" s="84" t="str">
        <f>IF(Z282&lt;&gt;"Done","",(_xlfn.CONCAT("PL_",DigitasUKAdOp_26Team[[#This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83" spans="1:36" ht="15.75" customHeight="1" x14ac:dyDescent="0.3">
      <c r="A283" s="85" t="str">
        <f t="shared" si="338"/>
        <v>Mar : Thursday</v>
      </c>
      <c r="B283" s="86">
        <v>46093</v>
      </c>
      <c r="C283" s="87" t="s">
        <v>318</v>
      </c>
      <c r="D283" s="88" t="s">
        <v>431</v>
      </c>
      <c r="E283" s="87" t="s">
        <v>428</v>
      </c>
      <c r="F283" s="88" t="s">
        <v>450</v>
      </c>
      <c r="G283" s="88" t="s">
        <v>619</v>
      </c>
      <c r="H283" s="87" t="s">
        <v>521</v>
      </c>
      <c r="I283" s="87" t="s">
        <v>431</v>
      </c>
      <c r="J283" s="88">
        <v>0</v>
      </c>
      <c r="K283" s="88">
        <v>0</v>
      </c>
      <c r="L283" s="88">
        <v>0</v>
      </c>
      <c r="M283" s="89">
        <v>46093</v>
      </c>
      <c r="N283" s="88">
        <v>3</v>
      </c>
      <c r="O283" s="90" t="s">
        <v>432</v>
      </c>
      <c r="Q283" s="91">
        <f t="shared" si="325"/>
        <v>11</v>
      </c>
      <c r="R283" s="91" t="str">
        <f t="shared" si="326"/>
        <v>Mar</v>
      </c>
      <c r="S283" s="92" t="str">
        <f t="shared" si="310"/>
        <v>Thursday</v>
      </c>
      <c r="T283" s="93" t="s">
        <v>431</v>
      </c>
      <c r="U283" s="94" t="s">
        <v>444</v>
      </c>
      <c r="W283" s="95">
        <v>0</v>
      </c>
      <c r="X283" s="96"/>
      <c r="Y283" s="97">
        <f t="shared" si="273"/>
        <v>46093</v>
      </c>
      <c r="Z283" s="98" t="str">
        <f>SUBSTITUTE('Digitas UK Task 26'!$O283, "Complet", "Not Requir")</f>
        <v>Not Required</v>
      </c>
      <c r="AA283" s="98" t="str">
        <f t="shared" si="339"/>
        <v>Wella Display Process doc Display</v>
      </c>
      <c r="AB283" s="99"/>
      <c r="AF283" s="84" t="str">
        <f t="shared" si="312"/>
        <v/>
      </c>
      <c r="AH283" s="84" t="str">
        <f t="shared" si="293"/>
        <v>PL_0_CR_0_AD_0_Jira_0_</v>
      </c>
      <c r="AI283" s="84" t="str">
        <f t="shared" si="294"/>
        <v/>
      </c>
      <c r="AJ283" s="84" t="str">
        <f>IF(Z283&lt;&gt;"Done","",(_xlfn.CONCAT("PL_",DigitasUKAdOp_26Team[[#This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84" spans="1:36" ht="15.75" customHeight="1" x14ac:dyDescent="0.3">
      <c r="A284" s="85" t="str">
        <f t="shared" ref="A284" si="341">IF(B284="","",TEXT(B284,"MMM : DDDD"))</f>
        <v>Mar : Thursday</v>
      </c>
      <c r="B284" s="86">
        <v>46093</v>
      </c>
      <c r="C284" s="87" t="s">
        <v>325</v>
      </c>
      <c r="D284" s="88" t="s">
        <v>481</v>
      </c>
      <c r="E284" s="87" t="s">
        <v>428</v>
      </c>
      <c r="F284" s="88" t="s">
        <v>450</v>
      </c>
      <c r="G284" s="88" t="s">
        <v>613</v>
      </c>
      <c r="H284" s="87" t="s">
        <v>443</v>
      </c>
      <c r="I284" s="87" t="s">
        <v>250</v>
      </c>
      <c r="J284" s="88">
        <v>0</v>
      </c>
      <c r="K284" s="88">
        <v>0</v>
      </c>
      <c r="L284" s="88">
        <v>0</v>
      </c>
      <c r="M284" s="89">
        <v>46093</v>
      </c>
      <c r="N284" s="88">
        <v>1</v>
      </c>
      <c r="O284" s="90" t="s">
        <v>432</v>
      </c>
      <c r="Q284" s="91">
        <f t="shared" si="325"/>
        <v>11</v>
      </c>
      <c r="R284" s="91" t="str">
        <f t="shared" si="326"/>
        <v>Mar</v>
      </c>
      <c r="S284" s="92" t="str">
        <f t="shared" si="310"/>
        <v>Thursday</v>
      </c>
      <c r="T284" s="93" t="s">
        <v>250</v>
      </c>
      <c r="U284" s="94" t="s">
        <v>444</v>
      </c>
      <c r="W284" s="95">
        <v>0</v>
      </c>
      <c r="X284" s="96"/>
      <c r="Y284" s="97">
        <f t="shared" si="273"/>
        <v>46093</v>
      </c>
      <c r="Z284" s="98" t="str">
        <f>SUBSTITUTE('Digitas UK Task 26'!$O284, "Complet", "Not Requir")</f>
        <v>Not Required</v>
      </c>
      <c r="AA284" s="98" t="str">
        <f t="shared" si="339"/>
        <v>Cathay Pacific - Spring Sale 2026 - trafficking</v>
      </c>
      <c r="AB284" s="99"/>
      <c r="AF284" s="84" t="str">
        <f t="shared" si="312"/>
        <v/>
      </c>
      <c r="AH284" s="84" t="str">
        <f t="shared" si="293"/>
        <v>PL_0_CR_0_AD_0_Jira_0_</v>
      </c>
      <c r="AI284" s="84" t="str">
        <f t="shared" si="294"/>
        <v/>
      </c>
      <c r="AJ284" s="84" t="str">
        <f>IF(Z284&lt;&gt;"Done","",(_xlfn.CONCAT("PL_",DigitasUKAdOp_26Team[[#This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85" spans="1:36" ht="15.75" customHeight="1" x14ac:dyDescent="0.3">
      <c r="A285" s="85" t="str">
        <f t="shared" ref="A285" si="342">IF(B285="","",TEXT(B285,"MMM : DDDD"))</f>
        <v>Mar : Thursday</v>
      </c>
      <c r="B285" s="86">
        <v>46093</v>
      </c>
      <c r="C285" s="87" t="s">
        <v>325</v>
      </c>
      <c r="D285" s="88" t="s">
        <v>481</v>
      </c>
      <c r="E285" s="87" t="s">
        <v>428</v>
      </c>
      <c r="F285" s="88" t="s">
        <v>450</v>
      </c>
      <c r="G285" s="88" t="s">
        <v>613</v>
      </c>
      <c r="H285" s="87" t="s">
        <v>443</v>
      </c>
      <c r="I285" s="87" t="s">
        <v>246</v>
      </c>
      <c r="J285" s="88">
        <v>0</v>
      </c>
      <c r="K285" s="88">
        <v>0</v>
      </c>
      <c r="L285" s="88">
        <v>0</v>
      </c>
      <c r="M285" s="89">
        <v>46093</v>
      </c>
      <c r="N285" s="88">
        <v>1</v>
      </c>
      <c r="O285" s="90" t="s">
        <v>432</v>
      </c>
      <c r="Q285" s="91">
        <f t="shared" si="325"/>
        <v>11</v>
      </c>
      <c r="R285" s="91" t="str">
        <f t="shared" si="326"/>
        <v>Mar</v>
      </c>
      <c r="S285" s="92" t="str">
        <f t="shared" si="310"/>
        <v>Thursday</v>
      </c>
      <c r="T285" s="93" t="s">
        <v>246</v>
      </c>
      <c r="U285" s="94" t="s">
        <v>444</v>
      </c>
      <c r="W285" s="95">
        <v>0</v>
      </c>
      <c r="X285" s="96"/>
      <c r="Y285" s="97">
        <f t="shared" ref="Y285:Y348" si="343">IF(M285="","",M285)</f>
        <v>46093</v>
      </c>
      <c r="Z285" s="98" t="str">
        <f>SUBSTITUTE('Digitas UK Task 26'!$O285, "Complet", "Not Requir")</f>
        <v>Not Required</v>
      </c>
      <c r="AA285" s="98" t="str">
        <f t="shared" si="339"/>
        <v>Cathay Pacific - Spring Sale 2026 - trafficking</v>
      </c>
      <c r="AB285" s="99"/>
      <c r="AF285" s="84" t="str">
        <f t="shared" si="312"/>
        <v/>
      </c>
      <c r="AH285" s="84" t="str">
        <f t="shared" si="293"/>
        <v>PL_0_CR_0_AD_0_Jira_0_</v>
      </c>
      <c r="AI285" s="84" t="str">
        <f t="shared" si="294"/>
        <v/>
      </c>
      <c r="AJ285" s="84" t="str">
        <f>IF(Z285&lt;&gt;"Done","",(_xlfn.CONCAT("PL_",DigitasUKAdOp_26Team[[#This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86" spans="1:36" ht="15.75" customHeight="1" x14ac:dyDescent="0.3">
      <c r="A286" s="103" t="str">
        <f t="shared" si="338"/>
        <v>Mar : Friday</v>
      </c>
      <c r="B286" s="86">
        <v>46094</v>
      </c>
      <c r="C286" s="87" t="s">
        <v>334</v>
      </c>
      <c r="D286" s="88" t="s">
        <v>616</v>
      </c>
      <c r="E286" s="87" t="s">
        <v>428</v>
      </c>
      <c r="F286" s="88" t="s">
        <v>471</v>
      </c>
      <c r="G286" s="88" t="s">
        <v>617</v>
      </c>
      <c r="H286" s="87" t="s">
        <v>269</v>
      </c>
      <c r="I286" s="105" t="s">
        <v>246</v>
      </c>
      <c r="J286" s="88">
        <v>160</v>
      </c>
      <c r="K286" s="88">
        <v>160</v>
      </c>
      <c r="L286" s="88">
        <v>160</v>
      </c>
      <c r="M286" s="89">
        <v>46093</v>
      </c>
      <c r="N286" s="104">
        <v>4</v>
      </c>
      <c r="O286" s="90" t="s">
        <v>432</v>
      </c>
      <c r="P286" s="104"/>
      <c r="Q286" s="91">
        <f t="shared" si="325"/>
        <v>11</v>
      </c>
      <c r="R286" s="91" t="str">
        <f t="shared" si="326"/>
        <v>Mar</v>
      </c>
      <c r="S286" s="92" t="str">
        <f t="shared" si="310"/>
        <v>Friday</v>
      </c>
      <c r="T286" s="93" t="s">
        <v>250</v>
      </c>
      <c r="U286" s="94" t="s">
        <v>433</v>
      </c>
      <c r="V286" s="106"/>
      <c r="W286" s="106">
        <v>2</v>
      </c>
      <c r="X286" s="107"/>
      <c r="Y286" s="97">
        <f t="shared" si="343"/>
        <v>46093</v>
      </c>
      <c r="Z286" s="108" t="str">
        <f>SUBSTITUTE('Digitas UK Task 26'!$O286, "Complet", "Not Requir")</f>
        <v>Not Required</v>
      </c>
      <c r="AA286" s="108" t="str">
        <f t="shared" si="339"/>
        <v>Klaviyo EMEA - Trafficking Request - Gozney, Folk Clothing Display, Killstar, Dermalogica - Display - Q1 2026</v>
      </c>
      <c r="AB286" s="99"/>
      <c r="AF286" s="84" t="str">
        <f t="shared" si="312"/>
        <v/>
      </c>
      <c r="AH286" s="84" t="str">
        <f t="shared" si="293"/>
        <v>PL_160_CR_160_AD_160_Jira_0_</v>
      </c>
      <c r="AI286" s="84" t="str">
        <f t="shared" si="294"/>
        <v>PL_160_CR_160_AD_160_Jira_0_</v>
      </c>
      <c r="AJ286" s="84" t="str">
        <f>IF(Z286&lt;&gt;"Done","",(_xlfn.CONCAT("PL_",DigitasUKAdOp_26Team[[#This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87" spans="1:36" ht="15.75" customHeight="1" x14ac:dyDescent="0.3">
      <c r="A287" s="85" t="str">
        <f t="shared" si="338"/>
        <v>Mar : Friday</v>
      </c>
      <c r="B287" s="86">
        <v>46094</v>
      </c>
      <c r="C287" s="87" t="s">
        <v>325</v>
      </c>
      <c r="D287" s="88" t="s">
        <v>481</v>
      </c>
      <c r="E287" s="87" t="s">
        <v>428</v>
      </c>
      <c r="F287" s="88" t="s">
        <v>620</v>
      </c>
      <c r="G287" s="88" t="s">
        <v>613</v>
      </c>
      <c r="H287" s="87" t="s">
        <v>269</v>
      </c>
      <c r="I287" s="87" t="s">
        <v>237</v>
      </c>
      <c r="J287" s="88">
        <v>300</v>
      </c>
      <c r="K287" s="88">
        <v>300</v>
      </c>
      <c r="L287" s="88">
        <v>300</v>
      </c>
      <c r="M287" s="89">
        <v>46119</v>
      </c>
      <c r="N287" s="88">
        <v>6</v>
      </c>
      <c r="O287" s="90" t="s">
        <v>432</v>
      </c>
      <c r="Q287" s="91">
        <f t="shared" si="325"/>
        <v>11</v>
      </c>
      <c r="R287" s="91" t="str">
        <f t="shared" si="326"/>
        <v>Mar</v>
      </c>
      <c r="S287" s="92" t="str">
        <f t="shared" si="310"/>
        <v>Friday</v>
      </c>
      <c r="T287" s="93" t="s">
        <v>250</v>
      </c>
      <c r="U287" s="94" t="s">
        <v>433</v>
      </c>
      <c r="W287" s="95">
        <v>4</v>
      </c>
      <c r="X287" s="96"/>
      <c r="Y287" s="97">
        <f t="shared" si="343"/>
        <v>46119</v>
      </c>
      <c r="Z287" s="98" t="str">
        <f>SUBSTITUTE('Digitas UK Task 26'!$O287, "Complet", "Not Requir")</f>
        <v>Not Required</v>
      </c>
      <c r="AA287" s="98" t="str">
        <f t="shared" si="339"/>
        <v>Cathay Pacific - Spring Sale 2026 - trafficking</v>
      </c>
      <c r="AB287" s="99"/>
      <c r="AF287" s="84" t="str">
        <f t="shared" si="312"/>
        <v/>
      </c>
      <c r="AH287" s="84" t="str">
        <f t="shared" si="293"/>
        <v>PL_300_CR_300_AD_300_Jira_0_</v>
      </c>
      <c r="AI287" s="84" t="str">
        <f t="shared" si="294"/>
        <v>PL_300_CR_300_AD_300_Jira_0_</v>
      </c>
      <c r="AJ287" s="84" t="str">
        <f>IF(Z287&lt;&gt;"Done","",(_xlfn.CONCAT("PL_",DigitasUKAdOp_26Team[[#This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88" spans="1:36" ht="15.75" customHeight="1" x14ac:dyDescent="0.3">
      <c r="A288" s="85" t="str">
        <f t="shared" si="338"/>
        <v>Mar : Friday</v>
      </c>
      <c r="B288" s="86">
        <v>46094</v>
      </c>
      <c r="C288" s="87" t="s">
        <v>318</v>
      </c>
      <c r="D288" s="88" t="s">
        <v>435</v>
      </c>
      <c r="E288" s="87" t="s">
        <v>428</v>
      </c>
      <c r="F288" s="88" t="s">
        <v>621</v>
      </c>
      <c r="G288" s="88" t="s">
        <v>622</v>
      </c>
      <c r="H288" s="87" t="s">
        <v>269</v>
      </c>
      <c r="I288" s="87" t="s">
        <v>431</v>
      </c>
      <c r="J288" s="88">
        <v>10</v>
      </c>
      <c r="K288" s="88">
        <v>10</v>
      </c>
      <c r="L288" s="88">
        <v>10</v>
      </c>
      <c r="M288" s="89">
        <v>46094</v>
      </c>
      <c r="N288" s="88">
        <v>1</v>
      </c>
      <c r="O288" s="90" t="s">
        <v>432</v>
      </c>
      <c r="Q288" s="91">
        <f t="shared" si="325"/>
        <v>11</v>
      </c>
      <c r="R288" s="91" t="str">
        <f t="shared" si="326"/>
        <v>Mar</v>
      </c>
      <c r="S288" s="92" t="str">
        <f t="shared" si="310"/>
        <v>Friday</v>
      </c>
      <c r="T288" s="93" t="s">
        <v>250</v>
      </c>
      <c r="U288" s="94" t="s">
        <v>433</v>
      </c>
      <c r="W288" s="95">
        <v>0.5</v>
      </c>
      <c r="X288" s="96"/>
      <c r="Y288" s="97">
        <f t="shared" si="343"/>
        <v>46094</v>
      </c>
      <c r="Z288" s="98" t="str">
        <f>SUBSTITUTE('Digitas UK Task 26'!$O288, "Complet", "Not Requir")</f>
        <v>Not Required</v>
      </c>
      <c r="AA288" s="98" t="str">
        <f t="shared" si="339"/>
        <v>WELLA | FY26Q3 SEBASTIAN ITALY | TAG REQUEST</v>
      </c>
      <c r="AB288" s="99"/>
      <c r="AF288" s="84" t="str">
        <f t="shared" si="312"/>
        <v/>
      </c>
      <c r="AH288" s="84" t="str">
        <f t="shared" si="293"/>
        <v>PL_10_CR_10_AD_10_Jira_0_</v>
      </c>
      <c r="AI288" s="84" t="str">
        <f t="shared" si="294"/>
        <v>PL_10_CR_10_AD_10_Jira_0_</v>
      </c>
      <c r="AJ288" s="84" t="str">
        <f>IF(Z288&lt;&gt;"Done","",(_xlfn.CONCAT("PL_",DigitasUKAdOp_26Team[[#This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89" spans="1:36" ht="15.75" customHeight="1" x14ac:dyDescent="0.3">
      <c r="A289" s="85" t="str">
        <f t="shared" ref="A289" si="344">IF(B289="","",TEXT(B289,"MMM : DDDD"))</f>
        <v>Mar : Friday</v>
      </c>
      <c r="B289" s="86">
        <v>46094</v>
      </c>
      <c r="C289" s="87" t="s">
        <v>318</v>
      </c>
      <c r="D289" s="88" t="s">
        <v>435</v>
      </c>
      <c r="E289" s="87" t="s">
        <v>428</v>
      </c>
      <c r="F289" s="88" t="s">
        <v>621</v>
      </c>
      <c r="G289" s="88" t="s">
        <v>622</v>
      </c>
      <c r="H289" s="87" t="s">
        <v>443</v>
      </c>
      <c r="I289" s="87" t="s">
        <v>431</v>
      </c>
      <c r="J289" s="88">
        <v>0</v>
      </c>
      <c r="K289" s="88">
        <v>0</v>
      </c>
      <c r="L289" s="88">
        <v>0</v>
      </c>
      <c r="M289" s="89">
        <v>46094</v>
      </c>
      <c r="N289" s="88">
        <v>0.5</v>
      </c>
      <c r="O289" s="90" t="s">
        <v>432</v>
      </c>
      <c r="Q289" s="91">
        <f t="shared" si="325"/>
        <v>11</v>
      </c>
      <c r="R289" s="91" t="str">
        <f t="shared" si="326"/>
        <v>Mar</v>
      </c>
      <c r="S289" s="92" t="str">
        <f t="shared" si="310"/>
        <v>Friday</v>
      </c>
      <c r="T289" s="93" t="s">
        <v>431</v>
      </c>
      <c r="U289" s="94" t="s">
        <v>444</v>
      </c>
      <c r="W289" s="95">
        <v>0</v>
      </c>
      <c r="X289" s="96"/>
      <c r="Y289" s="97">
        <f t="shared" si="343"/>
        <v>46094</v>
      </c>
      <c r="Z289" s="98" t="str">
        <f>SUBSTITUTE('Digitas UK Task 26'!$O289, "Complet", "Not Requir")</f>
        <v>Not Required</v>
      </c>
      <c r="AA289" s="98" t="str">
        <f t="shared" si="339"/>
        <v>WELLA | FY26Q3 SEBASTIAN ITALY | TAG REQUEST</v>
      </c>
      <c r="AB289" s="99"/>
      <c r="AF289" s="84" t="str">
        <f t="shared" si="312"/>
        <v/>
      </c>
      <c r="AH289" s="84" t="str">
        <f t="shared" si="293"/>
        <v>PL_0_CR_0_AD_0_Jira_0_</v>
      </c>
      <c r="AI289" s="84" t="str">
        <f t="shared" si="294"/>
        <v/>
      </c>
      <c r="AJ289" s="84" t="str">
        <f>IF(Z289&lt;&gt;"Done","",(_xlfn.CONCAT("PL_",DigitasUKAdOp_26Team[[#This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90" spans="1:36" ht="15.75" customHeight="1" x14ac:dyDescent="0.3">
      <c r="A290" s="85" t="str">
        <f t="shared" si="338"/>
        <v>Mar : Friday</v>
      </c>
      <c r="B290" s="86">
        <v>46094</v>
      </c>
      <c r="C290" s="87" t="s">
        <v>318</v>
      </c>
      <c r="D290" s="88" t="s">
        <v>435</v>
      </c>
      <c r="E290" s="87" t="s">
        <v>428</v>
      </c>
      <c r="F290" s="88" t="s">
        <v>623</v>
      </c>
      <c r="G290" s="88" t="s">
        <v>624</v>
      </c>
      <c r="H290" s="87" t="s">
        <v>443</v>
      </c>
      <c r="I290" s="87" t="s">
        <v>250</v>
      </c>
      <c r="J290" s="88">
        <v>0</v>
      </c>
      <c r="K290" s="88">
        <v>0</v>
      </c>
      <c r="L290" s="88">
        <v>0</v>
      </c>
      <c r="M290" s="89">
        <v>46094</v>
      </c>
      <c r="N290" s="88">
        <v>0.5</v>
      </c>
      <c r="O290" s="90" t="s">
        <v>432</v>
      </c>
      <c r="Q290" s="91">
        <f t="shared" si="325"/>
        <v>11</v>
      </c>
      <c r="R290" s="91" t="str">
        <f t="shared" si="326"/>
        <v>Mar</v>
      </c>
      <c r="S290" s="92" t="str">
        <f t="shared" si="310"/>
        <v>Friday</v>
      </c>
      <c r="T290" s="93" t="s">
        <v>250</v>
      </c>
      <c r="U290" s="94" t="s">
        <v>444</v>
      </c>
      <c r="W290" s="95">
        <v>0</v>
      </c>
      <c r="X290" s="96"/>
      <c r="Y290" s="97">
        <f t="shared" si="343"/>
        <v>46094</v>
      </c>
      <c r="Z290" s="98" t="str">
        <f>SUBSTITUTE('Digitas UK Task 26'!$O290, "Complet", "Not Requir")</f>
        <v>Not Required</v>
      </c>
      <c r="AA290" s="98" t="str">
        <f t="shared" si="339"/>
        <v>WELLA | FY26Q4 COLOR STRONG DACH | TAG REQUEST</v>
      </c>
      <c r="AB290" s="99"/>
      <c r="AF290" s="84" t="str">
        <f t="shared" si="312"/>
        <v/>
      </c>
      <c r="AH290" s="84" t="str">
        <f t="shared" si="293"/>
        <v>PL_0_CR_0_AD_0_Jira_0_</v>
      </c>
      <c r="AI290" s="84" t="str">
        <f t="shared" si="294"/>
        <v/>
      </c>
      <c r="AJ290" s="84" t="str">
        <f>IF(Z290&lt;&gt;"Done","",(_xlfn.CONCAT("PL_",DigitasUKAdOp_26Team[[#This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91" spans="1:36" ht="15.75" customHeight="1" x14ac:dyDescent="0.3">
      <c r="A291" s="85" t="str">
        <f t="shared" ref="A291:A293" si="345">IF(B291="","",TEXT(B291,"MMM : DDDD"))</f>
        <v>Mar : Friday</v>
      </c>
      <c r="B291" s="86">
        <v>46094</v>
      </c>
      <c r="C291" s="87" t="s">
        <v>318</v>
      </c>
      <c r="D291" s="88" t="s">
        <v>435</v>
      </c>
      <c r="E291" s="87" t="s">
        <v>428</v>
      </c>
      <c r="F291" s="88" t="s">
        <v>623</v>
      </c>
      <c r="G291" s="88" t="s">
        <v>624</v>
      </c>
      <c r="H291" s="87" t="s">
        <v>269</v>
      </c>
      <c r="I291" s="87" t="s">
        <v>250</v>
      </c>
      <c r="J291" s="88">
        <v>3</v>
      </c>
      <c r="K291" s="88">
        <v>3</v>
      </c>
      <c r="L291" s="88">
        <v>3</v>
      </c>
      <c r="M291" s="89">
        <v>46094</v>
      </c>
      <c r="N291" s="88">
        <v>0.5</v>
      </c>
      <c r="O291" s="90" t="str">
        <f t="shared" ref="O291" si="346">IF(F291="","","In-process")</f>
        <v>In-process</v>
      </c>
      <c r="Q291" s="91">
        <f t="shared" si="325"/>
        <v>11</v>
      </c>
      <c r="R291" s="91" t="str">
        <f t="shared" si="326"/>
        <v>Mar</v>
      </c>
      <c r="S291" s="92" t="str">
        <f t="shared" si="310"/>
        <v>Friday</v>
      </c>
      <c r="T291" s="93" t="s">
        <v>237</v>
      </c>
      <c r="U291" s="94" t="s">
        <v>433</v>
      </c>
      <c r="W291" s="95">
        <v>0.25</v>
      </c>
      <c r="X291" s="96"/>
      <c r="Y291" s="97">
        <f t="shared" si="343"/>
        <v>46094</v>
      </c>
      <c r="Z291" s="98" t="s">
        <v>444</v>
      </c>
      <c r="AA291" s="98" t="str">
        <f t="shared" si="339"/>
        <v>WELLA | FY26Q4 COLOR STRONG DACH | TAG REQUEST</v>
      </c>
      <c r="AB291" s="99"/>
      <c r="AF291" s="84" t="str">
        <f t="shared" si="312"/>
        <v/>
      </c>
      <c r="AH291" s="84" t="str">
        <f t="shared" si="293"/>
        <v>PL_3_CR_3_AD_3_Jira_0_</v>
      </c>
      <c r="AI291" s="84" t="str">
        <f t="shared" si="294"/>
        <v>PL_3_CR_3_AD_3_Jira_0_</v>
      </c>
      <c r="AJ291" s="84" t="str">
        <f>IF(Z291&lt;&gt;"Done","",(_xlfn.CONCAT("PL_",DigitasUKAdOp_26Team[[#This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92" spans="1:36" ht="15.75" customHeight="1" x14ac:dyDescent="0.3">
      <c r="A292" s="85" t="str">
        <f t="shared" si="345"/>
        <v>Mar : Friday</v>
      </c>
      <c r="B292" s="86">
        <v>46094</v>
      </c>
      <c r="C292" s="87" t="s">
        <v>325</v>
      </c>
      <c r="D292" s="88" t="s">
        <v>481</v>
      </c>
      <c r="E292" s="87" t="s">
        <v>428</v>
      </c>
      <c r="F292" s="88" t="s">
        <v>620</v>
      </c>
      <c r="G292" s="88" t="s">
        <v>613</v>
      </c>
      <c r="H292" s="87" t="s">
        <v>443</v>
      </c>
      <c r="I292" s="87" t="s">
        <v>237</v>
      </c>
      <c r="J292" s="88">
        <v>0</v>
      </c>
      <c r="K292" s="88">
        <v>0</v>
      </c>
      <c r="L292" s="88">
        <v>0</v>
      </c>
      <c r="M292" s="89">
        <v>46094</v>
      </c>
      <c r="N292" s="88">
        <v>1.5</v>
      </c>
      <c r="O292" s="90" t="s">
        <v>432</v>
      </c>
      <c r="Q292" s="91">
        <f t="shared" ref="Q292" si="347">IF(B292="","",WEEKNUM(B292))</f>
        <v>11</v>
      </c>
      <c r="R292" s="91" t="str">
        <f t="shared" ref="R292" si="348">IF(B292="","",TEXT(B292,"MMM"))</f>
        <v>Mar</v>
      </c>
      <c r="S292" s="92" t="str">
        <f t="shared" ref="S292" si="349">IF(B292="","",TEXT(B292,"DDDD"))</f>
        <v>Friday</v>
      </c>
      <c r="T292" s="93" t="s">
        <v>237</v>
      </c>
      <c r="U292" s="94" t="s">
        <v>444</v>
      </c>
      <c r="W292" s="95">
        <v>0</v>
      </c>
      <c r="X292" s="96"/>
      <c r="Y292" s="97">
        <f t="shared" ref="Y292" si="350">IF(M292="","",M292)</f>
        <v>46094</v>
      </c>
      <c r="Z292" s="98" t="str">
        <f>SUBSTITUTE('Digitas UK Task 26'!$O292, "Complet", "Not Requir")</f>
        <v>Not Required</v>
      </c>
      <c r="AA292" s="98" t="str">
        <f t="shared" ref="AA292" si="351">IF(G292="","",G292)</f>
        <v>Cathay Pacific - Spring Sale 2026 - trafficking</v>
      </c>
      <c r="AB292" s="99"/>
      <c r="AF292" s="84" t="str">
        <f t="shared" ref="AF292" si="352">IF(AD292="","",WEEKNUM(AD292))</f>
        <v/>
      </c>
      <c r="AH292" s="84" t="str">
        <f t="shared" si="293"/>
        <v>PL_0_CR_0_AD_0_Jira_0_</v>
      </c>
      <c r="AI292" s="84" t="str">
        <f t="shared" si="294"/>
        <v/>
      </c>
      <c r="AJ292" s="84" t="str">
        <f>IF(Z292&lt;&gt;"Done","",(_xlfn.CONCAT("PL_",DigitasUKAdOp_26Team[[#This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93" spans="1:36" ht="15.75" customHeight="1" x14ac:dyDescent="0.3">
      <c r="A293" s="85" t="str">
        <f t="shared" si="345"/>
        <v>Mar : Friday</v>
      </c>
      <c r="B293" s="86">
        <v>46094</v>
      </c>
      <c r="C293" s="87" t="s">
        <v>318</v>
      </c>
      <c r="D293" s="88" t="s">
        <v>435</v>
      </c>
      <c r="E293" s="87" t="s">
        <v>428</v>
      </c>
      <c r="F293" s="88" t="s">
        <v>625</v>
      </c>
      <c r="G293" s="88" t="s">
        <v>550</v>
      </c>
      <c r="H293" s="87" t="s">
        <v>443</v>
      </c>
      <c r="I293" s="87" t="s">
        <v>431</v>
      </c>
      <c r="J293" s="88">
        <v>0</v>
      </c>
      <c r="K293" s="88">
        <v>0</v>
      </c>
      <c r="L293" s="88">
        <v>0</v>
      </c>
      <c r="M293" s="89">
        <v>46094</v>
      </c>
      <c r="N293" s="88">
        <v>0.5</v>
      </c>
      <c r="O293" s="90" t="s">
        <v>432</v>
      </c>
      <c r="Q293" s="91">
        <f t="shared" si="325"/>
        <v>11</v>
      </c>
      <c r="R293" s="91" t="str">
        <f t="shared" si="326"/>
        <v>Mar</v>
      </c>
      <c r="S293" s="92" t="str">
        <f t="shared" si="310"/>
        <v>Friday</v>
      </c>
      <c r="T293" s="93" t="s">
        <v>431</v>
      </c>
      <c r="U293" s="94" t="s">
        <v>444</v>
      </c>
      <c r="W293" s="95">
        <v>0</v>
      </c>
      <c r="X293" s="96"/>
      <c r="Y293" s="97">
        <f t="shared" si="343"/>
        <v>46094</v>
      </c>
      <c r="Z293" s="98" t="str">
        <f>SUBSTITUTE('Digitas UK Task 26'!$O293, "Complet", "Not Requir")</f>
        <v>Not Required</v>
      </c>
      <c r="AA293" s="98" t="str">
        <f t="shared" si="339"/>
        <v>RE: WELLA | FY26Q3 ULTIMATE COLOR - ITALY | TAG REQUEST</v>
      </c>
      <c r="AB293" s="99"/>
      <c r="AF293" s="84" t="str">
        <f t="shared" si="312"/>
        <v/>
      </c>
      <c r="AH293" s="84" t="str">
        <f t="shared" si="293"/>
        <v>PL_0_CR_0_AD_0_Jira_0_</v>
      </c>
      <c r="AI293" s="84" t="str">
        <f t="shared" si="294"/>
        <v/>
      </c>
      <c r="AJ293" s="84" t="str">
        <f>IF(Z293&lt;&gt;"Done","",(_xlfn.CONCAT("PL_",DigitasUKAdOp_26Team[[#This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94" spans="1:36" ht="15.75" customHeight="1" x14ac:dyDescent="0.3">
      <c r="A294" s="85" t="str">
        <f t="shared" ref="A294" si="353">IF(B294="","",TEXT(B294,"MMM : DDDD"))</f>
        <v>Mar : Friday</v>
      </c>
      <c r="B294" s="86">
        <v>46094</v>
      </c>
      <c r="C294" s="87" t="s">
        <v>318</v>
      </c>
      <c r="D294" s="88" t="s">
        <v>435</v>
      </c>
      <c r="E294" s="87" t="s">
        <v>428</v>
      </c>
      <c r="F294" s="88" t="s">
        <v>625</v>
      </c>
      <c r="G294" s="88" t="s">
        <v>550</v>
      </c>
      <c r="H294" s="87" t="s">
        <v>269</v>
      </c>
      <c r="I294" s="87" t="s">
        <v>431</v>
      </c>
      <c r="J294" s="88">
        <v>2</v>
      </c>
      <c r="K294" s="88">
        <v>2</v>
      </c>
      <c r="L294" s="88">
        <v>2</v>
      </c>
      <c r="M294" s="89">
        <v>46094</v>
      </c>
      <c r="N294" s="88">
        <v>0.5</v>
      </c>
      <c r="O294" s="90" t="s">
        <v>432</v>
      </c>
      <c r="Q294" s="91">
        <f t="shared" si="325"/>
        <v>11</v>
      </c>
      <c r="R294" s="91" t="str">
        <f t="shared" si="326"/>
        <v>Mar</v>
      </c>
      <c r="S294" s="92" t="str">
        <f t="shared" si="310"/>
        <v>Friday</v>
      </c>
      <c r="T294" s="93" t="s">
        <v>237</v>
      </c>
      <c r="U294" s="94" t="s">
        <v>433</v>
      </c>
      <c r="V294" s="95" t="s">
        <v>626</v>
      </c>
      <c r="W294" s="95">
        <v>0.25</v>
      </c>
      <c r="X294" s="96"/>
      <c r="Y294" s="97">
        <f t="shared" si="343"/>
        <v>46094</v>
      </c>
      <c r="Z294" s="98" t="str">
        <f>SUBSTITUTE('Digitas UK Task 26'!$O294, "Complet", "Not Requir")</f>
        <v>Not Required</v>
      </c>
      <c r="AA294" s="98" t="str">
        <f t="shared" si="339"/>
        <v>RE: WELLA | FY26Q3 ULTIMATE COLOR - ITALY | TAG REQUEST</v>
      </c>
      <c r="AB294" s="99"/>
      <c r="AF294" s="84" t="str">
        <f t="shared" si="312"/>
        <v/>
      </c>
      <c r="AH294" s="84" t="str">
        <f t="shared" si="293"/>
        <v>PL_2_CR_2_AD_2_Jira_0_</v>
      </c>
      <c r="AI294" s="84" t="str">
        <f t="shared" si="294"/>
        <v>PL_2_CR_2_AD_2_Jira_0_</v>
      </c>
      <c r="AJ294" s="84" t="str">
        <f>IF(Z294&lt;&gt;"Done","",(_xlfn.CONCAT("PL_",DigitasUKAdOp_26Team[[#This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95" spans="1:36" ht="15.75" customHeight="1" x14ac:dyDescent="0.3">
      <c r="A295" s="85" t="str">
        <f t="shared" si="338"/>
        <v>Mar : Friday</v>
      </c>
      <c r="B295" s="86">
        <v>46094</v>
      </c>
      <c r="C295" s="87" t="s">
        <v>334</v>
      </c>
      <c r="D295" s="88" t="s">
        <v>465</v>
      </c>
      <c r="E295" s="87" t="s">
        <v>428</v>
      </c>
      <c r="F295" s="88" t="s">
        <v>469</v>
      </c>
      <c r="G295" s="88" t="s">
        <v>627</v>
      </c>
      <c r="H295" s="87" t="s">
        <v>269</v>
      </c>
      <c r="I295" s="87" t="s">
        <v>250</v>
      </c>
      <c r="J295" s="88">
        <v>3</v>
      </c>
      <c r="K295" s="88">
        <v>3</v>
      </c>
      <c r="L295" s="88">
        <v>3</v>
      </c>
      <c r="M295" s="89">
        <v>46094</v>
      </c>
      <c r="N295" s="88">
        <v>0.5</v>
      </c>
      <c r="O295" s="90" t="s">
        <v>432</v>
      </c>
      <c r="Q295" s="91">
        <f t="shared" si="325"/>
        <v>11</v>
      </c>
      <c r="R295" s="91" t="str">
        <f t="shared" si="326"/>
        <v>Mar</v>
      </c>
      <c r="S295" s="92" t="str">
        <f t="shared" si="310"/>
        <v>Friday</v>
      </c>
      <c r="T295" s="93" t="s">
        <v>246</v>
      </c>
      <c r="U295" s="94" t="s">
        <v>433</v>
      </c>
      <c r="W295" s="95">
        <v>0.25</v>
      </c>
      <c r="X295" s="96"/>
      <c r="Y295" s="97">
        <f t="shared" si="343"/>
        <v>46094</v>
      </c>
      <c r="Z295" s="98" t="str">
        <f>SUBSTITUTE('Digitas UK Task 26'!$O295, "Complet", "Not Requir")</f>
        <v>Not Required</v>
      </c>
      <c r="AA295" s="98" t="str">
        <f t="shared" si="339"/>
        <v>Klaviyo EMEA - Trafficking Request - FR Youtube Select - Q1 2026</v>
      </c>
      <c r="AB295" s="99"/>
      <c r="AF295" s="84" t="str">
        <f t="shared" si="312"/>
        <v/>
      </c>
      <c r="AH295" s="84" t="str">
        <f t="shared" si="293"/>
        <v>PL_3_CR_3_AD_3_Jira_0_</v>
      </c>
      <c r="AI295" s="84" t="str">
        <f t="shared" si="294"/>
        <v>PL_3_CR_3_AD_3_Jira_0_</v>
      </c>
      <c r="AJ295" s="84" t="str">
        <f>IF(Z295&lt;&gt;"Done","",(_xlfn.CONCAT("PL_",DigitasUKAdOp_26Team[[#This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96" spans="1:36" ht="15.75" customHeight="1" x14ac:dyDescent="0.3">
      <c r="A296" s="85" t="str">
        <f t="shared" ref="A296" si="354">IF(B296="","",TEXT(B296,"MMM : DDDD"))</f>
        <v>Mar : Friday</v>
      </c>
      <c r="B296" s="86">
        <v>46094</v>
      </c>
      <c r="C296" s="87" t="s">
        <v>318</v>
      </c>
      <c r="D296" s="88" t="s">
        <v>431</v>
      </c>
      <c r="E296" s="87" t="s">
        <v>428</v>
      </c>
      <c r="F296" s="88" t="s">
        <v>450</v>
      </c>
      <c r="G296" s="88" t="s">
        <v>628</v>
      </c>
      <c r="H296" s="87" t="s">
        <v>521</v>
      </c>
      <c r="I296" s="87" t="s">
        <v>431</v>
      </c>
      <c r="J296" s="88">
        <v>0</v>
      </c>
      <c r="K296" s="88">
        <v>0</v>
      </c>
      <c r="L296" s="88">
        <v>0</v>
      </c>
      <c r="M296" s="89">
        <v>46094</v>
      </c>
      <c r="N296" s="88">
        <v>3</v>
      </c>
      <c r="O296" s="90" t="s">
        <v>432</v>
      </c>
      <c r="Q296" s="91">
        <f t="shared" si="325"/>
        <v>11</v>
      </c>
      <c r="R296" s="91" t="str">
        <f t="shared" si="326"/>
        <v>Mar</v>
      </c>
      <c r="S296" s="92" t="str">
        <f t="shared" si="310"/>
        <v>Friday</v>
      </c>
      <c r="T296" s="93" t="s">
        <v>431</v>
      </c>
      <c r="U296" s="94" t="s">
        <v>444</v>
      </c>
      <c r="W296" s="95">
        <v>0</v>
      </c>
      <c r="X296" s="96"/>
      <c r="Y296" s="97">
        <f t="shared" si="343"/>
        <v>46094</v>
      </c>
      <c r="Z296" s="98" t="str">
        <f>SUBSTITUTE('Digitas UK Task 26'!$O296, "Complet", "Not Requir")</f>
        <v>Not Required</v>
      </c>
      <c r="AA296" s="98" t="str">
        <f t="shared" si="339"/>
        <v>Wella Display Process doc Video</v>
      </c>
      <c r="AB296" s="99"/>
      <c r="AF296" s="84" t="str">
        <f t="shared" si="312"/>
        <v/>
      </c>
      <c r="AH296" s="84" t="str">
        <f t="shared" si="293"/>
        <v>PL_0_CR_0_AD_0_Jira_0_</v>
      </c>
      <c r="AI296" s="84" t="str">
        <f t="shared" si="294"/>
        <v/>
      </c>
      <c r="AJ296" s="84" t="str">
        <f>IF(Z296&lt;&gt;"Done","",(_xlfn.CONCAT("PL_",DigitasUKAdOp_26Team[[#This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97" spans="1:36" ht="15.75" customHeight="1" x14ac:dyDescent="0.3">
      <c r="A297" s="85" t="str">
        <f t="shared" si="338"/>
        <v>Mar : Monday</v>
      </c>
      <c r="B297" s="86">
        <v>46097</v>
      </c>
      <c r="C297" s="87" t="s">
        <v>318</v>
      </c>
      <c r="D297" s="88" t="s">
        <v>435</v>
      </c>
      <c r="E297" s="87" t="s">
        <v>428</v>
      </c>
      <c r="F297" s="88" t="s">
        <v>461</v>
      </c>
      <c r="G297" s="88" t="s">
        <v>462</v>
      </c>
      <c r="H297" s="87" t="s">
        <v>269</v>
      </c>
      <c r="I297" s="87" t="s">
        <v>431</v>
      </c>
      <c r="J297" s="88">
        <v>39</v>
      </c>
      <c r="K297" s="88">
        <v>39</v>
      </c>
      <c r="L297" s="88">
        <v>39</v>
      </c>
      <c r="M297" s="89">
        <v>46097</v>
      </c>
      <c r="N297" s="88">
        <v>1</v>
      </c>
      <c r="O297" s="90" t="s">
        <v>432</v>
      </c>
      <c r="Q297" s="91">
        <f t="shared" si="325"/>
        <v>12</v>
      </c>
      <c r="R297" s="91" t="str">
        <f t="shared" si="326"/>
        <v>Mar</v>
      </c>
      <c r="S297" s="92" t="str">
        <f t="shared" si="310"/>
        <v>Monday</v>
      </c>
      <c r="T297" s="93" t="s">
        <v>237</v>
      </c>
      <c r="U297" s="94" t="s">
        <v>433</v>
      </c>
      <c r="W297" s="95">
        <v>0.75</v>
      </c>
      <c r="X297" s="96"/>
      <c r="Y297" s="97">
        <f t="shared" si="343"/>
        <v>46097</v>
      </c>
      <c r="Z297" s="98" t="str">
        <f>SUBSTITUTE('Digitas UK Task 26'!$O297, "Complet", "Not Requir")</f>
        <v>Not Required</v>
      </c>
      <c r="AA297" s="98" t="str">
        <f t="shared" si="339"/>
        <v>RE: WELLA | FY26Q3 ULTIMATE COLOR UK | TAG REQUEST</v>
      </c>
      <c r="AB297" s="99"/>
      <c r="AF297" s="84" t="str">
        <f t="shared" si="312"/>
        <v/>
      </c>
      <c r="AH297" s="84" t="str">
        <f t="shared" si="293"/>
        <v>PL_39_CR_39_AD_39_Jira_0_</v>
      </c>
      <c r="AI297" s="84" t="str">
        <f t="shared" si="294"/>
        <v>PL_39_CR_39_AD_39_Jira_0_</v>
      </c>
      <c r="AJ297" s="84" t="str">
        <f>IF(Z297&lt;&gt;"Done","",(_xlfn.CONCAT("PL_",DigitasUKAdOp_26Team[[#This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98" spans="1:36" ht="15.75" customHeight="1" x14ac:dyDescent="0.3">
      <c r="A298" s="85" t="str">
        <f t="shared" ref="A298" si="355">IF(B298="","",TEXT(B298,"MMM : DDDD"))</f>
        <v>Mar : Monday</v>
      </c>
      <c r="B298" s="86">
        <v>46097</v>
      </c>
      <c r="C298" s="87" t="s">
        <v>318</v>
      </c>
      <c r="D298" s="88" t="s">
        <v>435</v>
      </c>
      <c r="E298" s="87" t="s">
        <v>428</v>
      </c>
      <c r="F298" s="88" t="s">
        <v>461</v>
      </c>
      <c r="G298" s="88" t="s">
        <v>462</v>
      </c>
      <c r="H298" s="87" t="s">
        <v>443</v>
      </c>
      <c r="I298" s="87" t="s">
        <v>250</v>
      </c>
      <c r="J298" s="88">
        <v>0</v>
      </c>
      <c r="K298" s="88">
        <v>0</v>
      </c>
      <c r="L298" s="88">
        <v>0</v>
      </c>
      <c r="M298" s="89">
        <v>46097</v>
      </c>
      <c r="N298" s="88">
        <v>1</v>
      </c>
      <c r="O298" s="90" t="s">
        <v>432</v>
      </c>
      <c r="Q298" s="91">
        <f t="shared" si="325"/>
        <v>12</v>
      </c>
      <c r="R298" s="91" t="str">
        <f t="shared" si="326"/>
        <v>Mar</v>
      </c>
      <c r="S298" s="92" t="str">
        <f t="shared" si="310"/>
        <v>Monday</v>
      </c>
      <c r="T298" s="93" t="s">
        <v>250</v>
      </c>
      <c r="U298" s="94" t="s">
        <v>444</v>
      </c>
      <c r="W298" s="95">
        <v>0</v>
      </c>
      <c r="X298" s="96"/>
      <c r="Y298" s="97">
        <f t="shared" si="343"/>
        <v>46097</v>
      </c>
      <c r="Z298" s="98" t="str">
        <f>SUBSTITUTE('Digitas UK Task 26'!$O298, "Complet", "Not Requir")</f>
        <v>Not Required</v>
      </c>
      <c r="AA298" s="98" t="str">
        <f t="shared" si="339"/>
        <v>RE: WELLA | FY26Q3 ULTIMATE COLOR UK | TAG REQUEST</v>
      </c>
      <c r="AB298" s="99"/>
      <c r="AF298" s="84" t="str">
        <f t="shared" si="312"/>
        <v/>
      </c>
      <c r="AH298" s="84" t="str">
        <f t="shared" si="293"/>
        <v>PL_0_CR_0_AD_0_Jira_0_</v>
      </c>
      <c r="AI298" s="84" t="str">
        <f t="shared" si="294"/>
        <v/>
      </c>
      <c r="AJ298" s="84" t="str">
        <f>IF(Z298&lt;&gt;"Done","",(_xlfn.CONCAT("PL_",DigitasUKAdOp_26Team[[#This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299" spans="1:36" ht="15.75" customHeight="1" x14ac:dyDescent="0.3">
      <c r="A299" s="85" t="str">
        <f t="shared" ref="A299" si="356">IF(B299="","",TEXT(B299,"MMM : DDDD"))</f>
        <v>Mar : Monday</v>
      </c>
      <c r="B299" s="86">
        <v>46097</v>
      </c>
      <c r="C299" s="87" t="s">
        <v>334</v>
      </c>
      <c r="D299" s="88" t="s">
        <v>465</v>
      </c>
      <c r="E299" s="87" t="s">
        <v>428</v>
      </c>
      <c r="F299" s="88" t="s">
        <v>450</v>
      </c>
      <c r="G299" s="88" t="s">
        <v>617</v>
      </c>
      <c r="H299" s="87" t="s">
        <v>443</v>
      </c>
      <c r="I299" s="87" t="s">
        <v>250</v>
      </c>
      <c r="J299" s="88">
        <v>0</v>
      </c>
      <c r="K299" s="88">
        <v>0</v>
      </c>
      <c r="L299" s="88">
        <v>0</v>
      </c>
      <c r="M299" s="89">
        <v>46097</v>
      </c>
      <c r="N299" s="88">
        <v>1</v>
      </c>
      <c r="O299" s="90" t="s">
        <v>432</v>
      </c>
      <c r="Q299" s="91">
        <f t="shared" si="325"/>
        <v>12</v>
      </c>
      <c r="R299" s="91" t="str">
        <f t="shared" si="326"/>
        <v>Mar</v>
      </c>
      <c r="S299" s="92" t="str">
        <f t="shared" si="310"/>
        <v>Monday</v>
      </c>
      <c r="T299" s="93" t="s">
        <v>250</v>
      </c>
      <c r="U299" s="94" t="s">
        <v>444</v>
      </c>
      <c r="W299" s="95">
        <v>0</v>
      </c>
      <c r="X299" s="96"/>
      <c r="Y299" s="97">
        <f t="shared" si="343"/>
        <v>46097</v>
      </c>
      <c r="Z299" s="98" t="str">
        <f>SUBSTITUTE('Digitas UK Task 26'!$O299, "Complet", "Not Requir")</f>
        <v>Not Required</v>
      </c>
      <c r="AA299" s="98" t="str">
        <f t="shared" si="339"/>
        <v>Klaviyo EMEA - Trafficking Request - Gozney, Folk Clothing Display, Killstar, Dermalogica - Display - Q1 2026</v>
      </c>
      <c r="AB299" s="99"/>
      <c r="AF299" s="84" t="str">
        <f t="shared" si="312"/>
        <v/>
      </c>
      <c r="AH299" s="84" t="str">
        <f t="shared" si="293"/>
        <v>PL_0_CR_0_AD_0_Jira_0_</v>
      </c>
      <c r="AI299" s="84" t="str">
        <f t="shared" si="294"/>
        <v/>
      </c>
      <c r="AJ299" s="84" t="str">
        <f>IF(Z299&lt;&gt;"Done","",(_xlfn.CONCAT("PL_",DigitasUKAdOp_26Team[[#This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00" spans="1:36" ht="15.75" customHeight="1" x14ac:dyDescent="0.3">
      <c r="A300" s="85" t="str">
        <f t="shared" si="338"/>
        <v>Mar : Monday</v>
      </c>
      <c r="B300" s="86">
        <v>46097</v>
      </c>
      <c r="C300" s="87" t="s">
        <v>334</v>
      </c>
      <c r="D300" s="88" t="s">
        <v>431</v>
      </c>
      <c r="E300" s="87" t="s">
        <v>428</v>
      </c>
      <c r="F300" s="88" t="s">
        <v>450</v>
      </c>
      <c r="G300" s="88" t="s">
        <v>629</v>
      </c>
      <c r="H300" s="87" t="s">
        <v>521</v>
      </c>
      <c r="I300" s="87" t="s">
        <v>431</v>
      </c>
      <c r="J300" s="88">
        <v>0</v>
      </c>
      <c r="K300" s="88">
        <v>0</v>
      </c>
      <c r="L300" s="88">
        <v>0</v>
      </c>
      <c r="M300" s="89">
        <v>46097</v>
      </c>
      <c r="N300" s="88">
        <v>5</v>
      </c>
      <c r="O300" s="90" t="s">
        <v>432</v>
      </c>
      <c r="Q300" s="91">
        <f t="shared" si="325"/>
        <v>12</v>
      </c>
      <c r="R300" s="91" t="str">
        <f t="shared" si="326"/>
        <v>Mar</v>
      </c>
      <c r="S300" s="92" t="str">
        <f t="shared" si="310"/>
        <v>Monday</v>
      </c>
      <c r="T300" s="93" t="s">
        <v>431</v>
      </c>
      <c r="U300" s="94" t="s">
        <v>444</v>
      </c>
      <c r="W300" s="95">
        <v>0</v>
      </c>
      <c r="X300" s="96"/>
      <c r="Y300" s="97">
        <f t="shared" si="343"/>
        <v>46097</v>
      </c>
      <c r="Z300" s="98" t="str">
        <f>SUBSTITUTE('Digitas UK Task 26'!$O300, "Complet", "Not Requir")</f>
        <v>Not Required</v>
      </c>
      <c r="AA300" s="98" t="str">
        <f t="shared" si="339"/>
        <v>Klaviyo Process Doc Creation 1X1, Display &amp; Video</v>
      </c>
      <c r="AB300" s="99"/>
      <c r="AF300" s="84" t="str">
        <f t="shared" si="312"/>
        <v/>
      </c>
      <c r="AH300" s="84" t="str">
        <f t="shared" si="293"/>
        <v>PL_0_CR_0_AD_0_Jira_0_</v>
      </c>
      <c r="AI300" s="84" t="str">
        <f t="shared" si="294"/>
        <v/>
      </c>
      <c r="AJ300" s="84" t="str">
        <f>IF(Z300&lt;&gt;"Done","",(_xlfn.CONCAT("PL_",DigitasUKAdOp_26Team[[#This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01" spans="1:36" ht="15.75" customHeight="1" x14ac:dyDescent="0.3">
      <c r="A301" s="85" t="str">
        <f t="shared" si="338"/>
        <v>Mar : Tuesday</v>
      </c>
      <c r="B301" s="86">
        <v>46098</v>
      </c>
      <c r="C301" s="87" t="s">
        <v>318</v>
      </c>
      <c r="D301" s="88" t="s">
        <v>431</v>
      </c>
      <c r="E301" s="87" t="s">
        <v>428</v>
      </c>
      <c r="F301" s="88" t="s">
        <v>450</v>
      </c>
      <c r="G301" s="88" t="s">
        <v>615</v>
      </c>
      <c r="H301" s="87" t="s">
        <v>521</v>
      </c>
      <c r="I301" s="87" t="s">
        <v>250</v>
      </c>
      <c r="J301" s="88">
        <v>0</v>
      </c>
      <c r="K301" s="88">
        <v>0</v>
      </c>
      <c r="L301" s="88">
        <v>0</v>
      </c>
      <c r="M301" s="89">
        <v>46097</v>
      </c>
      <c r="N301" s="88">
        <v>2</v>
      </c>
      <c r="O301" s="90" t="s">
        <v>432</v>
      </c>
      <c r="Q301" s="91">
        <f t="shared" si="325"/>
        <v>12</v>
      </c>
      <c r="R301" s="91" t="str">
        <f t="shared" si="326"/>
        <v>Mar</v>
      </c>
      <c r="S301" s="92" t="str">
        <f t="shared" si="310"/>
        <v>Tuesday</v>
      </c>
      <c r="T301" s="93" t="s">
        <v>250</v>
      </c>
      <c r="U301" s="94" t="s">
        <v>444</v>
      </c>
      <c r="W301" s="95">
        <v>0</v>
      </c>
      <c r="X301" s="96"/>
      <c r="Y301" s="97">
        <f t="shared" si="343"/>
        <v>46097</v>
      </c>
      <c r="Z301" s="98" t="str">
        <f>SUBSTITUTE('Digitas UK Task 26'!$O301, "Complet", "Not Requir")</f>
        <v>Not Required</v>
      </c>
      <c r="AA301" s="98" t="str">
        <f t="shared" si="339"/>
        <v xml:space="preserve">Well 1x1 Process doc </v>
      </c>
      <c r="AB301" s="99"/>
      <c r="AF301" s="84" t="str">
        <f t="shared" si="312"/>
        <v/>
      </c>
      <c r="AH301" s="84" t="str">
        <f t="shared" si="293"/>
        <v>PL_0_CR_0_AD_0_Jira_0_</v>
      </c>
      <c r="AI301" s="84" t="str">
        <f t="shared" si="294"/>
        <v/>
      </c>
      <c r="AJ301" s="84" t="str">
        <f>IF(Z301&lt;&gt;"Done","",(_xlfn.CONCAT("PL_",DigitasUKAdOp_26Team[[#This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02" spans="1:36" ht="15.75" customHeight="1" x14ac:dyDescent="0.3">
      <c r="A302" s="85" t="str">
        <f t="shared" si="338"/>
        <v>Mar : Tuesday</v>
      </c>
      <c r="B302" s="86">
        <v>46098</v>
      </c>
      <c r="C302" s="87" t="s">
        <v>318</v>
      </c>
      <c r="D302" s="88" t="s">
        <v>431</v>
      </c>
      <c r="E302" s="87" t="s">
        <v>428</v>
      </c>
      <c r="F302" s="88" t="s">
        <v>450</v>
      </c>
      <c r="G302" s="88" t="s">
        <v>615</v>
      </c>
      <c r="H302" s="87" t="s">
        <v>521</v>
      </c>
      <c r="I302" s="87" t="s">
        <v>246</v>
      </c>
      <c r="J302" s="88">
        <v>0</v>
      </c>
      <c r="K302" s="88">
        <v>0</v>
      </c>
      <c r="L302" s="88">
        <v>0</v>
      </c>
      <c r="M302" s="89">
        <v>46097</v>
      </c>
      <c r="N302" s="88">
        <v>2</v>
      </c>
      <c r="O302" s="90" t="s">
        <v>432</v>
      </c>
      <c r="Q302" s="91">
        <f t="shared" si="325"/>
        <v>12</v>
      </c>
      <c r="R302" s="91" t="str">
        <f t="shared" si="326"/>
        <v>Mar</v>
      </c>
      <c r="S302" s="92" t="str">
        <f t="shared" si="310"/>
        <v>Tuesday</v>
      </c>
      <c r="T302" s="93" t="s">
        <v>246</v>
      </c>
      <c r="U302" s="94" t="s">
        <v>444</v>
      </c>
      <c r="W302" s="95">
        <v>0</v>
      </c>
      <c r="X302" s="96"/>
      <c r="Y302" s="97">
        <f t="shared" si="343"/>
        <v>46097</v>
      </c>
      <c r="Z302" s="98" t="str">
        <f>SUBSTITUTE('Digitas UK Task 26'!$O302, "Complet", "Not Requir")</f>
        <v>Not Required</v>
      </c>
      <c r="AA302" s="98" t="str">
        <f t="shared" si="339"/>
        <v xml:space="preserve">Well 1x1 Process doc </v>
      </c>
      <c r="AB302" s="99"/>
      <c r="AF302" s="84" t="str">
        <f t="shared" si="312"/>
        <v/>
      </c>
      <c r="AH302" s="84" t="str">
        <f t="shared" si="293"/>
        <v>PL_0_CR_0_AD_0_Jira_0_</v>
      </c>
      <c r="AI302" s="84" t="str">
        <f t="shared" si="294"/>
        <v/>
      </c>
      <c r="AJ302" s="84" t="str">
        <f>IF(Z302&lt;&gt;"Done","",(_xlfn.CONCAT("PL_",DigitasUKAdOp_26Team[[#This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03" spans="1:36" ht="15.75" customHeight="1" x14ac:dyDescent="0.3">
      <c r="A303" s="85" t="str">
        <f t="shared" si="338"/>
        <v>Mar : Tuesday</v>
      </c>
      <c r="B303" s="86">
        <v>46098</v>
      </c>
      <c r="C303" s="87" t="s">
        <v>334</v>
      </c>
      <c r="D303" s="88" t="s">
        <v>465</v>
      </c>
      <c r="E303" s="87" t="s">
        <v>428</v>
      </c>
      <c r="F303" s="88" t="s">
        <v>469</v>
      </c>
      <c r="G303" s="88" t="s">
        <v>630</v>
      </c>
      <c r="H303" s="87" t="s">
        <v>269</v>
      </c>
      <c r="I303" s="87" t="s">
        <v>237</v>
      </c>
      <c r="J303" s="88">
        <v>3</v>
      </c>
      <c r="K303" s="88">
        <v>3</v>
      </c>
      <c r="L303" s="88">
        <v>3</v>
      </c>
      <c r="M303" s="89">
        <v>46098</v>
      </c>
      <c r="N303" s="88">
        <v>0.25</v>
      </c>
      <c r="O303" s="90" t="s">
        <v>432</v>
      </c>
      <c r="Q303" s="91">
        <f t="shared" si="325"/>
        <v>12</v>
      </c>
      <c r="R303" s="91" t="str">
        <f t="shared" si="326"/>
        <v>Mar</v>
      </c>
      <c r="S303" s="92" t="str">
        <f t="shared" si="310"/>
        <v>Tuesday</v>
      </c>
      <c r="T303" s="93" t="s">
        <v>250</v>
      </c>
      <c r="U303" s="94" t="s">
        <v>433</v>
      </c>
      <c r="W303" s="95">
        <v>0.25</v>
      </c>
      <c r="X303" s="96"/>
      <c r="Y303" s="97">
        <f t="shared" si="343"/>
        <v>46098</v>
      </c>
      <c r="Z303" s="98" t="str">
        <f>SUBSTITUTE('Digitas UK Task 26'!$O303, "Complet", "Not Requir")</f>
        <v>Not Required</v>
      </c>
      <c r="AA303" s="98" t="str">
        <f t="shared" si="339"/>
        <v>RE: Klaviyo EMEA - Trafficking Request - FR Youtube Select - Q1 2026</v>
      </c>
      <c r="AB303" s="99"/>
      <c r="AF303" s="84" t="str">
        <f t="shared" si="312"/>
        <v/>
      </c>
      <c r="AH303" s="84" t="str">
        <f t="shared" si="293"/>
        <v>PL_3_CR_3_AD_3_Jira_0_</v>
      </c>
      <c r="AI303" s="84" t="str">
        <f t="shared" si="294"/>
        <v>PL_3_CR_3_AD_3_Jira_0_</v>
      </c>
      <c r="AJ303" s="84" t="str">
        <f>IF(Z303&lt;&gt;"Done","",(_xlfn.CONCAT("PL_",DigitasUKAdOp_26Team[[#This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04" spans="1:36" s="152" customFormat="1" ht="15.75" customHeight="1" x14ac:dyDescent="0.3">
      <c r="A304" s="85" t="str">
        <f t="shared" ref="A304" si="357">IF(B304="","",TEXT(B304,"MMM : DDDD"))</f>
        <v>Mar : Tuesday</v>
      </c>
      <c r="B304" s="86">
        <v>46098</v>
      </c>
      <c r="C304" s="87" t="s">
        <v>334</v>
      </c>
      <c r="D304" s="88" t="s">
        <v>465</v>
      </c>
      <c r="E304" s="87" t="s">
        <v>428</v>
      </c>
      <c r="F304" s="88" t="s">
        <v>450</v>
      </c>
      <c r="G304" s="88" t="s">
        <v>630</v>
      </c>
      <c r="H304" s="87" t="s">
        <v>443</v>
      </c>
      <c r="I304" s="87" t="s">
        <v>237</v>
      </c>
      <c r="J304" s="88">
        <v>0</v>
      </c>
      <c r="K304" s="88">
        <v>0</v>
      </c>
      <c r="L304" s="88">
        <v>0</v>
      </c>
      <c r="M304" s="89">
        <v>46098</v>
      </c>
      <c r="N304" s="88">
        <v>1</v>
      </c>
      <c r="O304" s="90" t="s">
        <v>432</v>
      </c>
      <c r="P304" s="88"/>
      <c r="Q304" s="91">
        <f t="shared" ref="Q304" si="358">IF(B304="","",WEEKNUM(B304))</f>
        <v>12</v>
      </c>
      <c r="R304" s="91" t="str">
        <f t="shared" ref="R304" si="359">IF(B304="","",TEXT(B304,"MMM"))</f>
        <v>Mar</v>
      </c>
      <c r="S304" s="92" t="str">
        <f t="shared" ref="S304" si="360">IF(B304="","",TEXT(B304,"DDDD"))</f>
        <v>Tuesday</v>
      </c>
      <c r="T304" s="93" t="s">
        <v>237</v>
      </c>
      <c r="U304" s="94" t="s">
        <v>444</v>
      </c>
      <c r="V304" s="95"/>
      <c r="W304" s="95">
        <v>0</v>
      </c>
      <c r="X304" s="96"/>
      <c r="Y304" s="97">
        <f t="shared" ref="Y304" si="361">IF(M304="","",M304)</f>
        <v>46098</v>
      </c>
      <c r="Z304" s="98" t="str">
        <f>SUBSTITUTE('Digitas UK Task 26'!$O304, "Complet", "Not Requir")</f>
        <v>Not Required</v>
      </c>
      <c r="AA304" s="98" t="str">
        <f t="shared" ref="AA304" si="362">IF(G304="","",G304)</f>
        <v>RE: Klaviyo EMEA - Trafficking Request - FR Youtube Select - Q1 2026</v>
      </c>
      <c r="AB304" s="99"/>
      <c r="AC304" s="84"/>
      <c r="AD304" s="100"/>
      <c r="AE304" s="84"/>
      <c r="AF304" s="84" t="str">
        <f t="shared" ref="AF304" si="363">IF(AD304="","",WEEKNUM(AD304))</f>
        <v/>
      </c>
      <c r="AG304" s="84"/>
      <c r="AH304" s="84" t="str">
        <f t="shared" si="293"/>
        <v>PL_0_CR_0_AD_0_Jira_0_</v>
      </c>
      <c r="AI304" s="84" t="str">
        <f t="shared" si="294"/>
        <v/>
      </c>
      <c r="AJ304" s="84" t="str">
        <f>IF(Z304&lt;&gt;"Done","",(_xlfn.CONCAT("PL_",DigitasUKAdOp_26Team[[#This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05" spans="1:36" ht="15.75" customHeight="1" x14ac:dyDescent="0.3">
      <c r="A305" s="85" t="str">
        <f t="shared" si="338"/>
        <v>Mar : Wednesday</v>
      </c>
      <c r="B305" s="86">
        <v>46099</v>
      </c>
      <c r="C305" s="87" t="s">
        <v>325</v>
      </c>
      <c r="D305" s="88" t="s">
        <v>491</v>
      </c>
      <c r="E305" s="87" t="s">
        <v>428</v>
      </c>
      <c r="F305" s="88" t="s">
        <v>450</v>
      </c>
      <c r="G305" s="88" t="s">
        <v>631</v>
      </c>
      <c r="H305" s="87" t="s">
        <v>269</v>
      </c>
      <c r="I305" s="87" t="s">
        <v>237</v>
      </c>
      <c r="J305" s="88">
        <v>300</v>
      </c>
      <c r="K305" s="88">
        <v>300</v>
      </c>
      <c r="L305" s="88">
        <v>300</v>
      </c>
      <c r="M305" s="89">
        <v>46099</v>
      </c>
      <c r="N305" s="88">
        <v>1</v>
      </c>
      <c r="O305" s="90" t="s">
        <v>432</v>
      </c>
      <c r="P305" s="88" t="s">
        <v>632</v>
      </c>
      <c r="Q305" s="91">
        <f t="shared" si="325"/>
        <v>12</v>
      </c>
      <c r="R305" s="91" t="str">
        <f t="shared" si="326"/>
        <v>Mar</v>
      </c>
      <c r="S305" s="92" t="str">
        <f t="shared" si="310"/>
        <v>Wednesday</v>
      </c>
      <c r="T305" s="93" t="s">
        <v>237</v>
      </c>
      <c r="U305" s="94" t="s">
        <v>444</v>
      </c>
      <c r="W305" s="95">
        <v>0</v>
      </c>
      <c r="X305" s="96"/>
      <c r="Y305" s="97">
        <f t="shared" si="343"/>
        <v>46099</v>
      </c>
      <c r="Z305" s="98" t="str">
        <f>SUBSTITUTE('Digitas UK Task 26'!$O305, "Complet", "Not Requir")</f>
        <v>Not Required</v>
      </c>
      <c r="AA305" s="98" t="str">
        <f t="shared" si="339"/>
        <v>RE: Cathay Pacific - Spring Sale 2026 - trafficking</v>
      </c>
      <c r="AB305" s="99"/>
      <c r="AF305" s="84" t="str">
        <f t="shared" si="312"/>
        <v/>
      </c>
      <c r="AH305" s="84" t="str">
        <f t="shared" si="293"/>
        <v>PL_300_CR_300_AD_300_Jira_0_</v>
      </c>
      <c r="AI305" s="84" t="str">
        <f t="shared" si="294"/>
        <v/>
      </c>
      <c r="AJ305" s="84" t="str">
        <f>IF(Z305&lt;&gt;"Done","",(_xlfn.CONCAT("PL_",DigitasUKAdOp_26Team[[#This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06" spans="1:36" ht="15.75" customHeight="1" x14ac:dyDescent="0.3">
      <c r="A306" s="85" t="str">
        <f t="shared" ref="A306" si="364">IF(B306="","",TEXT(B306,"MMM : DDDD"))</f>
        <v>Mar : Wednesday</v>
      </c>
      <c r="B306" s="86">
        <v>46099</v>
      </c>
      <c r="C306" s="87" t="s">
        <v>334</v>
      </c>
      <c r="D306" s="88" t="s">
        <v>431</v>
      </c>
      <c r="E306" s="87" t="s">
        <v>428</v>
      </c>
      <c r="F306" s="88" t="s">
        <v>450</v>
      </c>
      <c r="G306" s="88" t="s">
        <v>629</v>
      </c>
      <c r="H306" s="87" t="s">
        <v>521</v>
      </c>
      <c r="I306" s="87" t="s">
        <v>250</v>
      </c>
      <c r="J306" s="88">
        <v>0</v>
      </c>
      <c r="K306" s="88">
        <v>0</v>
      </c>
      <c r="L306" s="88">
        <v>0</v>
      </c>
      <c r="M306" s="89">
        <v>46099</v>
      </c>
      <c r="N306" s="88">
        <v>3</v>
      </c>
      <c r="O306" s="90" t="s">
        <v>432</v>
      </c>
      <c r="Q306" s="91">
        <f t="shared" si="325"/>
        <v>12</v>
      </c>
      <c r="R306" s="91" t="str">
        <f t="shared" si="326"/>
        <v>Mar</v>
      </c>
      <c r="S306" s="92" t="str">
        <f t="shared" si="310"/>
        <v>Wednesday</v>
      </c>
      <c r="T306" s="93" t="s">
        <v>250</v>
      </c>
      <c r="U306" s="94" t="s">
        <v>444</v>
      </c>
      <c r="W306" s="95">
        <v>0</v>
      </c>
      <c r="X306" s="96"/>
      <c r="Y306" s="97">
        <f t="shared" si="343"/>
        <v>46099</v>
      </c>
      <c r="Z306" s="98" t="str">
        <f>SUBSTITUTE('Digitas UK Task 26'!$O306, "Complet", "Not Requir")</f>
        <v>Not Required</v>
      </c>
      <c r="AA306" s="98" t="str">
        <f t="shared" si="339"/>
        <v>Klaviyo Process Doc Creation 1X1, Display &amp; Video</v>
      </c>
      <c r="AB306" s="99"/>
      <c r="AF306" s="84" t="str">
        <f t="shared" si="312"/>
        <v/>
      </c>
      <c r="AH306" s="84" t="str">
        <f t="shared" si="293"/>
        <v>PL_0_CR_0_AD_0_Jira_0_</v>
      </c>
      <c r="AI306" s="84" t="str">
        <f t="shared" si="294"/>
        <v/>
      </c>
      <c r="AJ306" s="84" t="str">
        <f>IF(Z306&lt;&gt;"Done","",(_xlfn.CONCAT("PL_",DigitasUKAdOp_26Team[[#This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07" spans="1:36" ht="15.75" customHeight="1" x14ac:dyDescent="0.3">
      <c r="A307" s="85" t="str">
        <f t="shared" ref="A307:A308" si="365">IF(B307="","",TEXT(B307,"MMM : DDDD"))</f>
        <v>Mar : Wednesday</v>
      </c>
      <c r="B307" s="86">
        <v>46099</v>
      </c>
      <c r="C307" s="87" t="s">
        <v>334</v>
      </c>
      <c r="D307" s="88" t="s">
        <v>431</v>
      </c>
      <c r="E307" s="87" t="s">
        <v>428</v>
      </c>
      <c r="F307" s="88" t="s">
        <v>450</v>
      </c>
      <c r="G307" s="88" t="s">
        <v>629</v>
      </c>
      <c r="H307" s="87" t="s">
        <v>521</v>
      </c>
      <c r="I307" s="87" t="s">
        <v>246</v>
      </c>
      <c r="J307" s="88">
        <v>0</v>
      </c>
      <c r="K307" s="88">
        <v>0</v>
      </c>
      <c r="L307" s="88">
        <v>0</v>
      </c>
      <c r="M307" s="89">
        <v>46099</v>
      </c>
      <c r="N307" s="88">
        <v>3</v>
      </c>
      <c r="O307" s="90" t="s">
        <v>432</v>
      </c>
      <c r="Q307" s="91">
        <f t="shared" si="325"/>
        <v>12</v>
      </c>
      <c r="R307" s="91" t="str">
        <f t="shared" si="326"/>
        <v>Mar</v>
      </c>
      <c r="S307" s="92" t="str">
        <f t="shared" si="310"/>
        <v>Wednesday</v>
      </c>
      <c r="T307" s="93" t="s">
        <v>246</v>
      </c>
      <c r="U307" s="94" t="s">
        <v>444</v>
      </c>
      <c r="W307" s="95">
        <v>0</v>
      </c>
      <c r="X307" s="96"/>
      <c r="Y307" s="97">
        <f t="shared" si="343"/>
        <v>46099</v>
      </c>
      <c r="Z307" s="98" t="str">
        <f>SUBSTITUTE('Digitas UK Task 26'!$O307, "Complet", "Not Requir")</f>
        <v>Not Required</v>
      </c>
      <c r="AA307" s="98" t="str">
        <f t="shared" si="339"/>
        <v>Klaviyo Process Doc Creation 1X1, Display &amp; Video</v>
      </c>
      <c r="AB307" s="99"/>
      <c r="AF307" s="84" t="str">
        <f t="shared" si="312"/>
        <v/>
      </c>
      <c r="AH307" s="84" t="str">
        <f t="shared" si="293"/>
        <v>PL_0_CR_0_AD_0_Jira_0_</v>
      </c>
      <c r="AI307" s="84" t="str">
        <f t="shared" si="294"/>
        <v/>
      </c>
      <c r="AJ307" s="84" t="str">
        <f>IF(Z307&lt;&gt;"Done","",(_xlfn.CONCAT("PL_",DigitasUKAdOp_26Team[[#This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08" spans="1:36" ht="15.75" customHeight="1" x14ac:dyDescent="0.3">
      <c r="A308" s="85" t="str">
        <f t="shared" si="365"/>
        <v>Mar : Wednesday</v>
      </c>
      <c r="B308" s="86">
        <v>46099</v>
      </c>
      <c r="C308" s="87" t="s">
        <v>325</v>
      </c>
      <c r="D308" s="88" t="s">
        <v>491</v>
      </c>
      <c r="E308" s="87" t="s">
        <v>428</v>
      </c>
      <c r="F308" s="88" t="s">
        <v>450</v>
      </c>
      <c r="G308" s="88" t="s">
        <v>631</v>
      </c>
      <c r="H308" s="87" t="s">
        <v>443</v>
      </c>
      <c r="I308" s="87" t="s">
        <v>237</v>
      </c>
      <c r="J308" s="88">
        <v>0</v>
      </c>
      <c r="K308" s="88">
        <v>0</v>
      </c>
      <c r="L308" s="88">
        <v>0</v>
      </c>
      <c r="M308" s="89">
        <v>46099</v>
      </c>
      <c r="N308" s="88">
        <v>1</v>
      </c>
      <c r="O308" s="90" t="s">
        <v>432</v>
      </c>
      <c r="P308" s="88" t="s">
        <v>632</v>
      </c>
      <c r="Q308" s="91">
        <f t="shared" ref="Q308" si="366">IF(B308="","",WEEKNUM(B308))</f>
        <v>12</v>
      </c>
      <c r="R308" s="91" t="str">
        <f t="shared" ref="R308" si="367">IF(B308="","",TEXT(B308,"MMM"))</f>
        <v>Mar</v>
      </c>
      <c r="S308" s="92" t="str">
        <f t="shared" ref="S308" si="368">IF(B308="","",TEXT(B308,"DDDD"))</f>
        <v>Wednesday</v>
      </c>
      <c r="T308" s="93" t="s">
        <v>237</v>
      </c>
      <c r="U308" s="94" t="s">
        <v>444</v>
      </c>
      <c r="W308" s="95">
        <v>0</v>
      </c>
      <c r="X308" s="96"/>
      <c r="Y308" s="97">
        <f t="shared" ref="Y308" si="369">IF(M308="","",M308)</f>
        <v>46099</v>
      </c>
      <c r="Z308" s="98" t="str">
        <f>SUBSTITUTE('Digitas UK Task 26'!$O308, "Complet", "Not Requir")</f>
        <v>Not Required</v>
      </c>
      <c r="AA308" s="98" t="str">
        <f t="shared" ref="AA308" si="370">IF(G308="","",G308)</f>
        <v>RE: Cathay Pacific - Spring Sale 2026 - trafficking</v>
      </c>
      <c r="AB308" s="99"/>
      <c r="AF308" s="84" t="str">
        <f t="shared" ref="AF308" si="371">IF(AD308="","",WEEKNUM(AD308))</f>
        <v/>
      </c>
      <c r="AH308" s="84" t="str">
        <f t="shared" si="293"/>
        <v>PL_0_CR_0_AD_0_Jira_0_</v>
      </c>
      <c r="AI308" s="84" t="str">
        <f t="shared" si="294"/>
        <v/>
      </c>
      <c r="AJ308" s="84" t="str">
        <f>IF(Z308&lt;&gt;"Done","",(_xlfn.CONCAT("PL_",DigitasUKAdOp_26Team[[#This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09" spans="1:36" ht="15.75" customHeight="1" x14ac:dyDescent="0.3">
      <c r="A309" s="85" t="str">
        <f t="shared" si="338"/>
        <v>Mar : Thursday</v>
      </c>
      <c r="B309" s="86">
        <v>46100</v>
      </c>
      <c r="C309" s="87" t="s">
        <v>43</v>
      </c>
      <c r="D309" s="88" t="s">
        <v>633</v>
      </c>
      <c r="E309" s="87" t="s">
        <v>428</v>
      </c>
      <c r="F309" s="88" t="s">
        <v>450</v>
      </c>
      <c r="G309" s="88" t="s">
        <v>634</v>
      </c>
      <c r="H309" s="87" t="s">
        <v>443</v>
      </c>
      <c r="I309" s="87" t="s">
        <v>250</v>
      </c>
      <c r="J309" s="88">
        <v>0</v>
      </c>
      <c r="K309" s="88">
        <v>0</v>
      </c>
      <c r="L309" s="88">
        <v>0</v>
      </c>
      <c r="M309" s="89">
        <v>46100</v>
      </c>
      <c r="N309" s="88">
        <v>1</v>
      </c>
      <c r="O309" s="90" t="s">
        <v>432</v>
      </c>
      <c r="Q309" s="91">
        <f t="shared" si="325"/>
        <v>12</v>
      </c>
      <c r="R309" s="91" t="str">
        <f t="shared" si="326"/>
        <v>Mar</v>
      </c>
      <c r="S309" s="92" t="str">
        <f t="shared" si="310"/>
        <v>Thursday</v>
      </c>
      <c r="T309" s="93" t="s">
        <v>250</v>
      </c>
      <c r="U309" s="94" t="s">
        <v>444</v>
      </c>
      <c r="W309" s="95">
        <v>0</v>
      </c>
      <c r="X309" s="96"/>
      <c r="Y309" s="97">
        <f t="shared" si="343"/>
        <v>46100</v>
      </c>
      <c r="Z309" s="98" t="str">
        <f>SUBSTITUTE('Digitas UK Task 26'!$O309, "Complet", "Not Requir")</f>
        <v>Not Required</v>
      </c>
      <c r="AA309" s="98" t="str">
        <f t="shared" si="339"/>
        <v xml:space="preserve">Crocs S2 '26 - Trafficking </v>
      </c>
      <c r="AB309" s="99"/>
      <c r="AF309" s="84" t="str">
        <f t="shared" si="312"/>
        <v/>
      </c>
      <c r="AH309" s="84" t="str">
        <f t="shared" si="293"/>
        <v>PL_0_CR_0_AD_0_Jira_0_</v>
      </c>
      <c r="AI309" s="84" t="str">
        <f t="shared" si="294"/>
        <v/>
      </c>
      <c r="AJ309" s="84" t="str">
        <f>IF(Z309&lt;&gt;"Done","",(_xlfn.CONCAT("PL_",DigitasUKAdOp_26Team[[#This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10" spans="1:36" ht="15.75" customHeight="1" x14ac:dyDescent="0.3">
      <c r="A310" s="85" t="str">
        <f t="shared" si="338"/>
        <v>Mar : Thursday</v>
      </c>
      <c r="B310" s="86">
        <v>46100</v>
      </c>
      <c r="C310" s="87" t="s">
        <v>43</v>
      </c>
      <c r="D310" s="88" t="s">
        <v>250</v>
      </c>
      <c r="E310" s="87" t="s">
        <v>428</v>
      </c>
      <c r="F310" s="88" t="s">
        <v>635</v>
      </c>
      <c r="G310" s="88" t="s">
        <v>635</v>
      </c>
      <c r="H310" s="87" t="s">
        <v>443</v>
      </c>
      <c r="I310" s="87" t="s">
        <v>250</v>
      </c>
      <c r="J310" s="88">
        <v>0</v>
      </c>
      <c r="K310" s="88">
        <v>0</v>
      </c>
      <c r="L310" s="88">
        <v>0</v>
      </c>
      <c r="M310" s="89">
        <v>46101</v>
      </c>
      <c r="N310" s="88">
        <v>1</v>
      </c>
      <c r="O310" s="90" t="s">
        <v>432</v>
      </c>
      <c r="Q310" s="91">
        <f t="shared" si="325"/>
        <v>12</v>
      </c>
      <c r="R310" s="91" t="str">
        <f t="shared" si="326"/>
        <v>Mar</v>
      </c>
      <c r="S310" s="92" t="str">
        <f t="shared" si="310"/>
        <v>Thursday</v>
      </c>
      <c r="T310" s="93" t="s">
        <v>250</v>
      </c>
      <c r="U310" s="94" t="s">
        <v>444</v>
      </c>
      <c r="W310" s="95">
        <v>0</v>
      </c>
      <c r="X310" s="96"/>
      <c r="Y310" s="97">
        <f t="shared" si="343"/>
        <v>46101</v>
      </c>
      <c r="Z310" s="98" t="str">
        <f>SUBSTITUTE('Digitas UK Task 26'!$O310, "Complet", "Not Requir")</f>
        <v>Not Required</v>
      </c>
      <c r="AA310" s="98" t="str">
        <f t="shared" si="339"/>
        <v>Town Hall</v>
      </c>
      <c r="AB310" s="99"/>
      <c r="AF310" s="84" t="str">
        <f t="shared" si="312"/>
        <v/>
      </c>
      <c r="AH310" s="84" t="str">
        <f t="shared" si="293"/>
        <v>PL_0_CR_0_AD_0_Jira_0_</v>
      </c>
      <c r="AI310" s="84" t="str">
        <f t="shared" si="294"/>
        <v/>
      </c>
      <c r="AJ310" s="84" t="str">
        <f>IF(Z310&lt;&gt;"Done","",(_xlfn.CONCAT("PL_",DigitasUKAdOp_26Team[[#This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11" spans="1:36" ht="15.75" customHeight="1" x14ac:dyDescent="0.3">
      <c r="A311" s="85" t="str">
        <f t="shared" si="338"/>
        <v>Mar : Thursday</v>
      </c>
      <c r="B311" s="86">
        <v>46100</v>
      </c>
      <c r="C311" s="87" t="s">
        <v>43</v>
      </c>
      <c r="D311" s="88" t="s">
        <v>237</v>
      </c>
      <c r="E311" s="87" t="s">
        <v>428</v>
      </c>
      <c r="F311" s="88" t="s">
        <v>635</v>
      </c>
      <c r="G311" s="88" t="s">
        <v>635</v>
      </c>
      <c r="H311" s="87" t="s">
        <v>443</v>
      </c>
      <c r="I311" s="87" t="s">
        <v>237</v>
      </c>
      <c r="J311" s="88">
        <v>0</v>
      </c>
      <c r="K311" s="88">
        <v>0</v>
      </c>
      <c r="L311" s="88">
        <v>0</v>
      </c>
      <c r="M311" s="89">
        <v>46101</v>
      </c>
      <c r="N311" s="88">
        <v>1</v>
      </c>
      <c r="O311" s="90" t="s">
        <v>432</v>
      </c>
      <c r="Q311" s="91">
        <f t="shared" si="325"/>
        <v>12</v>
      </c>
      <c r="R311" s="91" t="str">
        <f t="shared" si="326"/>
        <v>Mar</v>
      </c>
      <c r="S311" s="92" t="str">
        <f t="shared" si="310"/>
        <v>Thursday</v>
      </c>
      <c r="T311" s="93" t="s">
        <v>237</v>
      </c>
      <c r="U311" s="94" t="s">
        <v>444</v>
      </c>
      <c r="W311" s="95">
        <v>0</v>
      </c>
      <c r="X311" s="96"/>
      <c r="Y311" s="97">
        <f t="shared" si="343"/>
        <v>46101</v>
      </c>
      <c r="Z311" s="98" t="str">
        <f>SUBSTITUTE('Digitas UK Task 26'!$O311, "Complet", "Not Requir")</f>
        <v>Not Required</v>
      </c>
      <c r="AA311" s="98" t="str">
        <f t="shared" si="339"/>
        <v>Town Hall</v>
      </c>
      <c r="AB311" s="99"/>
      <c r="AF311" s="84" t="str">
        <f t="shared" si="312"/>
        <v/>
      </c>
      <c r="AH311" s="84" t="str">
        <f t="shared" si="293"/>
        <v>PL_0_CR_0_AD_0_Jira_0_</v>
      </c>
      <c r="AI311" s="84" t="str">
        <f t="shared" si="294"/>
        <v/>
      </c>
      <c r="AJ311" s="84" t="str">
        <f>IF(Z311&lt;&gt;"Done","",(_xlfn.CONCAT("PL_",DigitasUKAdOp_26Team[[#This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12" spans="1:36" ht="15.75" customHeight="1" x14ac:dyDescent="0.3">
      <c r="A312" s="85" t="str">
        <f t="shared" ref="A312" si="372">IF(B312="","",TEXT(B312,"MMM : DDDD"))</f>
        <v>Mar : Thursday</v>
      </c>
      <c r="B312" s="86">
        <v>46100</v>
      </c>
      <c r="C312" s="87" t="s">
        <v>318</v>
      </c>
      <c r="D312" s="88" t="s">
        <v>431</v>
      </c>
      <c r="E312" s="87" t="s">
        <v>428</v>
      </c>
      <c r="F312" s="88" t="s">
        <v>635</v>
      </c>
      <c r="G312" s="88" t="s">
        <v>635</v>
      </c>
      <c r="H312" s="87" t="s">
        <v>443</v>
      </c>
      <c r="I312" s="87" t="s">
        <v>431</v>
      </c>
      <c r="J312" s="88">
        <v>0</v>
      </c>
      <c r="K312" s="88">
        <v>0</v>
      </c>
      <c r="L312" s="88">
        <v>0</v>
      </c>
      <c r="M312" s="89">
        <v>46101</v>
      </c>
      <c r="N312" s="88">
        <v>1</v>
      </c>
      <c r="O312" s="90" t="s">
        <v>432</v>
      </c>
      <c r="Q312" s="91">
        <f t="shared" si="325"/>
        <v>12</v>
      </c>
      <c r="R312" s="91" t="str">
        <f t="shared" si="326"/>
        <v>Mar</v>
      </c>
      <c r="S312" s="92" t="str">
        <f t="shared" si="310"/>
        <v>Thursday</v>
      </c>
      <c r="T312" s="93" t="s">
        <v>431</v>
      </c>
      <c r="U312" s="94" t="s">
        <v>444</v>
      </c>
      <c r="W312" s="95">
        <v>0</v>
      </c>
      <c r="X312" s="96"/>
      <c r="Y312" s="97">
        <f t="shared" si="343"/>
        <v>46101</v>
      </c>
      <c r="Z312" s="98" t="str">
        <f>SUBSTITUTE('Digitas UK Task 26'!$O312, "Complet", "Not Requir")</f>
        <v>Not Required</v>
      </c>
      <c r="AA312" s="98" t="str">
        <f t="shared" si="339"/>
        <v>Town Hall</v>
      </c>
      <c r="AB312" s="99"/>
      <c r="AF312" s="84" t="str">
        <f t="shared" si="312"/>
        <v/>
      </c>
      <c r="AH312" s="84" t="str">
        <f t="shared" si="293"/>
        <v>PL_0_CR_0_AD_0_Jira_0_</v>
      </c>
      <c r="AI312" s="84" t="str">
        <f t="shared" si="294"/>
        <v/>
      </c>
      <c r="AJ312" s="84" t="str">
        <f>IF(Z312&lt;&gt;"Done","",(_xlfn.CONCAT("PL_",DigitasUKAdOp_26Team[[#This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13" spans="1:36" ht="15.75" customHeight="1" x14ac:dyDescent="0.3">
      <c r="A313" s="85" t="str">
        <f t="shared" si="338"/>
        <v>Mar : Friday</v>
      </c>
      <c r="B313" s="86">
        <v>46101</v>
      </c>
      <c r="C313" s="87" t="s">
        <v>318</v>
      </c>
      <c r="D313" s="88" t="s">
        <v>537</v>
      </c>
      <c r="E313" s="87" t="s">
        <v>428</v>
      </c>
      <c r="F313" s="88" t="s">
        <v>625</v>
      </c>
      <c r="G313" s="88" t="s">
        <v>550</v>
      </c>
      <c r="H313" s="87" t="s">
        <v>269</v>
      </c>
      <c r="I313" s="87" t="s">
        <v>250</v>
      </c>
      <c r="J313" s="88">
        <v>2</v>
      </c>
      <c r="K313" s="88">
        <v>2</v>
      </c>
      <c r="L313" s="88">
        <v>2</v>
      </c>
      <c r="M313" s="89">
        <v>46101</v>
      </c>
      <c r="N313" s="88">
        <v>0.25</v>
      </c>
      <c r="O313" s="90" t="s">
        <v>432</v>
      </c>
      <c r="Q313" s="91">
        <f t="shared" si="325"/>
        <v>12</v>
      </c>
      <c r="R313" s="91" t="str">
        <f t="shared" si="326"/>
        <v>Mar</v>
      </c>
      <c r="S313" s="92" t="str">
        <f t="shared" si="310"/>
        <v>Friday</v>
      </c>
      <c r="T313" s="93" t="s">
        <v>237</v>
      </c>
      <c r="U313" s="94" t="s">
        <v>433</v>
      </c>
      <c r="W313" s="95">
        <v>0.25</v>
      </c>
      <c r="X313" s="96"/>
      <c r="Y313" s="97">
        <f t="shared" si="343"/>
        <v>46101</v>
      </c>
      <c r="Z313" s="98" t="str">
        <f>SUBSTITUTE('Digitas UK Task 26'!$O313, "Complet", "Not Requir")</f>
        <v>Not Required</v>
      </c>
      <c r="AA313" s="98" t="str">
        <f t="shared" si="339"/>
        <v>RE: WELLA | FY26Q3 ULTIMATE COLOR - ITALY | TAG REQUEST</v>
      </c>
      <c r="AB313" s="99"/>
      <c r="AF313" s="84" t="str">
        <f t="shared" si="312"/>
        <v/>
      </c>
      <c r="AH313" s="84" t="str">
        <f t="shared" si="293"/>
        <v>PL_2_CR_2_AD_2_Jira_0_</v>
      </c>
      <c r="AI313" s="84" t="str">
        <f t="shared" si="294"/>
        <v>PL_2_CR_2_AD_2_Jira_0_</v>
      </c>
      <c r="AJ313" s="84" t="str">
        <f>IF(Z313&lt;&gt;"Done","",(_xlfn.CONCAT("PL_",DigitasUKAdOp_26Team[[#This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14" spans="1:36" ht="15.75" customHeight="1" x14ac:dyDescent="0.3">
      <c r="A314" s="85" t="str">
        <f t="shared" si="338"/>
        <v>Mar : Monday</v>
      </c>
      <c r="B314" s="86">
        <v>46104</v>
      </c>
      <c r="C314" s="87" t="s">
        <v>318</v>
      </c>
      <c r="D314" s="88" t="s">
        <v>435</v>
      </c>
      <c r="E314" s="87" t="s">
        <v>428</v>
      </c>
      <c r="F314" s="88" t="s">
        <v>450</v>
      </c>
      <c r="G314" s="88" t="s">
        <v>450</v>
      </c>
      <c r="H314" s="87" t="s">
        <v>521</v>
      </c>
      <c r="I314" s="87" t="s">
        <v>250</v>
      </c>
      <c r="J314" s="88">
        <v>0</v>
      </c>
      <c r="K314" s="88">
        <v>0</v>
      </c>
      <c r="L314" s="88">
        <v>0</v>
      </c>
      <c r="M314" s="89">
        <v>46104</v>
      </c>
      <c r="N314" s="88">
        <v>1</v>
      </c>
      <c r="O314" s="90" t="s">
        <v>432</v>
      </c>
      <c r="Q314" s="91">
        <f t="shared" si="325"/>
        <v>13</v>
      </c>
      <c r="R314" s="91" t="str">
        <f t="shared" si="326"/>
        <v>Mar</v>
      </c>
      <c r="S314" s="92" t="str">
        <f t="shared" si="310"/>
        <v>Monday</v>
      </c>
      <c r="T314" s="93" t="s">
        <v>250</v>
      </c>
      <c r="U314" s="94" t="s">
        <v>444</v>
      </c>
      <c r="W314" s="95">
        <v>0</v>
      </c>
      <c r="X314" s="96"/>
      <c r="Y314" s="97">
        <f t="shared" si="343"/>
        <v>46104</v>
      </c>
      <c r="Z314" s="98" t="str">
        <f>SUBSTITUTE('Digitas UK Task 26'!$O314, "Complet", "Not Requir")</f>
        <v>Not Required</v>
      </c>
      <c r="AA314" s="98" t="str">
        <f t="shared" si="339"/>
        <v>NA</v>
      </c>
      <c r="AB314" s="99"/>
      <c r="AF314" s="84" t="str">
        <f t="shared" si="312"/>
        <v/>
      </c>
      <c r="AH314" s="84" t="str">
        <f t="shared" si="293"/>
        <v>PL_0_CR_0_AD_0_Jira_0_</v>
      </c>
      <c r="AI314" s="84" t="str">
        <f t="shared" si="294"/>
        <v/>
      </c>
      <c r="AJ314" s="84" t="str">
        <f>IF(Z314&lt;&gt;"Done","",(_xlfn.CONCAT("PL_",DigitasUKAdOp_26Team[[#This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15" spans="1:36" ht="15.75" customHeight="1" x14ac:dyDescent="0.3">
      <c r="A315" s="85" t="str">
        <f t="shared" si="338"/>
        <v>Mar : Monday</v>
      </c>
      <c r="B315" s="86">
        <v>46104</v>
      </c>
      <c r="C315" s="87" t="s">
        <v>344</v>
      </c>
      <c r="D315" s="88" t="s">
        <v>452</v>
      </c>
      <c r="E315" s="87" t="s">
        <v>428</v>
      </c>
      <c r="F315" s="88" t="s">
        <v>522</v>
      </c>
      <c r="G315" s="88" t="s">
        <v>636</v>
      </c>
      <c r="H315" s="87" t="s">
        <v>269</v>
      </c>
      <c r="I315" s="87" t="s">
        <v>250</v>
      </c>
      <c r="J315" s="88">
        <v>2</v>
      </c>
      <c r="K315" s="88">
        <v>2</v>
      </c>
      <c r="L315" s="88">
        <v>2</v>
      </c>
      <c r="M315" s="89">
        <v>46104</v>
      </c>
      <c r="N315" s="88">
        <v>0.5</v>
      </c>
      <c r="O315" s="90" t="s">
        <v>432</v>
      </c>
      <c r="Q315" s="91">
        <f t="shared" si="325"/>
        <v>13</v>
      </c>
      <c r="R315" s="91" t="str">
        <f t="shared" si="326"/>
        <v>Mar</v>
      </c>
      <c r="S315" s="92" t="str">
        <f t="shared" si="310"/>
        <v>Monday</v>
      </c>
      <c r="T315" s="93" t="s">
        <v>246</v>
      </c>
      <c r="U315" s="94" t="s">
        <v>433</v>
      </c>
      <c r="W315" s="95">
        <v>0.25</v>
      </c>
      <c r="X315" s="96"/>
      <c r="Y315" s="97">
        <f t="shared" si="343"/>
        <v>46104</v>
      </c>
      <c r="Z315" s="98" t="str">
        <f>SUBSTITUTE('Digitas UK Task 26'!$O315, "Complet", "Not Requir")</f>
        <v>Not Required</v>
      </c>
      <c r="AA315" s="98" t="str">
        <f t="shared" si="339"/>
        <v>Digitas x Monzo I April_May I | Tagging support I CTV I Magnite</v>
      </c>
      <c r="AB315" s="99"/>
      <c r="AF315" s="84" t="str">
        <f t="shared" si="312"/>
        <v/>
      </c>
      <c r="AH315" s="84" t="str">
        <f t="shared" si="293"/>
        <v>PL_2_CR_2_AD_2_Jira_0_</v>
      </c>
      <c r="AI315" s="84" t="str">
        <f t="shared" si="294"/>
        <v>PL_2_CR_2_AD_2_Jira_0_</v>
      </c>
      <c r="AJ315" s="84" t="str">
        <f>IF(Z315&lt;&gt;"Done","",(_xlfn.CONCAT("PL_",DigitasUKAdOp_26Team[[#This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16" spans="1:36" ht="15.75" customHeight="1" x14ac:dyDescent="0.3">
      <c r="A316" s="85" t="str">
        <f t="shared" si="338"/>
        <v>Mar : Tuesday</v>
      </c>
      <c r="B316" s="86">
        <v>46105</v>
      </c>
      <c r="C316" s="87" t="s">
        <v>318</v>
      </c>
      <c r="D316" s="88" t="s">
        <v>637</v>
      </c>
      <c r="E316" s="87" t="s">
        <v>428</v>
      </c>
      <c r="F316" s="88" t="s">
        <v>638</v>
      </c>
      <c r="G316" s="88" t="s">
        <v>639</v>
      </c>
      <c r="H316" s="87" t="s">
        <v>443</v>
      </c>
      <c r="I316" s="87" t="s">
        <v>431</v>
      </c>
      <c r="J316" s="88">
        <v>0</v>
      </c>
      <c r="K316" s="88">
        <v>0</v>
      </c>
      <c r="L316" s="88">
        <v>0</v>
      </c>
      <c r="M316" s="89">
        <v>46105</v>
      </c>
      <c r="N316" s="88">
        <v>0.5</v>
      </c>
      <c r="O316" s="90" t="s">
        <v>432</v>
      </c>
      <c r="Q316" s="91">
        <f t="shared" si="325"/>
        <v>13</v>
      </c>
      <c r="R316" s="91" t="str">
        <f t="shared" si="326"/>
        <v>Mar</v>
      </c>
      <c r="S316" s="92" t="str">
        <f t="shared" si="310"/>
        <v>Tuesday</v>
      </c>
      <c r="T316" s="93" t="s">
        <v>431</v>
      </c>
      <c r="U316" s="94" t="s">
        <v>444</v>
      </c>
      <c r="W316" s="95">
        <v>0</v>
      </c>
      <c r="X316" s="96"/>
      <c r="Y316" s="97">
        <f t="shared" si="343"/>
        <v>46105</v>
      </c>
      <c r="Z316" s="98" t="str">
        <f>SUBSTITUTE('Digitas UK Task 26'!$O316, "Complet", "Not Requir")</f>
        <v>Not Required</v>
      </c>
      <c r="AA316" s="98" t="str">
        <f t="shared" si="339"/>
        <v>RE: WELLA | FY26Q3 SUPERNATURAL COLOR - FRANCE | TAG REQUEST</v>
      </c>
      <c r="AB316" s="99"/>
      <c r="AF316" s="84" t="str">
        <f t="shared" si="312"/>
        <v/>
      </c>
      <c r="AH316" s="84" t="str">
        <f t="shared" si="293"/>
        <v>PL_0_CR_0_AD_0_Jira_0_</v>
      </c>
      <c r="AI316" s="84" t="str">
        <f t="shared" si="294"/>
        <v/>
      </c>
      <c r="AJ316" s="84" t="str">
        <f>IF(Z316&lt;&gt;"Done","",(_xlfn.CONCAT("PL_",DigitasUKAdOp_26Team[[#This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17" spans="1:36" ht="15.75" customHeight="1" x14ac:dyDescent="0.3">
      <c r="A317" s="85" t="str">
        <f t="shared" ref="A317:A318" si="373">IF(B317="","",TEXT(B317,"MMM : DDDD"))</f>
        <v>Mar : Tuesday</v>
      </c>
      <c r="B317" s="86">
        <v>46105</v>
      </c>
      <c r="C317" s="87" t="s">
        <v>318</v>
      </c>
      <c r="D317" s="88" t="s">
        <v>435</v>
      </c>
      <c r="E317" s="87" t="s">
        <v>428</v>
      </c>
      <c r="F317" s="88" t="s">
        <v>638</v>
      </c>
      <c r="G317" s="88" t="s">
        <v>639</v>
      </c>
      <c r="H317" s="87" t="s">
        <v>521</v>
      </c>
      <c r="I317" s="87" t="s">
        <v>431</v>
      </c>
      <c r="J317" s="88">
        <v>0</v>
      </c>
      <c r="K317" s="88">
        <v>0</v>
      </c>
      <c r="L317" s="88">
        <v>0</v>
      </c>
      <c r="M317" s="89">
        <v>46105</v>
      </c>
      <c r="N317" s="88">
        <v>0.5</v>
      </c>
      <c r="O317" s="90" t="s">
        <v>432</v>
      </c>
      <c r="Q317" s="91">
        <f t="shared" si="325"/>
        <v>13</v>
      </c>
      <c r="R317" s="91" t="str">
        <f t="shared" ref="R317:R331" si="374">IF(B317="","",TEXT(B317,"MMM"))</f>
        <v>Mar</v>
      </c>
      <c r="S317" s="92" t="str">
        <f t="shared" si="310"/>
        <v>Tuesday</v>
      </c>
      <c r="T317" s="93" t="s">
        <v>431</v>
      </c>
      <c r="U317" s="94" t="s">
        <v>444</v>
      </c>
      <c r="W317" s="95">
        <v>0</v>
      </c>
      <c r="X317" s="96"/>
      <c r="Y317" s="97">
        <f t="shared" si="343"/>
        <v>46105</v>
      </c>
      <c r="Z317" s="98" t="str">
        <f>SUBSTITUTE('Digitas UK Task 26'!$O317, "Complet", "Not Requir")</f>
        <v>Not Required</v>
      </c>
      <c r="AA317" s="98" t="str">
        <f t="shared" si="339"/>
        <v>RE: WELLA | FY26Q3 SUPERNATURAL COLOR - FRANCE | TAG REQUEST</v>
      </c>
      <c r="AB317" s="99"/>
      <c r="AF317" s="84" t="str">
        <f t="shared" si="312"/>
        <v/>
      </c>
      <c r="AH317" s="84" t="str">
        <f t="shared" si="293"/>
        <v>PL_0_CR_0_AD_0_Jira_0_</v>
      </c>
      <c r="AI317" s="84" t="str">
        <f t="shared" si="294"/>
        <v/>
      </c>
      <c r="AJ317" s="84" t="str">
        <f>IF(Z317&lt;&gt;"Done","",(_xlfn.CONCAT("PL_",DigitasUKAdOp_26Team[[#This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18" spans="1:36" ht="15.75" customHeight="1" x14ac:dyDescent="0.3">
      <c r="A318" s="85" t="str">
        <f t="shared" si="373"/>
        <v>Mar : Tuesday</v>
      </c>
      <c r="B318" s="86">
        <v>46105</v>
      </c>
      <c r="C318" s="87" t="s">
        <v>318</v>
      </c>
      <c r="D318" s="88" t="s">
        <v>637</v>
      </c>
      <c r="E318" s="87" t="s">
        <v>428</v>
      </c>
      <c r="F318" s="88" t="s">
        <v>638</v>
      </c>
      <c r="G318" s="88" t="s">
        <v>639</v>
      </c>
      <c r="H318" s="87" t="s">
        <v>269</v>
      </c>
      <c r="I318" s="87" t="s">
        <v>431</v>
      </c>
      <c r="J318" s="88">
        <v>10</v>
      </c>
      <c r="K318" s="88">
        <v>10</v>
      </c>
      <c r="L318" s="88">
        <v>10</v>
      </c>
      <c r="M318" s="89">
        <v>46105</v>
      </c>
      <c r="N318" s="88">
        <v>1</v>
      </c>
      <c r="O318" s="90" t="s">
        <v>432</v>
      </c>
      <c r="Q318" s="91">
        <f t="shared" si="325"/>
        <v>13</v>
      </c>
      <c r="R318" s="91" t="str">
        <f t="shared" si="374"/>
        <v>Mar</v>
      </c>
      <c r="S318" s="92" t="str">
        <f t="shared" si="310"/>
        <v>Tuesday</v>
      </c>
      <c r="T318" s="93" t="s">
        <v>246</v>
      </c>
      <c r="U318" s="94" t="s">
        <v>433</v>
      </c>
      <c r="W318" s="95">
        <v>0.5</v>
      </c>
      <c r="X318" s="96"/>
      <c r="Y318" s="97">
        <f t="shared" si="343"/>
        <v>46105</v>
      </c>
      <c r="Z318" s="98" t="str">
        <f>SUBSTITUTE('Digitas UK Task 26'!$O318, "Complet", "Not Requir")</f>
        <v>Not Required</v>
      </c>
      <c r="AA318" s="98" t="str">
        <f t="shared" si="339"/>
        <v>RE: WELLA | FY26Q3 SUPERNATURAL COLOR - FRANCE | TAG REQUEST</v>
      </c>
      <c r="AB318" s="99"/>
      <c r="AF318" s="84" t="str">
        <f t="shared" si="312"/>
        <v/>
      </c>
      <c r="AH318" s="84" t="str">
        <f t="shared" si="293"/>
        <v>PL_10_CR_10_AD_10_Jira_0_</v>
      </c>
      <c r="AI318" s="84" t="str">
        <f t="shared" si="294"/>
        <v>PL_10_CR_10_AD_10_Jira_0_</v>
      </c>
      <c r="AJ318" s="84" t="str">
        <f>IF(Z318&lt;&gt;"Done","",(_xlfn.CONCAT("PL_",DigitasUKAdOp_26Team[[#This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19" spans="1:36" ht="15.75" customHeight="1" x14ac:dyDescent="0.3">
      <c r="A319" s="85" t="str">
        <f t="shared" si="338"/>
        <v>Mar : Tuesday</v>
      </c>
      <c r="B319" s="86">
        <v>46105</v>
      </c>
      <c r="C319" s="87" t="s">
        <v>43</v>
      </c>
      <c r="D319" s="88" t="s">
        <v>481</v>
      </c>
      <c r="E319" s="87" t="s">
        <v>428</v>
      </c>
      <c r="F319" s="88" t="s">
        <v>450</v>
      </c>
      <c r="G319" s="88" t="s">
        <v>450</v>
      </c>
      <c r="H319" s="87" t="s">
        <v>443</v>
      </c>
      <c r="I319" s="87" t="s">
        <v>250</v>
      </c>
      <c r="J319" s="88">
        <v>0</v>
      </c>
      <c r="K319" s="88">
        <v>0</v>
      </c>
      <c r="L319" s="88">
        <v>0</v>
      </c>
      <c r="M319" s="89">
        <v>46105</v>
      </c>
      <c r="N319" s="88">
        <v>1</v>
      </c>
      <c r="O319" s="90" t="s">
        <v>432</v>
      </c>
      <c r="Q319" s="91">
        <f t="shared" si="325"/>
        <v>13</v>
      </c>
      <c r="R319" s="91" t="str">
        <f t="shared" si="374"/>
        <v>Mar</v>
      </c>
      <c r="S319" s="92" t="str">
        <f t="shared" si="310"/>
        <v>Tuesday</v>
      </c>
      <c r="T319" s="93" t="s">
        <v>250</v>
      </c>
      <c r="U319" s="94" t="s">
        <v>444</v>
      </c>
      <c r="W319" s="95">
        <v>0</v>
      </c>
      <c r="X319" s="96"/>
      <c r="Y319" s="97">
        <f t="shared" si="343"/>
        <v>46105</v>
      </c>
      <c r="Z319" s="98" t="str">
        <f>SUBSTITUTE('Digitas UK Task 26'!$O319, "Complet", "Not Requir")</f>
        <v>Not Required</v>
      </c>
      <c r="AA319" s="98" t="str">
        <f t="shared" si="339"/>
        <v>NA</v>
      </c>
      <c r="AB319" s="99"/>
      <c r="AF319" s="84" t="str">
        <f t="shared" si="312"/>
        <v/>
      </c>
      <c r="AH319" s="84" t="str">
        <f t="shared" si="293"/>
        <v>PL_0_CR_0_AD_0_Jira_0_</v>
      </c>
      <c r="AI319" s="84" t="str">
        <f t="shared" si="294"/>
        <v/>
      </c>
      <c r="AJ319" s="84" t="str">
        <f>IF(Z319&lt;&gt;"Done","",(_xlfn.CONCAT("PL_",DigitasUKAdOp_26Team[[#This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20" spans="1:36" ht="15.75" customHeight="1" x14ac:dyDescent="0.35">
      <c r="A320" s="85" t="str">
        <f t="shared" si="338"/>
        <v>Mar : Wednesday</v>
      </c>
      <c r="B320" s="86">
        <v>46106</v>
      </c>
      <c r="C320" s="87" t="s">
        <v>355</v>
      </c>
      <c r="D320" s="88" t="s">
        <v>514</v>
      </c>
      <c r="E320" s="87" t="s">
        <v>428</v>
      </c>
      <c r="F320" s="88" t="s">
        <v>640</v>
      </c>
      <c r="G320" s="151" t="s">
        <v>641</v>
      </c>
      <c r="H320" s="87" t="s">
        <v>443</v>
      </c>
      <c r="I320" s="87" t="s">
        <v>246</v>
      </c>
      <c r="J320" s="88">
        <v>350</v>
      </c>
      <c r="K320" s="88">
        <v>350</v>
      </c>
      <c r="L320" s="88">
        <v>350</v>
      </c>
      <c r="M320" s="89">
        <v>46106</v>
      </c>
      <c r="N320" s="88">
        <v>1</v>
      </c>
      <c r="O320" s="90" t="s">
        <v>432</v>
      </c>
      <c r="Q320" s="91">
        <f t="shared" si="325"/>
        <v>13</v>
      </c>
      <c r="R320" s="91" t="str">
        <f t="shared" si="374"/>
        <v>Mar</v>
      </c>
      <c r="S320" s="92" t="str">
        <f t="shared" si="310"/>
        <v>Wednesday</v>
      </c>
      <c r="T320" s="93" t="s">
        <v>246</v>
      </c>
      <c r="U320" s="94" t="s">
        <v>444</v>
      </c>
      <c r="W320" s="95">
        <v>0</v>
      </c>
      <c r="X320" s="96"/>
      <c r="Y320" s="97">
        <f t="shared" si="343"/>
        <v>46106</v>
      </c>
      <c r="Z320" s="98" t="str">
        <f>SUBSTITUTE('Digitas UK Task 26'!$O320, "Complet", "Not Requir")</f>
        <v>Not Required</v>
      </c>
      <c r="AA320" s="98" t="str">
        <f t="shared" si="339"/>
        <v>https://jira.publicismedia.com/browse/TAAGPNG-1946</v>
      </c>
      <c r="AB320" s="99"/>
      <c r="AF320" s="84" t="str">
        <f t="shared" si="312"/>
        <v/>
      </c>
      <c r="AH320" s="84" t="str">
        <f t="shared" si="293"/>
        <v>PL_350_CR_350_AD_350_Jira_1946_</v>
      </c>
      <c r="AI320" s="84" t="str">
        <f t="shared" si="294"/>
        <v/>
      </c>
      <c r="AJ320" s="84" t="str">
        <f>IF(Z320&lt;&gt;"Done","",(_xlfn.CONCAT("PL_",DigitasUKAdOp_26Team[[#This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21" spans="1:36" ht="15.75" customHeight="1" x14ac:dyDescent="0.35">
      <c r="A321" s="85" t="str">
        <f t="shared" ref="A321:A322" si="375">IF(B321="","",TEXT(B321,"MMM : DDDD"))</f>
        <v>Mar : Wednesday</v>
      </c>
      <c r="B321" s="86">
        <v>46106</v>
      </c>
      <c r="C321" s="87" t="s">
        <v>355</v>
      </c>
      <c r="D321" s="88" t="s">
        <v>514</v>
      </c>
      <c r="E321" s="87" t="s">
        <v>428</v>
      </c>
      <c r="F321" s="88" t="s">
        <v>640</v>
      </c>
      <c r="G321" s="151" t="s">
        <v>641</v>
      </c>
      <c r="H321" s="87" t="s">
        <v>269</v>
      </c>
      <c r="I321" s="87" t="s">
        <v>246</v>
      </c>
      <c r="J321" s="88">
        <v>350</v>
      </c>
      <c r="K321" s="88">
        <v>350</v>
      </c>
      <c r="L321" s="88">
        <v>350</v>
      </c>
      <c r="M321" s="89">
        <v>46106</v>
      </c>
      <c r="N321" s="88">
        <v>9</v>
      </c>
      <c r="O321" s="90" t="s">
        <v>432</v>
      </c>
      <c r="Q321" s="91">
        <f t="shared" ref="Q321:Q322" si="376">IF(B321="","",WEEKNUM(B321))</f>
        <v>13</v>
      </c>
      <c r="R321" s="91" t="str">
        <f t="shared" ref="R321:R322" si="377">IF(B321="","",TEXT(B321,"MMM"))</f>
        <v>Mar</v>
      </c>
      <c r="S321" s="92" t="str">
        <f t="shared" ref="S321:S322" si="378">IF(B321="","",TEXT(B321,"DDDD"))</f>
        <v>Wednesday</v>
      </c>
      <c r="T321" s="93" t="s">
        <v>237</v>
      </c>
      <c r="U321" s="94" t="s">
        <v>433</v>
      </c>
      <c r="V321" s="95" t="s">
        <v>642</v>
      </c>
      <c r="W321" s="95">
        <v>5</v>
      </c>
      <c r="X321" s="96"/>
      <c r="Y321" s="97">
        <f t="shared" ref="Y321:Y322" si="379">IF(M321="","",M321)</f>
        <v>46106</v>
      </c>
      <c r="Z321" s="98" t="str">
        <f>SUBSTITUTE('Digitas UK Task 26'!$O321, "Complet", "Not Requir")</f>
        <v>Not Required</v>
      </c>
      <c r="AA321" s="98" t="str">
        <f t="shared" ref="AA321:AA322" si="380">IF(G321="","",G321)</f>
        <v>https://jira.publicismedia.com/browse/TAAGPNG-1946</v>
      </c>
      <c r="AB321" s="99"/>
      <c r="AF321" s="84" t="str">
        <f t="shared" ref="AF321:AF322" si="381">IF(AD321="","",WEEKNUM(AD321))</f>
        <v/>
      </c>
      <c r="AH321" s="84" t="str">
        <f t="shared" si="293"/>
        <v>PL_350_CR_350_AD_350_Jira_1946_</v>
      </c>
      <c r="AI321" s="84" t="str">
        <f t="shared" si="294"/>
        <v>PL_350_CR_350_AD_350_Jira_1946_</v>
      </c>
      <c r="AJ321" s="84" t="str">
        <f>IF(Z321&lt;&gt;"Done","",(_xlfn.CONCAT("PL_",DigitasUKAdOp_26Team[[#This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22" spans="1:36" ht="15.75" customHeight="1" x14ac:dyDescent="0.3">
      <c r="A322" s="85" t="str">
        <f t="shared" si="375"/>
        <v>Mar : Wednesday</v>
      </c>
      <c r="B322" s="86">
        <v>46106</v>
      </c>
      <c r="C322" s="87" t="s">
        <v>334</v>
      </c>
      <c r="D322" s="88" t="s">
        <v>465</v>
      </c>
      <c r="E322" s="87" t="s">
        <v>428</v>
      </c>
      <c r="F322" s="88" t="s">
        <v>450</v>
      </c>
      <c r="G322" s="88" t="s">
        <v>643</v>
      </c>
      <c r="H322" s="87" t="s">
        <v>443</v>
      </c>
      <c r="I322" s="87" t="s">
        <v>246</v>
      </c>
      <c r="J322" s="88">
        <v>0</v>
      </c>
      <c r="K322" s="88">
        <v>0</v>
      </c>
      <c r="L322" s="88">
        <v>0</v>
      </c>
      <c r="M322" s="89">
        <v>46106</v>
      </c>
      <c r="N322" s="88">
        <v>0.5</v>
      </c>
      <c r="O322" s="90" t="s">
        <v>432</v>
      </c>
      <c r="P322" s="88" t="s">
        <v>644</v>
      </c>
      <c r="Q322" s="91">
        <f t="shared" si="376"/>
        <v>13</v>
      </c>
      <c r="R322" s="91" t="str">
        <f t="shared" si="377"/>
        <v>Mar</v>
      </c>
      <c r="S322" s="92" t="str">
        <f t="shared" si="378"/>
        <v>Wednesday</v>
      </c>
      <c r="T322" s="93" t="s">
        <v>246</v>
      </c>
      <c r="U322" s="94" t="s">
        <v>444</v>
      </c>
      <c r="W322" s="95">
        <v>0</v>
      </c>
      <c r="X322" s="96"/>
      <c r="Y322" s="97">
        <f t="shared" si="379"/>
        <v>46106</v>
      </c>
      <c r="Z322" s="98" t="str">
        <f>SUBSTITUTE('Digitas UK Task 26'!$O322, "Complet", "Not Requir")</f>
        <v>Not Required</v>
      </c>
      <c r="AA322" s="98" t="str">
        <f t="shared" si="380"/>
        <v>Klaviyo UK</v>
      </c>
      <c r="AB322" s="99"/>
      <c r="AF322" s="84" t="str">
        <f t="shared" si="381"/>
        <v/>
      </c>
      <c r="AH322" s="84" t="str">
        <f t="shared" ref="AH322:AH385" si="382">IF(B322="","",_xlfn.CONCAT("PL_",J322,"_CR_",K322,"_AD_",L322,"_Jira_",IF(AND(C322="P&amp;G",ISNUMBER(SEARCH("TAAGPNG-",G322))),MID(G322,SEARCH("TAAGPNG-",G322)+8,LEN(G322)-SEARCH("TAAGPNG-",G322)-7),"0"),"_"))</f>
        <v>PL_0_CR_0_AD_0_Jira_0_</v>
      </c>
      <c r="AI322" s="84" t="str">
        <f t="shared" ref="AI322:AI385" si="383">IF(U322&lt;&gt;"Done","",_xlfn.CONCAT("PL_",J322,"_CR_",K322,"_AD_",L322,"_Jira_",IF(AND(C322="P&amp;G",ISNUMBER(SEARCH("TAAGPNG-",G322))),MID(G322,SEARCH("TAAGPNG-",G322)+8,LEN(G322)-SEARCH("TAAGPNG-",G322)-7),"0"),"_"))</f>
        <v/>
      </c>
      <c r="AJ322" s="84" t="str">
        <f>IF(Z322&lt;&gt;"Done","",(_xlfn.CONCAT("PL_",DigitasUKAdOp_26Team[[#This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23" spans="1:36" ht="15.75" customHeight="1" x14ac:dyDescent="0.3">
      <c r="A323" s="85" t="str">
        <f t="shared" si="338"/>
        <v>Mar : Wednesday</v>
      </c>
      <c r="B323" s="86">
        <v>46106</v>
      </c>
      <c r="C323" s="87" t="s">
        <v>43</v>
      </c>
      <c r="D323" s="88" t="s">
        <v>481</v>
      </c>
      <c r="E323" s="87" t="s">
        <v>428</v>
      </c>
      <c r="F323" s="88" t="s">
        <v>450</v>
      </c>
      <c r="G323" s="88" t="s">
        <v>645</v>
      </c>
      <c r="H323" s="87" t="s">
        <v>244</v>
      </c>
      <c r="I323" s="87" t="s">
        <v>237</v>
      </c>
      <c r="J323" s="88">
        <v>60</v>
      </c>
      <c r="K323" s="88">
        <v>60</v>
      </c>
      <c r="L323" s="88">
        <v>60</v>
      </c>
      <c r="M323" s="89">
        <v>46113</v>
      </c>
      <c r="N323" s="88">
        <v>5.5</v>
      </c>
      <c r="O323" s="90" t="s">
        <v>432</v>
      </c>
      <c r="Q323" s="91">
        <f t="shared" si="325"/>
        <v>13</v>
      </c>
      <c r="R323" s="91" t="str">
        <f t="shared" si="374"/>
        <v>Mar</v>
      </c>
      <c r="S323" s="92" t="str">
        <f t="shared" si="310"/>
        <v>Wednesday</v>
      </c>
      <c r="T323" s="93" t="s">
        <v>246</v>
      </c>
      <c r="U323" s="94" t="s">
        <v>433</v>
      </c>
      <c r="W323" s="95">
        <v>3</v>
      </c>
      <c r="X323" s="96"/>
      <c r="Y323" s="97">
        <f t="shared" si="343"/>
        <v>46113</v>
      </c>
      <c r="Z323" s="98" t="str">
        <f>SUBSTITUTE('Digitas UK Task 26'!$O323, "Complet", "Not Requir")</f>
        <v>Not Required</v>
      </c>
      <c r="AA323" s="98" t="str">
        <f t="shared" si="339"/>
        <v xml:space="preserve">RE: Crocs S2 '26 - Trafficking </v>
      </c>
      <c r="AB323" s="99"/>
      <c r="AF323" s="84" t="str">
        <f t="shared" si="312"/>
        <v/>
      </c>
      <c r="AH323" s="84" t="str">
        <f t="shared" si="382"/>
        <v>PL_60_CR_60_AD_60_Jira_0_</v>
      </c>
      <c r="AI323" s="84" t="str">
        <f t="shared" si="383"/>
        <v>PL_60_CR_60_AD_60_Jira_0_</v>
      </c>
      <c r="AJ323" s="84" t="str">
        <f>IF(Z323&lt;&gt;"Done","",(_xlfn.CONCAT("PL_",DigitasUKAdOp_26Team[[#This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24" spans="1:36" ht="15.75" customHeight="1" x14ac:dyDescent="0.3">
      <c r="A324" s="85" t="str">
        <f t="shared" si="338"/>
        <v>Mar : Wednesday</v>
      </c>
      <c r="B324" s="86">
        <v>46106</v>
      </c>
      <c r="C324" s="87" t="s">
        <v>43</v>
      </c>
      <c r="D324" s="88" t="s">
        <v>481</v>
      </c>
      <c r="E324" s="87" t="s">
        <v>428</v>
      </c>
      <c r="F324" s="88" t="s">
        <v>450</v>
      </c>
      <c r="G324" s="88" t="s">
        <v>645</v>
      </c>
      <c r="H324" s="87" t="s">
        <v>443</v>
      </c>
      <c r="I324" s="87" t="s">
        <v>237</v>
      </c>
      <c r="J324" s="88">
        <v>0</v>
      </c>
      <c r="K324" s="88">
        <v>0</v>
      </c>
      <c r="L324" s="88">
        <v>0</v>
      </c>
      <c r="M324" s="89">
        <v>46113</v>
      </c>
      <c r="N324" s="88">
        <v>2.5</v>
      </c>
      <c r="O324" s="90" t="s">
        <v>432</v>
      </c>
      <c r="Q324" s="91">
        <f t="shared" si="325"/>
        <v>13</v>
      </c>
      <c r="R324" s="91" t="str">
        <f t="shared" si="374"/>
        <v>Mar</v>
      </c>
      <c r="S324" s="92" t="str">
        <f t="shared" si="310"/>
        <v>Wednesday</v>
      </c>
      <c r="T324" s="93" t="s">
        <v>237</v>
      </c>
      <c r="U324" s="94" t="s">
        <v>444</v>
      </c>
      <c r="W324" s="95">
        <v>0</v>
      </c>
      <c r="X324" s="96"/>
      <c r="Y324" s="97">
        <f t="shared" si="343"/>
        <v>46113</v>
      </c>
      <c r="Z324" s="98" t="str">
        <f>SUBSTITUTE('Digitas UK Task 26'!$O324, "Complet", "Not Requir")</f>
        <v>Not Required</v>
      </c>
      <c r="AA324" s="98" t="str">
        <f t="shared" si="339"/>
        <v xml:space="preserve">RE: Crocs S2 '26 - Trafficking </v>
      </c>
      <c r="AB324" s="99"/>
      <c r="AF324" s="84" t="str">
        <f t="shared" si="312"/>
        <v/>
      </c>
      <c r="AH324" s="84" t="str">
        <f t="shared" si="382"/>
        <v>PL_0_CR_0_AD_0_Jira_0_</v>
      </c>
      <c r="AI324" s="84" t="str">
        <f t="shared" si="383"/>
        <v/>
      </c>
      <c r="AJ324" s="84" t="str">
        <f>IF(Z324&lt;&gt;"Done","",(_xlfn.CONCAT("PL_",DigitasUKAdOp_26Team[[#This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25" spans="1:36" ht="15.75" customHeight="1" x14ac:dyDescent="0.3">
      <c r="A325" s="85" t="str">
        <f t="shared" si="338"/>
        <v>Mar : Thursday</v>
      </c>
      <c r="B325" s="86">
        <v>46107</v>
      </c>
      <c r="C325" s="87" t="s">
        <v>43</v>
      </c>
      <c r="D325" s="88" t="s">
        <v>481</v>
      </c>
      <c r="E325" s="87" t="s">
        <v>428</v>
      </c>
      <c r="F325" s="88" t="s">
        <v>450</v>
      </c>
      <c r="G325" s="88" t="s">
        <v>645</v>
      </c>
      <c r="H325" s="87" t="s">
        <v>443</v>
      </c>
      <c r="I325" s="87" t="s">
        <v>237</v>
      </c>
      <c r="J325" s="88">
        <v>0</v>
      </c>
      <c r="K325" s="88">
        <v>0</v>
      </c>
      <c r="L325" s="88">
        <v>0</v>
      </c>
      <c r="M325" s="89">
        <v>46113</v>
      </c>
      <c r="N325" s="88">
        <v>1</v>
      </c>
      <c r="O325" s="90" t="s">
        <v>432</v>
      </c>
      <c r="Q325" s="91">
        <f t="shared" si="325"/>
        <v>13</v>
      </c>
      <c r="R325" s="91" t="str">
        <f t="shared" si="374"/>
        <v>Mar</v>
      </c>
      <c r="S325" s="92" t="str">
        <f t="shared" ref="S325:S389" si="384">IF(B325="","",TEXT(B325,"DDDD"))</f>
        <v>Thursday</v>
      </c>
      <c r="T325" s="93" t="s">
        <v>237</v>
      </c>
      <c r="U325" s="94" t="s">
        <v>444</v>
      </c>
      <c r="W325" s="95">
        <v>0</v>
      </c>
      <c r="X325" s="96"/>
      <c r="Y325" s="97">
        <f t="shared" si="343"/>
        <v>46113</v>
      </c>
      <c r="Z325" s="98" t="str">
        <f>SUBSTITUTE('Digitas UK Task 26'!$O325, "Complet", "Not Requir")</f>
        <v>Not Required</v>
      </c>
      <c r="AA325" s="98" t="str">
        <f t="shared" si="339"/>
        <v xml:space="preserve">RE: Crocs S2 '26 - Trafficking </v>
      </c>
      <c r="AB325" s="99"/>
      <c r="AF325" s="84" t="str">
        <f t="shared" si="312"/>
        <v/>
      </c>
      <c r="AH325" s="84" t="str">
        <f t="shared" si="382"/>
        <v>PL_0_CR_0_AD_0_Jira_0_</v>
      </c>
      <c r="AI325" s="84" t="str">
        <f t="shared" si="383"/>
        <v/>
      </c>
      <c r="AJ325" s="84" t="str">
        <f>IF(Z325&lt;&gt;"Done","",(_xlfn.CONCAT("PL_",DigitasUKAdOp_26Team[[#This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26" spans="1:36" ht="15.75" customHeight="1" x14ac:dyDescent="0.3">
      <c r="A326" s="85" t="str">
        <f t="shared" si="338"/>
        <v>Mar : Thursday</v>
      </c>
      <c r="B326" s="86">
        <v>46107</v>
      </c>
      <c r="C326" s="87" t="s">
        <v>43</v>
      </c>
      <c r="D326" s="88" t="s">
        <v>481</v>
      </c>
      <c r="E326" s="87" t="s">
        <v>428</v>
      </c>
      <c r="F326" s="88" t="s">
        <v>450</v>
      </c>
      <c r="G326" s="88" t="s">
        <v>645</v>
      </c>
      <c r="H326" s="87" t="s">
        <v>244</v>
      </c>
      <c r="I326" s="87" t="s">
        <v>237</v>
      </c>
      <c r="J326" s="88">
        <v>60</v>
      </c>
      <c r="K326" s="88">
        <v>60</v>
      </c>
      <c r="L326" s="88">
        <v>60</v>
      </c>
      <c r="M326" s="89">
        <v>46113</v>
      </c>
      <c r="N326" s="88">
        <v>2</v>
      </c>
      <c r="O326" s="90" t="s">
        <v>432</v>
      </c>
      <c r="Q326" s="91">
        <f t="shared" si="325"/>
        <v>13</v>
      </c>
      <c r="R326" s="91" t="str">
        <f t="shared" si="374"/>
        <v>Mar</v>
      </c>
      <c r="S326" s="92" t="str">
        <f t="shared" si="384"/>
        <v>Thursday</v>
      </c>
      <c r="T326" s="93" t="s">
        <v>246</v>
      </c>
      <c r="U326" s="94" t="s">
        <v>433</v>
      </c>
      <c r="W326" s="95">
        <v>1</v>
      </c>
      <c r="X326" s="96"/>
      <c r="Y326" s="97">
        <f t="shared" si="343"/>
        <v>46113</v>
      </c>
      <c r="Z326" s="98" t="str">
        <f>SUBSTITUTE('Digitas UK Task 26'!$O326, "Complet", "Not Requir")</f>
        <v>Not Required</v>
      </c>
      <c r="AA326" s="98" t="str">
        <f t="shared" si="339"/>
        <v xml:space="preserve">RE: Crocs S2 '26 - Trafficking </v>
      </c>
      <c r="AB326" s="99"/>
      <c r="AF326" s="84" t="str">
        <f t="shared" si="312"/>
        <v/>
      </c>
      <c r="AH326" s="84" t="str">
        <f t="shared" si="382"/>
        <v>PL_60_CR_60_AD_60_Jira_0_</v>
      </c>
      <c r="AI326" s="84" t="str">
        <f t="shared" si="383"/>
        <v>PL_60_CR_60_AD_60_Jira_0_</v>
      </c>
      <c r="AJ326" s="84" t="str">
        <f>IF(Z326&lt;&gt;"Done","",(_xlfn.CONCAT("PL_",DigitasUKAdOp_26Team[[#This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27" spans="1:36" ht="15.75" customHeight="1" x14ac:dyDescent="0.35">
      <c r="A327" s="85" t="str">
        <f t="shared" si="338"/>
        <v>Mar : Friday</v>
      </c>
      <c r="B327" s="86">
        <v>46108</v>
      </c>
      <c r="C327" s="87" t="s">
        <v>355</v>
      </c>
      <c r="D327" s="88" t="s">
        <v>514</v>
      </c>
      <c r="E327" s="87" t="s">
        <v>428</v>
      </c>
      <c r="F327" s="88" t="s">
        <v>646</v>
      </c>
      <c r="G327" s="151" t="s">
        <v>647</v>
      </c>
      <c r="H327" s="87" t="s">
        <v>269</v>
      </c>
      <c r="I327" s="87" t="s">
        <v>246</v>
      </c>
      <c r="J327" s="88">
        <v>100</v>
      </c>
      <c r="K327" s="88">
        <v>100</v>
      </c>
      <c r="L327" s="88">
        <v>100</v>
      </c>
      <c r="M327" s="89">
        <v>46108</v>
      </c>
      <c r="N327" s="88">
        <v>4</v>
      </c>
      <c r="O327" s="90" t="s">
        <v>432</v>
      </c>
      <c r="P327" s="88" t="s">
        <v>648</v>
      </c>
      <c r="Q327" s="91">
        <f t="shared" si="325"/>
        <v>13</v>
      </c>
      <c r="R327" s="91" t="str">
        <f t="shared" si="374"/>
        <v>Mar</v>
      </c>
      <c r="S327" s="92" t="str">
        <f t="shared" si="384"/>
        <v>Friday</v>
      </c>
      <c r="T327" s="93" t="s">
        <v>237</v>
      </c>
      <c r="U327" s="94" t="s">
        <v>433</v>
      </c>
      <c r="W327" s="95">
        <v>2</v>
      </c>
      <c r="X327" s="96"/>
      <c r="Y327" s="97">
        <f t="shared" si="343"/>
        <v>46108</v>
      </c>
      <c r="Z327" s="98" t="str">
        <f>SUBSTITUTE('Digitas UK Task 26'!$O327, "Complet", "Not Requir")</f>
        <v>Not Required</v>
      </c>
      <c r="AA327" s="98" t="str">
        <f t="shared" si="339"/>
        <v>https://jira.publicismedia.com/browse/TAAGPNG-1948</v>
      </c>
      <c r="AB327" s="99"/>
      <c r="AF327" s="84" t="str">
        <f t="shared" si="312"/>
        <v/>
      </c>
      <c r="AH327" s="84" t="str">
        <f t="shared" si="382"/>
        <v>PL_100_CR_100_AD_100_Jira_1948_</v>
      </c>
      <c r="AI327" s="84" t="str">
        <f t="shared" si="383"/>
        <v>PL_100_CR_100_AD_100_Jira_1948_</v>
      </c>
      <c r="AJ327" s="84" t="str">
        <f>IF(Z327&lt;&gt;"Done","",(_xlfn.CONCAT("PL_",DigitasUKAdOp_26Team[[#This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28" spans="1:36" ht="15.75" customHeight="1" x14ac:dyDescent="0.3">
      <c r="A328" s="85" t="str">
        <f t="shared" si="338"/>
        <v>Mar : Friday</v>
      </c>
      <c r="B328" s="86">
        <v>46108</v>
      </c>
      <c r="C328" s="87" t="s">
        <v>43</v>
      </c>
      <c r="D328" s="88" t="s">
        <v>481</v>
      </c>
      <c r="E328" s="87" t="s">
        <v>428</v>
      </c>
      <c r="F328" s="88" t="s">
        <v>649</v>
      </c>
      <c r="G328" s="88" t="s">
        <v>645</v>
      </c>
      <c r="H328" s="87" t="s">
        <v>269</v>
      </c>
      <c r="I328" s="87" t="s">
        <v>237</v>
      </c>
      <c r="J328" s="88">
        <v>20</v>
      </c>
      <c r="K328" s="88">
        <v>20</v>
      </c>
      <c r="L328" s="88">
        <v>20</v>
      </c>
      <c r="M328" s="89">
        <v>46113</v>
      </c>
      <c r="N328" s="88">
        <v>0.5</v>
      </c>
      <c r="O328" s="90" t="s">
        <v>432</v>
      </c>
      <c r="Q328" s="91">
        <f t="shared" si="325"/>
        <v>13</v>
      </c>
      <c r="R328" s="91" t="str">
        <f t="shared" si="374"/>
        <v>Mar</v>
      </c>
      <c r="S328" s="92" t="str">
        <f t="shared" si="384"/>
        <v>Friday</v>
      </c>
      <c r="T328" s="93" t="s">
        <v>246</v>
      </c>
      <c r="U328" s="94" t="s">
        <v>433</v>
      </c>
      <c r="W328" s="95">
        <v>0.25</v>
      </c>
      <c r="X328" s="96"/>
      <c r="Y328" s="97">
        <f t="shared" si="343"/>
        <v>46113</v>
      </c>
      <c r="Z328" s="98" t="str">
        <f>SUBSTITUTE('Digitas UK Task 26'!$O328, "Complet", "Not Requir")</f>
        <v>Not Required</v>
      </c>
      <c r="AA328" s="98" t="str">
        <f t="shared" si="339"/>
        <v xml:space="preserve">RE: Crocs S2 '26 - Trafficking </v>
      </c>
      <c r="AB328" s="99"/>
      <c r="AF328" s="84" t="str">
        <f t="shared" si="312"/>
        <v/>
      </c>
      <c r="AH328" s="84" t="str">
        <f t="shared" si="382"/>
        <v>PL_20_CR_20_AD_20_Jira_0_</v>
      </c>
      <c r="AI328" s="84" t="str">
        <f t="shared" si="383"/>
        <v>PL_20_CR_20_AD_20_Jira_0_</v>
      </c>
      <c r="AJ328" s="84" t="str">
        <f>IF(Z328&lt;&gt;"Done","",(_xlfn.CONCAT("PL_",DigitasUKAdOp_26Team[[#This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29" spans="1:36" ht="15.75" customHeight="1" x14ac:dyDescent="0.3">
      <c r="A329" s="85" t="str">
        <f t="shared" si="338"/>
        <v>Mar : Friday</v>
      </c>
      <c r="B329" s="86">
        <v>46108</v>
      </c>
      <c r="C329" s="87" t="s">
        <v>43</v>
      </c>
      <c r="D329" s="88" t="s">
        <v>481</v>
      </c>
      <c r="E329" s="87" t="s">
        <v>428</v>
      </c>
      <c r="F329" s="88" t="s">
        <v>650</v>
      </c>
      <c r="G329" s="88" t="s">
        <v>645</v>
      </c>
      <c r="H329" s="87" t="s">
        <v>269</v>
      </c>
      <c r="I329" s="87" t="s">
        <v>237</v>
      </c>
      <c r="J329" s="88">
        <v>25</v>
      </c>
      <c r="K329" s="88">
        <v>25</v>
      </c>
      <c r="L329" s="88">
        <v>25</v>
      </c>
      <c r="M329" s="89">
        <v>46113</v>
      </c>
      <c r="N329" s="88">
        <v>0.5</v>
      </c>
      <c r="O329" s="90" t="s">
        <v>432</v>
      </c>
      <c r="Q329" s="91">
        <f t="shared" si="325"/>
        <v>13</v>
      </c>
      <c r="R329" s="91" t="str">
        <f t="shared" si="374"/>
        <v>Mar</v>
      </c>
      <c r="S329" s="92" t="str">
        <f t="shared" si="384"/>
        <v>Friday</v>
      </c>
      <c r="T329" s="93" t="s">
        <v>246</v>
      </c>
      <c r="U329" s="94" t="s">
        <v>433</v>
      </c>
      <c r="W329" s="95">
        <v>0.25</v>
      </c>
      <c r="X329" s="96"/>
      <c r="Y329" s="97">
        <f t="shared" si="343"/>
        <v>46113</v>
      </c>
      <c r="Z329" s="98" t="str">
        <f>SUBSTITUTE('Digitas UK Task 26'!$O329, "Complet", "Not Requir")</f>
        <v>Not Required</v>
      </c>
      <c r="AA329" s="98" t="str">
        <f t="shared" si="339"/>
        <v xml:space="preserve">RE: Crocs S2 '26 - Trafficking </v>
      </c>
      <c r="AB329" s="99"/>
      <c r="AF329" s="84" t="str">
        <f t="shared" si="312"/>
        <v/>
      </c>
      <c r="AH329" s="84" t="str">
        <f t="shared" si="382"/>
        <v>PL_25_CR_25_AD_25_Jira_0_</v>
      </c>
      <c r="AI329" s="84" t="str">
        <f t="shared" si="383"/>
        <v>PL_25_CR_25_AD_25_Jira_0_</v>
      </c>
      <c r="AJ329" s="84" t="str">
        <f>IF(Z329&lt;&gt;"Done","",(_xlfn.CONCAT("PL_",DigitasUKAdOp_26Team[[#This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30" spans="1:36" ht="15.75" customHeight="1" x14ac:dyDescent="0.3">
      <c r="A330" s="85" t="str">
        <f t="shared" si="338"/>
        <v>Mar : Friday</v>
      </c>
      <c r="B330" s="86">
        <v>46108</v>
      </c>
      <c r="C330" s="87" t="s">
        <v>43</v>
      </c>
      <c r="D330" s="88" t="s">
        <v>481</v>
      </c>
      <c r="E330" s="87" t="s">
        <v>428</v>
      </c>
      <c r="F330" s="88" t="s">
        <v>651</v>
      </c>
      <c r="G330" s="88" t="s">
        <v>645</v>
      </c>
      <c r="H330" s="87" t="s">
        <v>269</v>
      </c>
      <c r="I330" s="87" t="s">
        <v>237</v>
      </c>
      <c r="J330" s="88">
        <v>20</v>
      </c>
      <c r="K330" s="88">
        <v>20</v>
      </c>
      <c r="L330" s="88">
        <v>20</v>
      </c>
      <c r="M330" s="89">
        <v>46113</v>
      </c>
      <c r="N330" s="88">
        <v>0.5</v>
      </c>
      <c r="O330" s="90" t="s">
        <v>432</v>
      </c>
      <c r="Q330" s="91">
        <f t="shared" si="325"/>
        <v>13</v>
      </c>
      <c r="R330" s="91" t="str">
        <f t="shared" si="374"/>
        <v>Mar</v>
      </c>
      <c r="S330" s="92" t="str">
        <f t="shared" si="384"/>
        <v>Friday</v>
      </c>
      <c r="T330" s="93" t="s">
        <v>246</v>
      </c>
      <c r="U330" s="94" t="s">
        <v>433</v>
      </c>
      <c r="W330" s="95">
        <v>0.25</v>
      </c>
      <c r="X330" s="96"/>
      <c r="Y330" s="97">
        <f t="shared" si="343"/>
        <v>46113</v>
      </c>
      <c r="Z330" s="98" t="str">
        <f>SUBSTITUTE('Digitas UK Task 26'!$O330, "Complet", "Not Requir")</f>
        <v>Not Required</v>
      </c>
      <c r="AA330" s="98" t="str">
        <f t="shared" si="339"/>
        <v xml:space="preserve">RE: Crocs S2 '26 - Trafficking </v>
      </c>
      <c r="AB330" s="99"/>
      <c r="AF330" s="84" t="str">
        <f t="shared" si="312"/>
        <v/>
      </c>
      <c r="AH330" s="84" t="str">
        <f t="shared" si="382"/>
        <v>PL_20_CR_20_AD_20_Jira_0_</v>
      </c>
      <c r="AI330" s="84" t="str">
        <f t="shared" si="383"/>
        <v>PL_20_CR_20_AD_20_Jira_0_</v>
      </c>
      <c r="AJ330" s="84" t="str">
        <f>IF(Z330&lt;&gt;"Done","",(_xlfn.CONCAT("PL_",DigitasUKAdOp_26Team[[#This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31" spans="1:36" ht="15.75" customHeight="1" x14ac:dyDescent="0.3">
      <c r="A331" s="85" t="str">
        <f t="shared" si="338"/>
        <v>Mar : Friday</v>
      </c>
      <c r="B331" s="86">
        <v>46108</v>
      </c>
      <c r="C331" s="87" t="s">
        <v>43</v>
      </c>
      <c r="D331" s="88" t="s">
        <v>481</v>
      </c>
      <c r="E331" s="87" t="s">
        <v>428</v>
      </c>
      <c r="F331" s="88" t="s">
        <v>652</v>
      </c>
      <c r="G331" s="88" t="s">
        <v>645</v>
      </c>
      <c r="H331" s="87" t="s">
        <v>269</v>
      </c>
      <c r="I331" s="87" t="s">
        <v>237</v>
      </c>
      <c r="J331" s="88">
        <v>20</v>
      </c>
      <c r="K331" s="88">
        <v>20</v>
      </c>
      <c r="L331" s="88">
        <v>20</v>
      </c>
      <c r="M331" s="89">
        <v>46113</v>
      </c>
      <c r="N331" s="88">
        <v>0.5</v>
      </c>
      <c r="O331" s="90" t="s">
        <v>432</v>
      </c>
      <c r="Q331" s="91">
        <f t="shared" si="325"/>
        <v>13</v>
      </c>
      <c r="R331" s="91" t="str">
        <f t="shared" si="374"/>
        <v>Mar</v>
      </c>
      <c r="S331" s="92" t="str">
        <f t="shared" si="384"/>
        <v>Friday</v>
      </c>
      <c r="T331" s="93" t="s">
        <v>246</v>
      </c>
      <c r="U331" s="94" t="s">
        <v>433</v>
      </c>
      <c r="W331" s="95">
        <v>0.25</v>
      </c>
      <c r="X331" s="96"/>
      <c r="Y331" s="97">
        <f t="shared" si="343"/>
        <v>46113</v>
      </c>
      <c r="Z331" s="98" t="str">
        <f>SUBSTITUTE('Digitas UK Task 26'!$O331, "Complet", "Not Requir")</f>
        <v>Not Required</v>
      </c>
      <c r="AA331" s="98" t="str">
        <f t="shared" si="339"/>
        <v xml:space="preserve">RE: Crocs S2 '26 - Trafficking </v>
      </c>
      <c r="AB331" s="99"/>
      <c r="AF331" s="84" t="str">
        <f t="shared" ref="AF331:AF390" si="385">IF(AD331="","",WEEKNUM(AD331))</f>
        <v/>
      </c>
      <c r="AH331" s="84" t="str">
        <f t="shared" si="382"/>
        <v>PL_20_CR_20_AD_20_Jira_0_</v>
      </c>
      <c r="AI331" s="84" t="str">
        <f t="shared" si="383"/>
        <v>PL_20_CR_20_AD_20_Jira_0_</v>
      </c>
      <c r="AJ331" s="84" t="str">
        <f>IF(Z331&lt;&gt;"Done","",(_xlfn.CONCAT("PL_",DigitasUKAdOp_26Team[[#This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32" spans="1:36" ht="15.75" customHeight="1" x14ac:dyDescent="0.3">
      <c r="A332" s="85" t="str">
        <f t="shared" si="338"/>
        <v>Mar : Friday</v>
      </c>
      <c r="B332" s="86">
        <v>46108</v>
      </c>
      <c r="C332" s="87" t="s">
        <v>43</v>
      </c>
      <c r="D332" s="88" t="s">
        <v>481</v>
      </c>
      <c r="E332" s="87" t="s">
        <v>428</v>
      </c>
      <c r="F332" s="88" t="s">
        <v>653</v>
      </c>
      <c r="G332" s="88" t="s">
        <v>645</v>
      </c>
      <c r="H332" s="87" t="s">
        <v>269</v>
      </c>
      <c r="I332" s="87" t="s">
        <v>237</v>
      </c>
      <c r="J332" s="88">
        <v>20</v>
      </c>
      <c r="K332" s="88">
        <v>20</v>
      </c>
      <c r="L332" s="88">
        <v>20</v>
      </c>
      <c r="M332" s="89">
        <v>46113</v>
      </c>
      <c r="N332" s="88">
        <v>0.5</v>
      </c>
      <c r="O332" s="90" t="s">
        <v>432</v>
      </c>
      <c r="Q332" s="91">
        <f t="shared" ref="Q332:Q342" si="386">IF(B332="","",WEEKNUM(B332))</f>
        <v>13</v>
      </c>
      <c r="R332" s="91" t="str">
        <f t="shared" ref="R332:R399" si="387">IF(B332="","",TEXT(B332,"MMM"))</f>
        <v>Mar</v>
      </c>
      <c r="S332" s="92" t="str">
        <f t="shared" si="384"/>
        <v>Friday</v>
      </c>
      <c r="T332" s="93" t="s">
        <v>246</v>
      </c>
      <c r="U332" s="94" t="s">
        <v>433</v>
      </c>
      <c r="W332" s="95">
        <v>0.25</v>
      </c>
      <c r="X332" s="96"/>
      <c r="Y332" s="97">
        <f t="shared" si="343"/>
        <v>46113</v>
      </c>
      <c r="Z332" s="98" t="str">
        <f>SUBSTITUTE('Digitas UK Task 26'!$O332, "Complet", "Not Requir")</f>
        <v>Not Required</v>
      </c>
      <c r="AA332" s="98" t="str">
        <f t="shared" si="339"/>
        <v xml:space="preserve">RE: Crocs S2 '26 - Trafficking </v>
      </c>
      <c r="AB332" s="99"/>
      <c r="AF332" s="84" t="str">
        <f t="shared" si="385"/>
        <v/>
      </c>
      <c r="AH332" s="84" t="str">
        <f t="shared" si="382"/>
        <v>PL_20_CR_20_AD_20_Jira_0_</v>
      </c>
      <c r="AI332" s="84" t="str">
        <f t="shared" si="383"/>
        <v>PL_20_CR_20_AD_20_Jira_0_</v>
      </c>
      <c r="AJ332" s="84" t="str">
        <f>IF(Z332&lt;&gt;"Done","",(_xlfn.CONCAT("PL_",DigitasUKAdOp_26Team[[#This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33" spans="1:36" ht="15.75" customHeight="1" x14ac:dyDescent="0.3">
      <c r="A333" s="85" t="str">
        <f t="shared" si="338"/>
        <v>Mar : Friday</v>
      </c>
      <c r="B333" s="86">
        <v>46108</v>
      </c>
      <c r="C333" s="87" t="s">
        <v>43</v>
      </c>
      <c r="D333" s="88" t="s">
        <v>481</v>
      </c>
      <c r="E333" s="87" t="s">
        <v>428</v>
      </c>
      <c r="F333" s="88" t="s">
        <v>654</v>
      </c>
      <c r="G333" s="88" t="s">
        <v>645</v>
      </c>
      <c r="H333" s="87" t="s">
        <v>269</v>
      </c>
      <c r="I333" s="87" t="s">
        <v>237</v>
      </c>
      <c r="J333" s="88">
        <v>25</v>
      </c>
      <c r="K333" s="88">
        <v>25</v>
      </c>
      <c r="L333" s="88">
        <v>25</v>
      </c>
      <c r="M333" s="89">
        <v>46113</v>
      </c>
      <c r="N333" s="88">
        <v>0.5</v>
      </c>
      <c r="O333" s="90" t="s">
        <v>432</v>
      </c>
      <c r="Q333" s="91">
        <f t="shared" si="386"/>
        <v>13</v>
      </c>
      <c r="R333" s="91" t="str">
        <f t="shared" si="387"/>
        <v>Mar</v>
      </c>
      <c r="S333" s="92" t="str">
        <f t="shared" si="384"/>
        <v>Friday</v>
      </c>
      <c r="T333" s="93" t="s">
        <v>246</v>
      </c>
      <c r="U333" s="94" t="s">
        <v>433</v>
      </c>
      <c r="W333" s="95">
        <v>0.25</v>
      </c>
      <c r="X333" s="96"/>
      <c r="Y333" s="97">
        <f t="shared" si="343"/>
        <v>46113</v>
      </c>
      <c r="Z333" s="98" t="str">
        <f>SUBSTITUTE('Digitas UK Task 26'!$O333, "Complet", "Not Requir")</f>
        <v>Not Required</v>
      </c>
      <c r="AA333" s="98" t="str">
        <f t="shared" si="339"/>
        <v xml:space="preserve">RE: Crocs S2 '26 - Trafficking </v>
      </c>
      <c r="AB333" s="99"/>
      <c r="AF333" s="84" t="str">
        <f t="shared" si="385"/>
        <v/>
      </c>
      <c r="AH333" s="84" t="str">
        <f t="shared" si="382"/>
        <v>PL_25_CR_25_AD_25_Jira_0_</v>
      </c>
      <c r="AI333" s="84" t="str">
        <f t="shared" si="383"/>
        <v>PL_25_CR_25_AD_25_Jira_0_</v>
      </c>
      <c r="AJ333" s="84" t="str">
        <f>IF(Z333&lt;&gt;"Done","",(_xlfn.CONCAT("PL_",DigitasUKAdOp_26Team[[#This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34" spans="1:36" ht="15.75" customHeight="1" x14ac:dyDescent="0.3">
      <c r="A334" s="85" t="str">
        <f t="shared" ref="A334:A335" si="388">IF(B334="","",TEXT(B334,"MMM : DDDD"))</f>
        <v>Mar : Friday</v>
      </c>
      <c r="B334" s="86">
        <v>46108</v>
      </c>
      <c r="C334" s="87" t="s">
        <v>43</v>
      </c>
      <c r="D334" s="88" t="s">
        <v>481</v>
      </c>
      <c r="E334" s="87" t="s">
        <v>428</v>
      </c>
      <c r="F334" s="88" t="s">
        <v>450</v>
      </c>
      <c r="G334" s="88" t="s">
        <v>645</v>
      </c>
      <c r="H334" s="87" t="s">
        <v>443</v>
      </c>
      <c r="I334" s="87" t="s">
        <v>237</v>
      </c>
      <c r="J334" s="88">
        <v>0</v>
      </c>
      <c r="K334" s="88">
        <v>0</v>
      </c>
      <c r="L334" s="88">
        <v>0</v>
      </c>
      <c r="M334" s="89">
        <v>46113</v>
      </c>
      <c r="N334" s="88">
        <v>1.5</v>
      </c>
      <c r="O334" s="90" t="s">
        <v>432</v>
      </c>
      <c r="Q334" s="91">
        <f t="shared" si="386"/>
        <v>13</v>
      </c>
      <c r="R334" s="91" t="str">
        <f t="shared" si="387"/>
        <v>Mar</v>
      </c>
      <c r="S334" s="92" t="str">
        <f t="shared" ref="S334:S335" si="389">IF(B334="","",TEXT(B334,"DDDD"))</f>
        <v>Friday</v>
      </c>
      <c r="T334" s="93" t="s">
        <v>237</v>
      </c>
      <c r="U334" s="94" t="s">
        <v>444</v>
      </c>
      <c r="W334" s="95">
        <v>0</v>
      </c>
      <c r="X334" s="96"/>
      <c r="Y334" s="97">
        <f t="shared" ref="Y334:Y335" si="390">IF(M334="","",M334)</f>
        <v>46113</v>
      </c>
      <c r="Z334" s="98" t="str">
        <f>SUBSTITUTE('Digitas UK Task 26'!$O334, "Complet", "Not Requir")</f>
        <v>Not Required</v>
      </c>
      <c r="AA334" s="98" t="str">
        <f t="shared" ref="AA334:AA335" si="391">IF(G334="","",G334)</f>
        <v xml:space="preserve">RE: Crocs S2 '26 - Trafficking </v>
      </c>
      <c r="AB334" s="99"/>
      <c r="AF334" s="84" t="str">
        <f t="shared" si="385"/>
        <v/>
      </c>
      <c r="AH334" s="84" t="str">
        <f t="shared" si="382"/>
        <v>PL_0_CR_0_AD_0_Jira_0_</v>
      </c>
      <c r="AI334" s="84" t="str">
        <f t="shared" si="383"/>
        <v/>
      </c>
      <c r="AJ334" s="84" t="str">
        <f>IF(Z334&lt;&gt;"Done","",(_xlfn.CONCAT("PL_",DigitasUKAdOp_26Team[[#This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35" spans="1:36" ht="15.75" customHeight="1" x14ac:dyDescent="0.35">
      <c r="A335" s="85" t="str">
        <f t="shared" si="388"/>
        <v>Mar : Monday</v>
      </c>
      <c r="B335" s="86">
        <v>46111</v>
      </c>
      <c r="C335" s="87" t="s">
        <v>355</v>
      </c>
      <c r="D335" s="88" t="s">
        <v>514</v>
      </c>
      <c r="E335" s="87" t="s">
        <v>428</v>
      </c>
      <c r="F335" s="88" t="s">
        <v>655</v>
      </c>
      <c r="G335" s="151" t="s">
        <v>656</v>
      </c>
      <c r="H335" s="87" t="s">
        <v>269</v>
      </c>
      <c r="I335" s="87" t="s">
        <v>246</v>
      </c>
      <c r="J335" s="88">
        <v>50</v>
      </c>
      <c r="K335" s="88">
        <v>50</v>
      </c>
      <c r="L335" s="88">
        <v>50</v>
      </c>
      <c r="M335" s="89">
        <v>46111</v>
      </c>
      <c r="N335" s="88">
        <v>1</v>
      </c>
      <c r="O335" s="90" t="s">
        <v>432</v>
      </c>
      <c r="Q335" s="91">
        <f t="shared" si="386"/>
        <v>14</v>
      </c>
      <c r="R335" s="91" t="str">
        <f t="shared" si="387"/>
        <v>Mar</v>
      </c>
      <c r="S335" s="92" t="str">
        <f t="shared" si="389"/>
        <v>Monday</v>
      </c>
      <c r="T335" s="93" t="s">
        <v>237</v>
      </c>
      <c r="U335" s="94" t="s">
        <v>433</v>
      </c>
      <c r="W335" s="95">
        <v>0.5</v>
      </c>
      <c r="X335" s="96"/>
      <c r="Y335" s="97">
        <f t="shared" si="390"/>
        <v>46111</v>
      </c>
      <c r="Z335" s="98" t="str">
        <f>SUBSTITUTE('Digitas UK Task 26'!$O335, "Complet", "Not Requir")</f>
        <v>Not Required</v>
      </c>
      <c r="AA335" s="98" t="str">
        <f t="shared" si="391"/>
        <v>https://jira.publicismedia.com/browse/TAAGPNG-1950</v>
      </c>
      <c r="AB335" s="99"/>
      <c r="AF335" s="84" t="str">
        <f t="shared" si="385"/>
        <v/>
      </c>
      <c r="AH335" s="84" t="str">
        <f t="shared" si="382"/>
        <v>PL_50_CR_50_AD_50_Jira_1950_</v>
      </c>
      <c r="AI335" s="84" t="str">
        <f t="shared" si="383"/>
        <v>PL_50_CR_50_AD_50_Jira_1950_</v>
      </c>
      <c r="AJ335" s="84" t="str">
        <f>IF(Z335&lt;&gt;"Done","",(_xlfn.CONCAT("PL_",DigitasUKAdOp_26Team[[#This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36" spans="1:36" ht="15.75" customHeight="1" x14ac:dyDescent="0.35">
      <c r="A336" s="85" t="str">
        <f t="shared" ref="A336:A337" si="392">IF(B336="","",TEXT(B336,"MMM : DDDD"))</f>
        <v>Mar : Tuesday</v>
      </c>
      <c r="B336" s="86">
        <v>46112</v>
      </c>
      <c r="C336" s="87" t="s">
        <v>355</v>
      </c>
      <c r="D336" s="88" t="s">
        <v>514</v>
      </c>
      <c r="E336" s="87" t="s">
        <v>428</v>
      </c>
      <c r="F336" s="88" t="s">
        <v>657</v>
      </c>
      <c r="G336" s="151" t="s">
        <v>658</v>
      </c>
      <c r="H336" s="87" t="s">
        <v>269</v>
      </c>
      <c r="I336" s="87" t="s">
        <v>246</v>
      </c>
      <c r="J336" s="88">
        <v>50</v>
      </c>
      <c r="K336" s="88">
        <v>50</v>
      </c>
      <c r="L336" s="88">
        <v>50</v>
      </c>
      <c r="M336" s="89">
        <v>46112</v>
      </c>
      <c r="N336" s="88">
        <v>1</v>
      </c>
      <c r="O336" s="90" t="s">
        <v>432</v>
      </c>
      <c r="Q336" s="91">
        <f t="shared" ref="Q336:Q337" si="393">IF(B336="","",WEEKNUM(B336))</f>
        <v>14</v>
      </c>
      <c r="R336" s="91" t="str">
        <f t="shared" ref="R336:R337" si="394">IF(B336="","",TEXT(B336,"MMM"))</f>
        <v>Mar</v>
      </c>
      <c r="S336" s="92" t="str">
        <f t="shared" ref="S336:S337" si="395">IF(B336="","",TEXT(B336,"DDDD"))</f>
        <v>Tuesday</v>
      </c>
      <c r="T336" s="93" t="s">
        <v>237</v>
      </c>
      <c r="U336" s="94" t="s">
        <v>433</v>
      </c>
      <c r="W336" s="95">
        <v>0.5</v>
      </c>
      <c r="X336" s="96"/>
      <c r="Y336" s="97">
        <f t="shared" ref="Y336:Y337" si="396">IF(M336="","",M336)</f>
        <v>46112</v>
      </c>
      <c r="Z336" s="98" t="str">
        <f>SUBSTITUTE('Digitas UK Task 26'!$O336, "Complet", "Not Requir")</f>
        <v>Not Required</v>
      </c>
      <c r="AA336" s="98" t="str">
        <f t="shared" ref="AA336:AA337" si="397">IF(G336="","",G336)</f>
        <v>https://jira.publicismedia.com/browse/TAAGPNG-1952</v>
      </c>
      <c r="AB336" s="99"/>
      <c r="AF336" s="84" t="str">
        <f t="shared" ref="AF336:AF337" si="398">IF(AD336="","",WEEKNUM(AD336))</f>
        <v/>
      </c>
      <c r="AH336" s="84" t="str">
        <f t="shared" si="382"/>
        <v>PL_50_CR_50_AD_50_Jira_1952_</v>
      </c>
      <c r="AI336" s="84" t="str">
        <f t="shared" si="383"/>
        <v>PL_50_CR_50_AD_50_Jira_1952_</v>
      </c>
      <c r="AJ336" s="84" t="str">
        <f>IF(Z336&lt;&gt;"Done","",(_xlfn.CONCAT("PL_",DigitasUKAdOp_26Team[[#This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37" spans="1:36" ht="15.75" customHeight="1" x14ac:dyDescent="0.3">
      <c r="A337" s="85" t="str">
        <f t="shared" si="392"/>
        <v>Mar : Tuesday</v>
      </c>
      <c r="B337" s="86">
        <v>46112</v>
      </c>
      <c r="C337" s="87" t="s">
        <v>325</v>
      </c>
      <c r="D337" s="88" t="s">
        <v>555</v>
      </c>
      <c r="E337" s="87" t="s">
        <v>428</v>
      </c>
      <c r="F337" s="88" t="s">
        <v>659</v>
      </c>
      <c r="G337" s="88" t="s">
        <v>554</v>
      </c>
      <c r="H337" s="87" t="s">
        <v>269</v>
      </c>
      <c r="I337" s="87" t="s">
        <v>237</v>
      </c>
      <c r="J337" s="88">
        <v>10</v>
      </c>
      <c r="K337" s="88">
        <v>10</v>
      </c>
      <c r="L337" s="88">
        <v>10</v>
      </c>
      <c r="M337" s="89">
        <v>46112</v>
      </c>
      <c r="N337" s="88">
        <v>1</v>
      </c>
      <c r="O337" s="90" t="s">
        <v>432</v>
      </c>
      <c r="Q337" s="91">
        <f t="shared" si="393"/>
        <v>14</v>
      </c>
      <c r="R337" s="91" t="str">
        <f t="shared" si="394"/>
        <v>Mar</v>
      </c>
      <c r="S337" s="92" t="str">
        <f t="shared" si="395"/>
        <v>Tuesday</v>
      </c>
      <c r="T337" s="93" t="s">
        <v>246</v>
      </c>
      <c r="U337" s="94" t="s">
        <v>433</v>
      </c>
      <c r="W337" s="95">
        <v>0.5</v>
      </c>
      <c r="X337" s="96"/>
      <c r="Y337" s="97">
        <f t="shared" si="396"/>
        <v>46112</v>
      </c>
      <c r="Z337" s="98" t="str">
        <f>SUBSTITUTE('Digitas UK Task 26'!$O337, "Complet", "Not Requir")</f>
        <v>Not Required</v>
      </c>
      <c r="AA337" s="98" t="str">
        <f t="shared" si="397"/>
        <v>RE: URGENT - Cathay Pacific trafficking - DIG AUDIO</v>
      </c>
      <c r="AB337" s="99"/>
      <c r="AF337" s="84" t="str">
        <f t="shared" si="398"/>
        <v/>
      </c>
      <c r="AH337" s="84" t="str">
        <f t="shared" si="382"/>
        <v>PL_10_CR_10_AD_10_Jira_0_</v>
      </c>
      <c r="AI337" s="84" t="str">
        <f t="shared" si="383"/>
        <v>PL_10_CR_10_AD_10_Jira_0_</v>
      </c>
      <c r="AJ337" s="84" t="str">
        <f>IF(Z337&lt;&gt;"Done","",(_xlfn.CONCAT("PL_",DigitasUKAdOp_26Team[[#This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38" spans="1:36" ht="15.75" customHeight="1" x14ac:dyDescent="0.3">
      <c r="A338" s="85" t="str">
        <f t="shared" si="338"/>
        <v>Mar : Tuesday</v>
      </c>
      <c r="B338" s="86">
        <v>46112</v>
      </c>
      <c r="C338" s="87" t="s">
        <v>318</v>
      </c>
      <c r="D338" s="88" t="s">
        <v>637</v>
      </c>
      <c r="E338" s="87" t="s">
        <v>428</v>
      </c>
      <c r="F338" s="88" t="s">
        <v>660</v>
      </c>
      <c r="G338" s="88" t="s">
        <v>661</v>
      </c>
      <c r="H338" s="87" t="s">
        <v>269</v>
      </c>
      <c r="I338" s="87" t="s">
        <v>431</v>
      </c>
      <c r="J338" s="88">
        <v>3</v>
      </c>
      <c r="K338" s="88">
        <v>3</v>
      </c>
      <c r="L338" s="88">
        <v>3</v>
      </c>
      <c r="M338" s="89">
        <v>46112</v>
      </c>
      <c r="N338" s="88">
        <v>0.5</v>
      </c>
      <c r="O338" s="90" t="s">
        <v>432</v>
      </c>
      <c r="Q338" s="91">
        <f t="shared" si="386"/>
        <v>14</v>
      </c>
      <c r="R338" s="91" t="str">
        <f t="shared" si="387"/>
        <v>Mar</v>
      </c>
      <c r="S338" s="92" t="str">
        <f t="shared" si="384"/>
        <v>Tuesday</v>
      </c>
      <c r="T338" s="93" t="s">
        <v>237</v>
      </c>
      <c r="U338" s="94" t="s">
        <v>433</v>
      </c>
      <c r="W338" s="95">
        <v>0.25</v>
      </c>
      <c r="X338" s="96"/>
      <c r="Y338" s="97">
        <f t="shared" si="343"/>
        <v>46112</v>
      </c>
      <c r="Z338" s="98" t="str">
        <f>SUBSTITUTE('Digitas UK Task 26'!$O338, "Complet", "Not Requir")</f>
        <v>Not Required</v>
      </c>
      <c r="AA338" s="98" t="str">
        <f t="shared" si="339"/>
        <v>RE: WELLA | FY26Q3 SEBASTIAN - IBERIA | TAG REQUEST</v>
      </c>
      <c r="AB338" s="99"/>
      <c r="AF338" s="84" t="str">
        <f t="shared" si="385"/>
        <v/>
      </c>
      <c r="AH338" s="84" t="str">
        <f t="shared" si="382"/>
        <v>PL_3_CR_3_AD_3_Jira_0_</v>
      </c>
      <c r="AI338" s="84" t="str">
        <f t="shared" si="383"/>
        <v>PL_3_CR_3_AD_3_Jira_0_</v>
      </c>
      <c r="AJ338" s="84" t="str">
        <f>IF(Z338&lt;&gt;"Done","",(_xlfn.CONCAT("PL_",DigitasUKAdOp_26Team[[#This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39" spans="1:36" ht="15.75" customHeight="1" x14ac:dyDescent="0.3">
      <c r="A339" s="85" t="str">
        <f t="shared" ref="A339" si="399">IF(B339="","",TEXT(B339,"MMM : DDDD"))</f>
        <v>Mar : Tuesday</v>
      </c>
      <c r="B339" s="86">
        <v>46112</v>
      </c>
      <c r="C339" s="87" t="s">
        <v>318</v>
      </c>
      <c r="D339" s="88" t="s">
        <v>637</v>
      </c>
      <c r="E339" s="87" t="s">
        <v>428</v>
      </c>
      <c r="F339" s="88" t="s">
        <v>662</v>
      </c>
      <c r="G339" s="88" t="s">
        <v>661</v>
      </c>
      <c r="H339" s="87" t="s">
        <v>269</v>
      </c>
      <c r="I339" s="87" t="s">
        <v>431</v>
      </c>
      <c r="J339" s="88">
        <v>2</v>
      </c>
      <c r="K339" s="88">
        <v>2</v>
      </c>
      <c r="L339" s="88">
        <v>2</v>
      </c>
      <c r="M339" s="89">
        <v>46112</v>
      </c>
      <c r="N339" s="88">
        <v>0.5</v>
      </c>
      <c r="O339" s="90" t="s">
        <v>432</v>
      </c>
      <c r="Q339" s="91">
        <f t="shared" si="386"/>
        <v>14</v>
      </c>
      <c r="R339" s="91" t="str">
        <f t="shared" si="387"/>
        <v>Mar</v>
      </c>
      <c r="S339" s="92" t="str">
        <f t="shared" si="384"/>
        <v>Tuesday</v>
      </c>
      <c r="T339" s="93" t="s">
        <v>237</v>
      </c>
      <c r="U339" s="94" t="s">
        <v>433</v>
      </c>
      <c r="V339" s="95" t="s">
        <v>663</v>
      </c>
      <c r="W339" s="95">
        <v>0.25</v>
      </c>
      <c r="X339" s="96"/>
      <c r="Y339" s="97">
        <f t="shared" si="343"/>
        <v>46112</v>
      </c>
      <c r="Z339" s="98" t="str">
        <f>SUBSTITUTE('Digitas UK Task 26'!$O339, "Complet", "Not Requir")</f>
        <v>Not Required</v>
      </c>
      <c r="AA339" s="98" t="str">
        <f t="shared" si="339"/>
        <v>RE: WELLA | FY26Q3 SEBASTIAN - IBERIA | TAG REQUEST</v>
      </c>
      <c r="AB339" s="99"/>
      <c r="AF339" s="84" t="str">
        <f t="shared" si="385"/>
        <v/>
      </c>
      <c r="AH339" s="84" t="str">
        <f t="shared" si="382"/>
        <v>PL_2_CR_2_AD_2_Jira_0_</v>
      </c>
      <c r="AI339" s="84" t="str">
        <f t="shared" si="383"/>
        <v>PL_2_CR_2_AD_2_Jira_0_</v>
      </c>
      <c r="AJ339" s="84" t="str">
        <f>IF(Z339&lt;&gt;"Done","",(_xlfn.CONCAT("PL_",DigitasUKAdOp_26Team[[#This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40" spans="1:36" ht="15.75" customHeight="1" x14ac:dyDescent="0.3">
      <c r="A340" s="85" t="str">
        <f t="shared" si="338"/>
        <v>Mar : Tuesday</v>
      </c>
      <c r="B340" s="86">
        <v>46112</v>
      </c>
      <c r="C340" s="87" t="s">
        <v>318</v>
      </c>
      <c r="D340" s="88" t="s">
        <v>637</v>
      </c>
      <c r="E340" s="87" t="s">
        <v>428</v>
      </c>
      <c r="F340" s="88" t="s">
        <v>660</v>
      </c>
      <c r="G340" s="88" t="s">
        <v>661</v>
      </c>
      <c r="H340" s="87" t="s">
        <v>443</v>
      </c>
      <c r="I340" s="87" t="s">
        <v>431</v>
      </c>
      <c r="J340" s="88">
        <v>0</v>
      </c>
      <c r="K340" s="88">
        <v>0</v>
      </c>
      <c r="L340" s="88">
        <v>0</v>
      </c>
      <c r="M340" s="89">
        <v>46112</v>
      </c>
      <c r="N340" s="88">
        <v>0.5</v>
      </c>
      <c r="O340" s="90" t="s">
        <v>432</v>
      </c>
      <c r="Q340" s="91">
        <f t="shared" si="386"/>
        <v>14</v>
      </c>
      <c r="R340" s="91" t="str">
        <f t="shared" si="387"/>
        <v>Mar</v>
      </c>
      <c r="S340" s="92" t="str">
        <f t="shared" si="384"/>
        <v>Tuesday</v>
      </c>
      <c r="T340" s="93" t="s">
        <v>431</v>
      </c>
      <c r="U340" s="94" t="s">
        <v>444</v>
      </c>
      <c r="W340" s="95">
        <v>0</v>
      </c>
      <c r="X340" s="96"/>
      <c r="Y340" s="97">
        <f t="shared" si="343"/>
        <v>46112</v>
      </c>
      <c r="Z340" s="98" t="str">
        <f>SUBSTITUTE('Digitas UK Task 26'!$O340, "Complet", "Not Requir")</f>
        <v>Not Required</v>
      </c>
      <c r="AA340" s="98" t="str">
        <f t="shared" si="339"/>
        <v>RE: WELLA | FY26Q3 SEBASTIAN - IBERIA | TAG REQUEST</v>
      </c>
      <c r="AB340" s="99"/>
      <c r="AF340" s="84" t="str">
        <f t="shared" si="385"/>
        <v/>
      </c>
      <c r="AH340" s="84" t="str">
        <f t="shared" si="382"/>
        <v>PL_0_CR_0_AD_0_Jira_0_</v>
      </c>
      <c r="AI340" s="84" t="str">
        <f t="shared" si="383"/>
        <v/>
      </c>
      <c r="AJ340" s="84" t="str">
        <f>IF(Z340&lt;&gt;"Done","",(_xlfn.CONCAT("PL_",DigitasUKAdOp_26Team[[#This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41" spans="1:36" ht="15.75" customHeight="1" x14ac:dyDescent="0.3">
      <c r="A341" s="85" t="str">
        <f t="shared" si="338"/>
        <v>Mar : Tuesday</v>
      </c>
      <c r="B341" s="86">
        <v>46112</v>
      </c>
      <c r="C341" s="87" t="s">
        <v>318</v>
      </c>
      <c r="D341" s="88" t="s">
        <v>435</v>
      </c>
      <c r="E341" s="87" t="s">
        <v>428</v>
      </c>
      <c r="F341" s="88" t="s">
        <v>662</v>
      </c>
      <c r="G341" s="88" t="s">
        <v>661</v>
      </c>
      <c r="H341" s="87" t="s">
        <v>443</v>
      </c>
      <c r="I341" s="87" t="s">
        <v>431</v>
      </c>
      <c r="J341" s="88">
        <v>0</v>
      </c>
      <c r="K341" s="88">
        <v>0</v>
      </c>
      <c r="L341" s="88">
        <v>0</v>
      </c>
      <c r="M341" s="89">
        <v>46112</v>
      </c>
      <c r="N341" s="88">
        <v>0.5</v>
      </c>
      <c r="O341" s="90" t="s">
        <v>432</v>
      </c>
      <c r="Q341" s="91">
        <f t="shared" si="386"/>
        <v>14</v>
      </c>
      <c r="R341" s="91" t="str">
        <f t="shared" si="387"/>
        <v>Mar</v>
      </c>
      <c r="S341" s="92" t="str">
        <f t="shared" si="384"/>
        <v>Tuesday</v>
      </c>
      <c r="T341" s="93" t="s">
        <v>431</v>
      </c>
      <c r="U341" s="94" t="s">
        <v>444</v>
      </c>
      <c r="W341" s="95">
        <v>0</v>
      </c>
      <c r="X341" s="96"/>
      <c r="Y341" s="97">
        <f t="shared" si="343"/>
        <v>46112</v>
      </c>
      <c r="Z341" s="98" t="str">
        <f>SUBSTITUTE('Digitas UK Task 26'!$O341, "Complet", "Not Requir")</f>
        <v>Not Required</v>
      </c>
      <c r="AA341" s="98" t="str">
        <f t="shared" si="339"/>
        <v>RE: WELLA | FY26Q3 SEBASTIAN - IBERIA | TAG REQUEST</v>
      </c>
      <c r="AB341" s="99"/>
      <c r="AF341" s="84" t="str">
        <f t="shared" si="385"/>
        <v/>
      </c>
      <c r="AH341" s="84" t="str">
        <f t="shared" si="382"/>
        <v>PL_0_CR_0_AD_0_Jira_0_</v>
      </c>
      <c r="AI341" s="84" t="str">
        <f t="shared" si="383"/>
        <v/>
      </c>
      <c r="AJ341" s="84" t="str">
        <f>IF(Z341&lt;&gt;"Done","",(_xlfn.CONCAT("PL_",DigitasUKAdOp_26Team[[#This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42" spans="1:36" ht="15.75" customHeight="1" x14ac:dyDescent="0.3">
      <c r="A342" s="85" t="str">
        <f t="shared" si="338"/>
        <v>Mar : Tuesday</v>
      </c>
      <c r="B342" s="86">
        <v>46112</v>
      </c>
      <c r="C342" s="87" t="s">
        <v>325</v>
      </c>
      <c r="D342" s="88" t="s">
        <v>555</v>
      </c>
      <c r="E342" s="87" t="s">
        <v>428</v>
      </c>
      <c r="F342" s="88" t="s">
        <v>659</v>
      </c>
      <c r="G342" s="88" t="s">
        <v>554</v>
      </c>
      <c r="H342" s="87" t="s">
        <v>443</v>
      </c>
      <c r="I342" s="87" t="s">
        <v>237</v>
      </c>
      <c r="J342" s="88">
        <v>0</v>
      </c>
      <c r="K342" s="88">
        <v>0</v>
      </c>
      <c r="L342" s="88">
        <v>0</v>
      </c>
      <c r="M342" s="89">
        <v>46112</v>
      </c>
      <c r="N342" s="88">
        <v>1</v>
      </c>
      <c r="O342" s="90" t="s">
        <v>432</v>
      </c>
      <c r="Q342" s="91">
        <f t="shared" si="386"/>
        <v>14</v>
      </c>
      <c r="R342" s="91" t="str">
        <f t="shared" si="387"/>
        <v>Mar</v>
      </c>
      <c r="S342" s="92" t="str">
        <f t="shared" si="384"/>
        <v>Tuesday</v>
      </c>
      <c r="T342" s="93" t="s">
        <v>237</v>
      </c>
      <c r="U342" s="94" t="s">
        <v>444</v>
      </c>
      <c r="W342" s="95">
        <v>0</v>
      </c>
      <c r="X342" s="96"/>
      <c r="Y342" s="97">
        <f t="shared" si="343"/>
        <v>46112</v>
      </c>
      <c r="Z342" s="98" t="str">
        <f>SUBSTITUTE('Digitas UK Task 26'!$O342, "Complet", "Not Requir")</f>
        <v>Not Required</v>
      </c>
      <c r="AA342" s="98" t="str">
        <f t="shared" si="339"/>
        <v>RE: URGENT - Cathay Pacific trafficking - DIG AUDIO</v>
      </c>
      <c r="AB342" s="99"/>
      <c r="AF342" s="84" t="str">
        <f t="shared" si="385"/>
        <v/>
      </c>
      <c r="AH342" s="84" t="str">
        <f t="shared" si="382"/>
        <v>PL_0_CR_0_AD_0_Jira_0_</v>
      </c>
      <c r="AI342" s="84" t="str">
        <f t="shared" si="383"/>
        <v/>
      </c>
      <c r="AJ342" s="84" t="str">
        <f>IF(Z342&lt;&gt;"Done","",(_xlfn.CONCAT("PL_",DigitasUKAdOp_26Team[[#This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43" spans="1:36" ht="15.75" customHeight="1" x14ac:dyDescent="0.3">
      <c r="A343" s="85" t="str">
        <f t="shared" ref="A343" si="400">IF(B343="","",TEXT(B343,"MMM : DDDD"))</f>
        <v>Mar : Tuesday</v>
      </c>
      <c r="B343" s="86">
        <v>46112</v>
      </c>
      <c r="C343" s="87" t="s">
        <v>318</v>
      </c>
      <c r="D343" s="88" t="s">
        <v>637</v>
      </c>
      <c r="E343" s="87" t="s">
        <v>428</v>
      </c>
      <c r="F343" s="88" t="s">
        <v>660</v>
      </c>
      <c r="G343" s="88" t="s">
        <v>661</v>
      </c>
      <c r="H343" s="87" t="s">
        <v>443</v>
      </c>
      <c r="I343" s="87" t="s">
        <v>237</v>
      </c>
      <c r="J343" s="88">
        <v>0</v>
      </c>
      <c r="K343" s="88">
        <v>0</v>
      </c>
      <c r="L343" s="88">
        <v>0</v>
      </c>
      <c r="M343" s="89">
        <v>46112</v>
      </c>
      <c r="N343" s="88">
        <v>0.5</v>
      </c>
      <c r="O343" s="90" t="s">
        <v>432</v>
      </c>
      <c r="Q343" s="91">
        <f t="shared" ref="Q343" si="401">IF(B343="","",WEEKNUM(B343))</f>
        <v>14</v>
      </c>
      <c r="R343" s="91" t="str">
        <f t="shared" ref="R343" si="402">IF(B343="","",TEXT(B343,"MMM"))</f>
        <v>Mar</v>
      </c>
      <c r="S343" s="92" t="str">
        <f t="shared" ref="S343" si="403">IF(B343="","",TEXT(B343,"DDDD"))</f>
        <v>Tuesday</v>
      </c>
      <c r="T343" s="93" t="s">
        <v>237</v>
      </c>
      <c r="U343" s="94" t="s">
        <v>444</v>
      </c>
      <c r="W343" s="95">
        <v>0</v>
      </c>
      <c r="X343" s="96"/>
      <c r="Y343" s="97">
        <f t="shared" ref="Y343" si="404">IF(M343="","",M343)</f>
        <v>46112</v>
      </c>
      <c r="Z343" s="98" t="str">
        <f>SUBSTITUTE('Digitas UK Task 26'!$O343, "Complet", "Not Requir")</f>
        <v>Not Required</v>
      </c>
      <c r="AA343" s="98" t="str">
        <f t="shared" ref="AA343" si="405">IF(G343="","",G343)</f>
        <v>RE: WELLA | FY26Q3 SEBASTIAN - IBERIA | TAG REQUEST</v>
      </c>
      <c r="AB343" s="99"/>
      <c r="AF343" s="84" t="str">
        <f t="shared" ref="AF343" si="406">IF(AD343="","",WEEKNUM(AD343))</f>
        <v/>
      </c>
      <c r="AH343" s="84" t="str">
        <f t="shared" si="382"/>
        <v>PL_0_CR_0_AD_0_Jira_0_</v>
      </c>
      <c r="AI343" s="84" t="str">
        <f t="shared" si="383"/>
        <v/>
      </c>
      <c r="AJ343" s="84" t="str">
        <f>IF(Z343&lt;&gt;"Done","",(_xlfn.CONCAT("PL_",DigitasUKAdOp_26Team[[#This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44" spans="1:36" ht="15.75" customHeight="1" x14ac:dyDescent="0.3">
      <c r="A344" s="85" t="str">
        <f t="shared" ref="A344" si="407">IF(B344="","",TEXT(B344,"MMM : DDDD"))</f>
        <v>Mar : Tuesday</v>
      </c>
      <c r="B344" s="86">
        <v>46112</v>
      </c>
      <c r="C344" s="87" t="s">
        <v>318</v>
      </c>
      <c r="D344" s="88" t="s">
        <v>637</v>
      </c>
      <c r="E344" s="87" t="s">
        <v>428</v>
      </c>
      <c r="F344" s="88" t="s">
        <v>660</v>
      </c>
      <c r="G344" s="88" t="s">
        <v>661</v>
      </c>
      <c r="H344" s="87" t="s">
        <v>443</v>
      </c>
      <c r="I344" s="87" t="s">
        <v>246</v>
      </c>
      <c r="J344" s="88">
        <v>0</v>
      </c>
      <c r="K344" s="88">
        <v>0</v>
      </c>
      <c r="L344" s="88">
        <v>0</v>
      </c>
      <c r="M344" s="89">
        <v>46112</v>
      </c>
      <c r="N344" s="88">
        <v>0.5</v>
      </c>
      <c r="O344" s="90" t="s">
        <v>432</v>
      </c>
      <c r="Q344" s="91">
        <f t="shared" ref="Q344" si="408">IF(B344="","",WEEKNUM(B344))</f>
        <v>14</v>
      </c>
      <c r="R344" s="91" t="str">
        <f t="shared" ref="R344" si="409">IF(B344="","",TEXT(B344,"MMM"))</f>
        <v>Mar</v>
      </c>
      <c r="S344" s="92" t="str">
        <f t="shared" ref="S344" si="410">IF(B344="","",TEXT(B344,"DDDD"))</f>
        <v>Tuesday</v>
      </c>
      <c r="T344" s="93" t="s">
        <v>246</v>
      </c>
      <c r="U344" s="94" t="s">
        <v>444</v>
      </c>
      <c r="W344" s="95">
        <v>0</v>
      </c>
      <c r="X344" s="96"/>
      <c r="Y344" s="97">
        <f t="shared" ref="Y344" si="411">IF(M344="","",M344)</f>
        <v>46112</v>
      </c>
      <c r="Z344" s="98" t="str">
        <f>SUBSTITUTE('Digitas UK Task 26'!$O344, "Complet", "Not Requir")</f>
        <v>Not Required</v>
      </c>
      <c r="AA344" s="98" t="str">
        <f t="shared" ref="AA344" si="412">IF(G344="","",G344)</f>
        <v>RE: WELLA | FY26Q3 SEBASTIAN - IBERIA | TAG REQUEST</v>
      </c>
      <c r="AB344" s="99"/>
      <c r="AF344" s="84" t="str">
        <f t="shared" ref="AF344" si="413">IF(AD344="","",WEEKNUM(AD344))</f>
        <v/>
      </c>
      <c r="AH344" s="84" t="str">
        <f t="shared" si="382"/>
        <v>PL_0_CR_0_AD_0_Jira_0_</v>
      </c>
      <c r="AI344" s="84" t="str">
        <f t="shared" si="383"/>
        <v/>
      </c>
      <c r="AJ344" s="84" t="str">
        <f>IF(Z344&lt;&gt;"Done","",(_xlfn.CONCAT("PL_",DigitasUKAdOp_26Team[[#This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45" spans="1:36" ht="15.75" customHeight="1" x14ac:dyDescent="0.3">
      <c r="A345" s="85" t="str">
        <f t="shared" ref="A345:A414" si="414">IF(B345="","",TEXT(B345,"MMM : DDDD"))</f>
        <v>Apr : Wednesday</v>
      </c>
      <c r="B345" s="86">
        <v>46113</v>
      </c>
      <c r="C345" s="87" t="s">
        <v>334</v>
      </c>
      <c r="D345" s="88" t="s">
        <v>664</v>
      </c>
      <c r="E345" s="87" t="s">
        <v>428</v>
      </c>
      <c r="F345" s="88" t="s">
        <v>450</v>
      </c>
      <c r="G345" s="88" t="s">
        <v>665</v>
      </c>
      <c r="H345" s="87" t="s">
        <v>443</v>
      </c>
      <c r="I345" s="87" t="s">
        <v>250</v>
      </c>
      <c r="J345" s="88">
        <v>0</v>
      </c>
      <c r="K345" s="88">
        <v>0</v>
      </c>
      <c r="L345" s="88">
        <v>0</v>
      </c>
      <c r="M345" s="89">
        <v>46113</v>
      </c>
      <c r="N345" s="88">
        <v>1</v>
      </c>
      <c r="O345" s="90" t="s">
        <v>432</v>
      </c>
      <c r="Q345" s="91">
        <f t="shared" ref="Q345:Q389" si="415">IF(B345="","",WEEKNUM(B345))</f>
        <v>14</v>
      </c>
      <c r="R345" s="91" t="str">
        <f t="shared" si="387"/>
        <v>Apr</v>
      </c>
      <c r="S345" s="92" t="str">
        <f t="shared" si="384"/>
        <v>Wednesday</v>
      </c>
      <c r="T345" s="93" t="s">
        <v>250</v>
      </c>
      <c r="U345" s="94" t="s">
        <v>444</v>
      </c>
      <c r="W345" s="95">
        <v>0</v>
      </c>
      <c r="X345" s="96"/>
      <c r="Y345" s="97">
        <f t="shared" si="343"/>
        <v>46113</v>
      </c>
      <c r="Z345" s="98" t="str">
        <f>SUBSTITUTE('Digitas UK Task 26'!$O345, "Complet", "Not Requir")</f>
        <v>Not Required</v>
      </c>
      <c r="AA345" s="98" t="str">
        <f t="shared" ref="AA345:AA414" si="416">IF(G345="","",G345)</f>
        <v>Klaviyo EMEA - Trafficking Request - Dermalogica Updated, Folk MOF &amp; BOF, Gozney BOF - Display - Q1 2026</v>
      </c>
      <c r="AB345" s="99"/>
      <c r="AF345" s="84" t="str">
        <f t="shared" si="385"/>
        <v/>
      </c>
      <c r="AH345" s="84" t="str">
        <f t="shared" si="382"/>
        <v>PL_0_CR_0_AD_0_Jira_0_</v>
      </c>
      <c r="AI345" s="84" t="str">
        <f t="shared" si="383"/>
        <v/>
      </c>
      <c r="AJ345" s="84" t="str">
        <f>IF(Z345&lt;&gt;"Done","",(_xlfn.CONCAT("PL_",DigitasUKAdOp_26Team[[#This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46" spans="1:36" ht="15.75" customHeight="1" x14ac:dyDescent="0.3">
      <c r="A346" s="85" t="str">
        <f t="shared" ref="A346:A347" si="417">IF(B346="","",TEXT(B346,"MMM : DDDD"))</f>
        <v>Apr : Wednesday</v>
      </c>
      <c r="B346" s="86">
        <v>46113</v>
      </c>
      <c r="C346" s="87" t="s">
        <v>334</v>
      </c>
      <c r="D346" s="88" t="s">
        <v>465</v>
      </c>
      <c r="E346" s="87" t="s">
        <v>428</v>
      </c>
      <c r="F346" s="88" t="s">
        <v>450</v>
      </c>
      <c r="G346" s="88" t="s">
        <v>666</v>
      </c>
      <c r="H346" s="87" t="s">
        <v>443</v>
      </c>
      <c r="I346" s="87" t="s">
        <v>250</v>
      </c>
      <c r="J346" s="88">
        <v>0</v>
      </c>
      <c r="K346" s="88">
        <v>0</v>
      </c>
      <c r="L346" s="88">
        <v>0</v>
      </c>
      <c r="M346" s="89">
        <v>46113</v>
      </c>
      <c r="N346" s="88">
        <v>1</v>
      </c>
      <c r="O346" s="90" t="s">
        <v>432</v>
      </c>
      <c r="Q346" s="91">
        <f t="shared" si="415"/>
        <v>14</v>
      </c>
      <c r="R346" s="91" t="str">
        <f t="shared" si="387"/>
        <v>Apr</v>
      </c>
      <c r="S346" s="92" t="str">
        <f t="shared" si="384"/>
        <v>Wednesday</v>
      </c>
      <c r="T346" s="93" t="s">
        <v>250</v>
      </c>
      <c r="U346" s="94" t="s">
        <v>444</v>
      </c>
      <c r="W346" s="95">
        <v>0</v>
      </c>
      <c r="X346" s="96"/>
      <c r="Y346" s="97">
        <f t="shared" si="343"/>
        <v>46113</v>
      </c>
      <c r="Z346" s="98" t="str">
        <f>SUBSTITUTE('Digitas UK Task 26'!$O346, "Complet", "Not Requir")</f>
        <v>Not Required</v>
      </c>
      <c r="AA346" s="98" t="str">
        <f t="shared" si="416"/>
        <v>RE: Klaviyo EMEA - Trafficking Request - Manucurist -FR - Display - Q1 2026</v>
      </c>
      <c r="AB346" s="99"/>
      <c r="AF346" s="84" t="str">
        <f t="shared" si="385"/>
        <v/>
      </c>
      <c r="AH346" s="84" t="str">
        <f t="shared" si="382"/>
        <v>PL_0_CR_0_AD_0_Jira_0_</v>
      </c>
      <c r="AI346" s="84" t="str">
        <f t="shared" si="383"/>
        <v/>
      </c>
      <c r="AJ346" s="84" t="str">
        <f>IF(Z346&lt;&gt;"Done","",(_xlfn.CONCAT("PL_",DigitasUKAdOp_26Team[[#This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47" spans="1:36" ht="15.75" customHeight="1" x14ac:dyDescent="0.3">
      <c r="A347" s="85" t="str">
        <f t="shared" si="417"/>
        <v>Apr : Wednesday</v>
      </c>
      <c r="B347" s="86">
        <v>46113</v>
      </c>
      <c r="C347" s="87" t="s">
        <v>334</v>
      </c>
      <c r="D347" s="88" t="s">
        <v>667</v>
      </c>
      <c r="E347" s="87" t="s">
        <v>428</v>
      </c>
      <c r="F347" s="88" t="s">
        <v>469</v>
      </c>
      <c r="G347" s="88" t="s">
        <v>668</v>
      </c>
      <c r="H347" s="87" t="s">
        <v>269</v>
      </c>
      <c r="I347" s="87" t="s">
        <v>237</v>
      </c>
      <c r="J347" s="88">
        <v>60</v>
      </c>
      <c r="K347" s="88">
        <v>60</v>
      </c>
      <c r="L347" s="88">
        <v>60</v>
      </c>
      <c r="M347" s="89">
        <v>46115</v>
      </c>
      <c r="N347" s="88">
        <v>2</v>
      </c>
      <c r="O347" s="90" t="s">
        <v>432</v>
      </c>
      <c r="Q347" s="91">
        <f t="shared" si="415"/>
        <v>14</v>
      </c>
      <c r="R347" s="91" t="str">
        <f t="shared" si="387"/>
        <v>Apr</v>
      </c>
      <c r="S347" s="92" t="str">
        <f t="shared" si="384"/>
        <v>Wednesday</v>
      </c>
      <c r="T347" s="93" t="s">
        <v>250</v>
      </c>
      <c r="U347" s="94" t="s">
        <v>433</v>
      </c>
      <c r="W347" s="95">
        <v>1</v>
      </c>
      <c r="X347" s="96"/>
      <c r="Y347" s="97">
        <f t="shared" si="343"/>
        <v>46115</v>
      </c>
      <c r="Z347" s="98" t="str">
        <f>SUBSTITUTE('Digitas UK Task 26'!$O347, "Complet", "Not Requir")</f>
        <v>Not Required</v>
      </c>
      <c r="AA347" s="98" t="str">
        <f t="shared" si="416"/>
        <v>Klaviyo EMEA - Trafficking Request - FR - Contextual - Display &amp; Video - Q2</v>
      </c>
      <c r="AB347" s="99"/>
      <c r="AF347" s="84" t="str">
        <f t="shared" si="385"/>
        <v/>
      </c>
      <c r="AH347" s="84" t="str">
        <f t="shared" si="382"/>
        <v>PL_60_CR_60_AD_60_Jira_0_</v>
      </c>
      <c r="AI347" s="84" t="str">
        <f t="shared" si="383"/>
        <v>PL_60_CR_60_AD_60_Jira_0_</v>
      </c>
      <c r="AJ347" s="84" t="str">
        <f>IF(Z347&lt;&gt;"Done","",(_xlfn.CONCAT("PL_",DigitasUKAdOp_26Team[[#This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48" spans="1:36" ht="15.75" customHeight="1" x14ac:dyDescent="0.3">
      <c r="A348" s="85" t="str">
        <f t="shared" si="414"/>
        <v>Apr : Wednesday</v>
      </c>
      <c r="B348" s="86">
        <v>46113</v>
      </c>
      <c r="C348" s="87" t="s">
        <v>344</v>
      </c>
      <c r="D348" s="88" t="s">
        <v>669</v>
      </c>
      <c r="E348" s="87" t="s">
        <v>428</v>
      </c>
      <c r="F348" s="88" t="s">
        <v>456</v>
      </c>
      <c r="G348" s="88" t="s">
        <v>486</v>
      </c>
      <c r="H348" s="87" t="s">
        <v>269</v>
      </c>
      <c r="I348" s="87" t="s">
        <v>431</v>
      </c>
      <c r="J348" s="88">
        <v>5</v>
      </c>
      <c r="K348" s="88">
        <v>5</v>
      </c>
      <c r="L348" s="88">
        <v>5</v>
      </c>
      <c r="M348" s="89">
        <v>46113</v>
      </c>
      <c r="N348" s="88">
        <v>0.5</v>
      </c>
      <c r="O348" s="90" t="s">
        <v>432</v>
      </c>
      <c r="Q348" s="91">
        <f t="shared" si="415"/>
        <v>14</v>
      </c>
      <c r="R348" s="91" t="str">
        <f t="shared" si="387"/>
        <v>Apr</v>
      </c>
      <c r="S348" s="92" t="str">
        <f t="shared" si="384"/>
        <v>Wednesday</v>
      </c>
      <c r="T348" s="93" t="s">
        <v>246</v>
      </c>
      <c r="U348" s="94" t="s">
        <v>433</v>
      </c>
      <c r="W348" s="95">
        <v>0.25</v>
      </c>
      <c r="X348" s="96"/>
      <c r="Y348" s="97">
        <f t="shared" si="343"/>
        <v>46113</v>
      </c>
      <c r="Z348" s="98" t="str">
        <f>SUBSTITUTE('Digitas UK Task 26'!$O348, "Complet", "Not Requir")</f>
        <v>Not Required</v>
      </c>
      <c r="AA348" s="98" t="str">
        <f t="shared" si="416"/>
        <v>RE: Digitas x Monzo | Tagging support</v>
      </c>
      <c r="AB348" s="99"/>
      <c r="AF348" s="84" t="str">
        <f t="shared" si="385"/>
        <v/>
      </c>
      <c r="AH348" s="84" t="str">
        <f t="shared" si="382"/>
        <v>PL_5_CR_5_AD_5_Jira_0_</v>
      </c>
      <c r="AI348" s="84" t="str">
        <f t="shared" si="383"/>
        <v>PL_5_CR_5_AD_5_Jira_0_</v>
      </c>
      <c r="AJ348" s="84" t="str">
        <f>IF(Z348&lt;&gt;"Done","",(_xlfn.CONCAT("PL_",DigitasUKAdOp_26Team[[#This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49" spans="1:36" ht="15.75" customHeight="1" x14ac:dyDescent="0.3">
      <c r="A349" s="85" t="str">
        <f t="shared" si="414"/>
        <v>Apr : Wednesday</v>
      </c>
      <c r="B349" s="86">
        <v>46113</v>
      </c>
      <c r="C349" s="87" t="s">
        <v>349</v>
      </c>
      <c r="D349" s="88" t="s">
        <v>670</v>
      </c>
      <c r="E349" s="87" t="s">
        <v>428</v>
      </c>
      <c r="F349" s="88" t="s">
        <v>671</v>
      </c>
      <c r="G349" s="88" t="s">
        <v>672</v>
      </c>
      <c r="H349" s="87" t="s">
        <v>443</v>
      </c>
      <c r="I349" s="87" t="s">
        <v>246</v>
      </c>
      <c r="J349" s="88">
        <v>0</v>
      </c>
      <c r="K349" s="88">
        <v>0</v>
      </c>
      <c r="L349" s="88">
        <v>0</v>
      </c>
      <c r="M349" s="89">
        <v>46113</v>
      </c>
      <c r="N349" s="88">
        <v>0.75</v>
      </c>
      <c r="O349" s="90" t="s">
        <v>432</v>
      </c>
      <c r="P349" s="88" t="s">
        <v>673</v>
      </c>
      <c r="Q349" s="91">
        <f t="shared" si="415"/>
        <v>14</v>
      </c>
      <c r="R349" s="91" t="str">
        <f t="shared" si="387"/>
        <v>Apr</v>
      </c>
      <c r="S349" s="92" t="str">
        <f t="shared" si="384"/>
        <v>Wednesday</v>
      </c>
      <c r="T349" s="93" t="s">
        <v>246</v>
      </c>
      <c r="U349" s="94" t="s">
        <v>444</v>
      </c>
      <c r="W349" s="95">
        <v>0</v>
      </c>
      <c r="X349" s="96"/>
      <c r="Y349" s="97">
        <f t="shared" ref="Y349:Y418" si="418">IF(M349="","",M349)</f>
        <v>46113</v>
      </c>
      <c r="Z349" s="98" t="str">
        <f>SUBSTITUTE('Digitas UK Task 26'!$O349, "Complet", "Not Requir")</f>
        <v>Not Required</v>
      </c>
      <c r="AA349" s="98" t="str">
        <f t="shared" si="416"/>
        <v>Visa MS - Trafficking/Tagging Support KO</v>
      </c>
      <c r="AB349" s="99"/>
      <c r="AF349" s="84" t="str">
        <f t="shared" si="385"/>
        <v/>
      </c>
      <c r="AH349" s="84" t="str">
        <f t="shared" si="382"/>
        <v>PL_0_CR_0_AD_0_Jira_0_</v>
      </c>
      <c r="AI349" s="84" t="str">
        <f t="shared" si="383"/>
        <v/>
      </c>
      <c r="AJ349" s="84" t="str">
        <f>IF(Z349&lt;&gt;"Done","",(_xlfn.CONCAT("PL_",DigitasUKAdOp_26Team[[#This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50" spans="1:36" ht="15.75" customHeight="1" x14ac:dyDescent="0.3">
      <c r="A350" s="85" t="str">
        <f t="shared" si="414"/>
        <v>Apr : Wednesday</v>
      </c>
      <c r="B350" s="86">
        <v>46113</v>
      </c>
      <c r="C350" s="87" t="s">
        <v>349</v>
      </c>
      <c r="D350" s="88" t="s">
        <v>670</v>
      </c>
      <c r="E350" s="87" t="s">
        <v>428</v>
      </c>
      <c r="F350" s="88" t="s">
        <v>671</v>
      </c>
      <c r="G350" s="88" t="s">
        <v>672</v>
      </c>
      <c r="H350" s="87" t="s">
        <v>443</v>
      </c>
      <c r="I350" s="87" t="s">
        <v>237</v>
      </c>
      <c r="J350" s="88">
        <v>0</v>
      </c>
      <c r="K350" s="88">
        <v>0</v>
      </c>
      <c r="L350" s="88">
        <v>0</v>
      </c>
      <c r="M350" s="89">
        <v>46113</v>
      </c>
      <c r="N350" s="88">
        <v>0.75</v>
      </c>
      <c r="O350" s="90" t="s">
        <v>432</v>
      </c>
      <c r="P350" s="88" t="s">
        <v>674</v>
      </c>
      <c r="Q350" s="91">
        <f t="shared" si="415"/>
        <v>14</v>
      </c>
      <c r="R350" s="91" t="str">
        <f t="shared" si="387"/>
        <v>Apr</v>
      </c>
      <c r="S350" s="92" t="str">
        <f t="shared" si="384"/>
        <v>Wednesday</v>
      </c>
      <c r="T350" s="93" t="s">
        <v>237</v>
      </c>
      <c r="U350" s="94" t="s">
        <v>444</v>
      </c>
      <c r="W350" s="95">
        <v>0</v>
      </c>
      <c r="X350" s="96"/>
      <c r="Y350" s="97">
        <f t="shared" si="418"/>
        <v>46113</v>
      </c>
      <c r="Z350" s="98" t="str">
        <f>SUBSTITUTE('Digitas UK Task 26'!$O350, "Complet", "Not Requir")</f>
        <v>Not Required</v>
      </c>
      <c r="AA350" s="98" t="str">
        <f t="shared" si="416"/>
        <v>Visa MS - Trafficking/Tagging Support KO</v>
      </c>
      <c r="AB350" s="99"/>
      <c r="AF350" s="84" t="str">
        <f t="shared" si="385"/>
        <v/>
      </c>
      <c r="AH350" s="84" t="str">
        <f t="shared" si="382"/>
        <v>PL_0_CR_0_AD_0_Jira_0_</v>
      </c>
      <c r="AI350" s="84" t="str">
        <f t="shared" si="383"/>
        <v/>
      </c>
      <c r="AJ350" s="84" t="str">
        <f>IF(Z350&lt;&gt;"Done","",(_xlfn.CONCAT("PL_",DigitasUKAdOp_26Team[[#This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51" spans="1:36" ht="15.75" customHeight="1" x14ac:dyDescent="0.3">
      <c r="A351" s="85" t="str">
        <f t="shared" si="414"/>
        <v>Apr : Wednesday</v>
      </c>
      <c r="B351" s="86">
        <v>46113</v>
      </c>
      <c r="C351" s="87" t="s">
        <v>349</v>
      </c>
      <c r="D351" s="88" t="s">
        <v>670</v>
      </c>
      <c r="E351" s="87" t="s">
        <v>428</v>
      </c>
      <c r="F351" s="88" t="s">
        <v>671</v>
      </c>
      <c r="G351" s="88" t="s">
        <v>672</v>
      </c>
      <c r="H351" s="87" t="s">
        <v>443</v>
      </c>
      <c r="I351" s="87" t="s">
        <v>250</v>
      </c>
      <c r="J351" s="88">
        <v>0</v>
      </c>
      <c r="K351" s="88">
        <v>0</v>
      </c>
      <c r="L351" s="88">
        <v>0</v>
      </c>
      <c r="M351" s="89">
        <v>46113</v>
      </c>
      <c r="N351" s="88">
        <v>0.75</v>
      </c>
      <c r="O351" s="90" t="s">
        <v>432</v>
      </c>
      <c r="P351" s="88" t="s">
        <v>674</v>
      </c>
      <c r="Q351" s="91">
        <f t="shared" si="415"/>
        <v>14</v>
      </c>
      <c r="R351" s="91" t="str">
        <f t="shared" si="387"/>
        <v>Apr</v>
      </c>
      <c r="S351" s="92" t="str">
        <f t="shared" si="384"/>
        <v>Wednesday</v>
      </c>
      <c r="T351" s="93" t="s">
        <v>250</v>
      </c>
      <c r="U351" s="94" t="s">
        <v>444</v>
      </c>
      <c r="W351" s="95">
        <v>0</v>
      </c>
      <c r="X351" s="96"/>
      <c r="Y351" s="97">
        <f t="shared" si="418"/>
        <v>46113</v>
      </c>
      <c r="Z351" s="98" t="str">
        <f>SUBSTITUTE('Digitas UK Task 26'!$O351, "Complet", "Not Requir")</f>
        <v>Not Required</v>
      </c>
      <c r="AA351" s="98" t="str">
        <f t="shared" si="416"/>
        <v>Visa MS - Trafficking/Tagging Support KO</v>
      </c>
      <c r="AB351" s="99"/>
      <c r="AF351" s="84" t="str">
        <f t="shared" si="385"/>
        <v/>
      </c>
      <c r="AH351" s="84" t="str">
        <f t="shared" si="382"/>
        <v>PL_0_CR_0_AD_0_Jira_0_</v>
      </c>
      <c r="AI351" s="84" t="str">
        <f t="shared" si="383"/>
        <v/>
      </c>
      <c r="AJ351" s="84" t="str">
        <f>IF(Z351&lt;&gt;"Done","",(_xlfn.CONCAT("PL_",DigitasUKAdOp_26Team[[#This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52" spans="1:36" ht="15.75" customHeight="1" x14ac:dyDescent="0.3">
      <c r="A352" s="85" t="str">
        <f t="shared" si="414"/>
        <v>Apr : Wednesday</v>
      </c>
      <c r="B352" s="86">
        <v>46113</v>
      </c>
      <c r="C352" s="87" t="s">
        <v>349</v>
      </c>
      <c r="D352" s="88" t="s">
        <v>670</v>
      </c>
      <c r="E352" s="87" t="s">
        <v>428</v>
      </c>
      <c r="F352" s="88" t="s">
        <v>671</v>
      </c>
      <c r="G352" s="88" t="s">
        <v>672</v>
      </c>
      <c r="H352" s="87" t="s">
        <v>443</v>
      </c>
      <c r="I352" s="87" t="s">
        <v>431</v>
      </c>
      <c r="J352" s="88">
        <v>0</v>
      </c>
      <c r="K352" s="88">
        <v>0</v>
      </c>
      <c r="L352" s="88">
        <v>0</v>
      </c>
      <c r="M352" s="89">
        <v>46113</v>
      </c>
      <c r="N352" s="88">
        <v>0.75</v>
      </c>
      <c r="O352" s="90" t="s">
        <v>432</v>
      </c>
      <c r="P352" s="88" t="s">
        <v>674</v>
      </c>
      <c r="Q352" s="91">
        <f t="shared" si="415"/>
        <v>14</v>
      </c>
      <c r="R352" s="91" t="str">
        <f t="shared" si="387"/>
        <v>Apr</v>
      </c>
      <c r="S352" s="92" t="str">
        <f t="shared" si="384"/>
        <v>Wednesday</v>
      </c>
      <c r="T352" s="93" t="s">
        <v>431</v>
      </c>
      <c r="U352" s="94" t="s">
        <v>444</v>
      </c>
      <c r="W352" s="95">
        <v>0</v>
      </c>
      <c r="X352" s="96"/>
      <c r="Y352" s="97">
        <f t="shared" si="418"/>
        <v>46113</v>
      </c>
      <c r="Z352" s="98" t="str">
        <f>SUBSTITUTE('Digitas UK Task 26'!$O352, "Complet", "Not Requir")</f>
        <v>Not Required</v>
      </c>
      <c r="AA352" s="98" t="str">
        <f t="shared" si="416"/>
        <v>Visa MS - Trafficking/Tagging Support KO</v>
      </c>
      <c r="AB352" s="99"/>
      <c r="AF352" s="84" t="str">
        <f t="shared" si="385"/>
        <v/>
      </c>
      <c r="AH352" s="84" t="str">
        <f t="shared" si="382"/>
        <v>PL_0_CR_0_AD_0_Jira_0_</v>
      </c>
      <c r="AI352" s="84" t="str">
        <f t="shared" si="383"/>
        <v/>
      </c>
      <c r="AJ352" s="84" t="str">
        <f>IF(Z352&lt;&gt;"Done","",(_xlfn.CONCAT("PL_",DigitasUKAdOp_26Team[[#This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53" spans="1:36" ht="15.75" customHeight="1" x14ac:dyDescent="0.3">
      <c r="A353" s="158" t="str">
        <f t="shared" si="414"/>
        <v>Apr : Wednesday</v>
      </c>
      <c r="B353" s="86">
        <v>46113</v>
      </c>
      <c r="C353" s="87" t="s">
        <v>334</v>
      </c>
      <c r="D353" s="88" t="s">
        <v>667</v>
      </c>
      <c r="E353" s="87" t="s">
        <v>428</v>
      </c>
      <c r="F353" s="88" t="s">
        <v>470</v>
      </c>
      <c r="G353" s="88" t="s">
        <v>675</v>
      </c>
      <c r="H353" s="87" t="s">
        <v>443</v>
      </c>
      <c r="I353" s="87" t="s">
        <v>250</v>
      </c>
      <c r="J353" s="88">
        <v>0</v>
      </c>
      <c r="K353" s="88">
        <v>0</v>
      </c>
      <c r="L353" s="88">
        <v>0</v>
      </c>
      <c r="M353" s="89">
        <v>46113</v>
      </c>
      <c r="N353" s="88">
        <v>1</v>
      </c>
      <c r="O353" s="90" t="s">
        <v>432</v>
      </c>
      <c r="Q353" s="91">
        <f t="shared" si="415"/>
        <v>14</v>
      </c>
      <c r="R353" s="91" t="str">
        <f t="shared" si="387"/>
        <v>Apr</v>
      </c>
      <c r="S353" s="92" t="str">
        <f t="shared" si="384"/>
        <v>Wednesday</v>
      </c>
      <c r="T353" s="93" t="s">
        <v>250</v>
      </c>
      <c r="U353" s="94" t="s">
        <v>444</v>
      </c>
      <c r="W353" s="95">
        <v>0</v>
      </c>
      <c r="X353" s="96"/>
      <c r="Y353" s="97">
        <f t="shared" si="418"/>
        <v>46113</v>
      </c>
      <c r="Z353" s="98" t="str">
        <f>SUBSTITUTE('Digitas UK Task 26'!$O353, "Complet", "Not Requir")</f>
        <v>Not Required</v>
      </c>
      <c r="AA353" s="98" t="str">
        <f t="shared" si="416"/>
        <v>Klaviyo EMEA - Trafficking Request - Dermalogica Updated, Alessi MOF &amp; BOF, Freshly MOF &amp; MOF - ES &amp; IT - Display - Q1 2026</v>
      </c>
      <c r="AB353" s="99"/>
      <c r="AF353" s="84" t="str">
        <f t="shared" si="385"/>
        <v/>
      </c>
      <c r="AH353" s="84" t="str">
        <f t="shared" si="382"/>
        <v>PL_0_CR_0_AD_0_Jira_0_</v>
      </c>
      <c r="AI353" s="84" t="str">
        <f t="shared" si="383"/>
        <v/>
      </c>
      <c r="AJ353" s="84" t="str">
        <f>IF(Z353&lt;&gt;"Done","",(_xlfn.CONCAT("PL_",DigitasUKAdOp_26Team[[#This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54" spans="1:36" ht="15.75" customHeight="1" x14ac:dyDescent="0.3">
      <c r="A354" s="85" t="str">
        <f t="shared" si="414"/>
        <v>Apr : Wednesday</v>
      </c>
      <c r="B354" s="86">
        <v>46113</v>
      </c>
      <c r="C354" s="87" t="s">
        <v>334</v>
      </c>
      <c r="D354" s="88" t="s">
        <v>667</v>
      </c>
      <c r="E354" s="87" t="s">
        <v>428</v>
      </c>
      <c r="F354" s="88" t="s">
        <v>676</v>
      </c>
      <c r="G354" s="88" t="s">
        <v>675</v>
      </c>
      <c r="H354" s="87" t="s">
        <v>443</v>
      </c>
      <c r="I354" s="87" t="s">
        <v>246</v>
      </c>
      <c r="J354" s="88">
        <v>0</v>
      </c>
      <c r="K354" s="88">
        <v>0</v>
      </c>
      <c r="L354" s="88">
        <v>0</v>
      </c>
      <c r="M354" s="89">
        <v>46113</v>
      </c>
      <c r="N354" s="88">
        <v>1</v>
      </c>
      <c r="O354" s="90" t="s">
        <v>432</v>
      </c>
      <c r="Q354" s="91">
        <f t="shared" si="415"/>
        <v>14</v>
      </c>
      <c r="R354" s="91" t="str">
        <f t="shared" si="387"/>
        <v>Apr</v>
      </c>
      <c r="S354" s="92" t="str">
        <f t="shared" si="384"/>
        <v>Wednesday</v>
      </c>
      <c r="T354" s="93" t="s">
        <v>246</v>
      </c>
      <c r="U354" s="94" t="s">
        <v>444</v>
      </c>
      <c r="W354" s="95">
        <v>0</v>
      </c>
      <c r="X354" s="96"/>
      <c r="Y354" s="97">
        <f t="shared" si="418"/>
        <v>46113</v>
      </c>
      <c r="Z354" s="98" t="str">
        <f>SUBSTITUTE('Digitas UK Task 26'!$O354, "Complet", "Not Requir")</f>
        <v>Not Required</v>
      </c>
      <c r="AA354" s="98" t="str">
        <f t="shared" si="416"/>
        <v>Klaviyo EMEA - Trafficking Request - Dermalogica Updated, Alessi MOF &amp; BOF, Freshly MOF &amp; MOF - ES &amp; IT - Display - Q1 2026</v>
      </c>
      <c r="AB354" s="99"/>
      <c r="AF354" s="84" t="str">
        <f t="shared" si="385"/>
        <v/>
      </c>
      <c r="AH354" s="84" t="str">
        <f t="shared" si="382"/>
        <v>PL_0_CR_0_AD_0_Jira_0_</v>
      </c>
      <c r="AI354" s="84" t="str">
        <f t="shared" si="383"/>
        <v/>
      </c>
      <c r="AJ354" s="84" t="str">
        <f>IF(Z354&lt;&gt;"Done","",(_xlfn.CONCAT("PL_",DigitasUKAdOp_26Team[[#This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55" spans="1:36" ht="15.75" customHeight="1" x14ac:dyDescent="0.3">
      <c r="A355" s="85" t="str">
        <f t="shared" si="414"/>
        <v>Apr : Wednesday</v>
      </c>
      <c r="B355" s="86">
        <v>46113</v>
      </c>
      <c r="C355" s="87" t="s">
        <v>318</v>
      </c>
      <c r="D355" s="88" t="s">
        <v>637</v>
      </c>
      <c r="E355" s="87" t="s">
        <v>428</v>
      </c>
      <c r="F355" s="88" t="s">
        <v>662</v>
      </c>
      <c r="G355" s="88" t="s">
        <v>661</v>
      </c>
      <c r="H355" s="87" t="s">
        <v>443</v>
      </c>
      <c r="I355" s="87" t="s">
        <v>237</v>
      </c>
      <c r="J355" s="88">
        <v>0</v>
      </c>
      <c r="K355" s="88">
        <v>0</v>
      </c>
      <c r="L355" s="88">
        <v>0</v>
      </c>
      <c r="M355" s="89">
        <v>46112</v>
      </c>
      <c r="N355" s="88">
        <v>0.5</v>
      </c>
      <c r="O355" s="90" t="s">
        <v>432</v>
      </c>
      <c r="P355" s="88" t="s">
        <v>677</v>
      </c>
      <c r="Q355" s="91">
        <f t="shared" si="415"/>
        <v>14</v>
      </c>
      <c r="R355" s="91" t="str">
        <f t="shared" si="387"/>
        <v>Apr</v>
      </c>
      <c r="S355" s="92" t="str">
        <f t="shared" si="384"/>
        <v>Wednesday</v>
      </c>
      <c r="T355" s="93" t="s">
        <v>237</v>
      </c>
      <c r="U355" s="94" t="s">
        <v>444</v>
      </c>
      <c r="W355" s="95">
        <v>0</v>
      </c>
      <c r="X355" s="96"/>
      <c r="Y355" s="97">
        <f t="shared" si="418"/>
        <v>46112</v>
      </c>
      <c r="Z355" s="98" t="str">
        <f>SUBSTITUTE('Digitas UK Task 26'!$O355, "Complet", "Not Requir")</f>
        <v>Not Required</v>
      </c>
      <c r="AA355" s="98" t="str">
        <f t="shared" si="416"/>
        <v>RE: WELLA | FY26Q3 SEBASTIAN - IBERIA | TAG REQUEST</v>
      </c>
      <c r="AB355" s="99"/>
      <c r="AF355" s="84" t="str">
        <f t="shared" si="385"/>
        <v/>
      </c>
      <c r="AH355" s="84" t="str">
        <f t="shared" si="382"/>
        <v>PL_0_CR_0_AD_0_Jira_0_</v>
      </c>
      <c r="AI355" s="84" t="str">
        <f t="shared" si="383"/>
        <v/>
      </c>
      <c r="AJ355" s="84" t="str">
        <f>IF(Z355&lt;&gt;"Done","",(_xlfn.CONCAT("PL_",DigitasUKAdOp_26Team[[#This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56" spans="1:36" ht="15.75" customHeight="1" x14ac:dyDescent="0.3">
      <c r="A356" s="85" t="str">
        <f t="shared" si="414"/>
        <v>Apr : Wednesday</v>
      </c>
      <c r="B356" s="86">
        <v>46113</v>
      </c>
      <c r="C356" s="87" t="s">
        <v>334</v>
      </c>
      <c r="D356" s="88" t="s">
        <v>667</v>
      </c>
      <c r="E356" s="87" t="s">
        <v>428</v>
      </c>
      <c r="F356" s="88" t="s">
        <v>469</v>
      </c>
      <c r="G356" s="88" t="s">
        <v>668</v>
      </c>
      <c r="H356" s="87" t="s">
        <v>443</v>
      </c>
      <c r="I356" s="87" t="s">
        <v>237</v>
      </c>
      <c r="J356" s="88">
        <v>0</v>
      </c>
      <c r="K356" s="88">
        <v>0</v>
      </c>
      <c r="L356" s="88">
        <v>0</v>
      </c>
      <c r="M356" s="89">
        <v>46114</v>
      </c>
      <c r="N356" s="88">
        <v>2</v>
      </c>
      <c r="O356" s="90" t="s">
        <v>432</v>
      </c>
      <c r="P356" s="88" t="s">
        <v>678</v>
      </c>
      <c r="Q356" s="91">
        <f t="shared" ref="Q356" si="419">IF(B356="","",WEEKNUM(B356))</f>
        <v>14</v>
      </c>
      <c r="R356" s="91" t="str">
        <f t="shared" ref="R356" si="420">IF(B356="","",TEXT(B356,"MMM"))</f>
        <v>Apr</v>
      </c>
      <c r="S356" s="92" t="str">
        <f t="shared" ref="S356" si="421">IF(B356="","",TEXT(B356,"DDDD"))</f>
        <v>Wednesday</v>
      </c>
      <c r="T356" s="93" t="s">
        <v>237</v>
      </c>
      <c r="U356" s="94" t="s">
        <v>444</v>
      </c>
      <c r="W356" s="95">
        <v>0</v>
      </c>
      <c r="X356" s="96"/>
      <c r="Y356" s="97">
        <f t="shared" si="418"/>
        <v>46114</v>
      </c>
      <c r="Z356" s="98" t="str">
        <f>SUBSTITUTE('Digitas UK Task 26'!$O356, "Complet", "Not Requir")</f>
        <v>Not Required</v>
      </c>
      <c r="AA356" s="98" t="str">
        <f t="shared" ref="AA356" si="422">IF(G356="","",G356)</f>
        <v>Klaviyo EMEA - Trafficking Request - FR - Contextual - Display &amp; Video - Q2</v>
      </c>
      <c r="AB356" s="99"/>
      <c r="AF356" s="84" t="str">
        <f t="shared" ref="AF356" si="423">IF(AD356="","",WEEKNUM(AD356))</f>
        <v/>
      </c>
      <c r="AH356" s="84" t="str">
        <f t="shared" si="382"/>
        <v>PL_0_CR_0_AD_0_Jira_0_</v>
      </c>
      <c r="AI356" s="84" t="str">
        <f t="shared" si="383"/>
        <v/>
      </c>
      <c r="AJ356" s="84" t="str">
        <f>IF(Z356&lt;&gt;"Done","",(_xlfn.CONCAT("PL_",DigitasUKAdOp_26Team[[#This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57" spans="1:36" ht="15.75" customHeight="1" x14ac:dyDescent="0.3">
      <c r="A357" s="85" t="str">
        <f t="shared" si="414"/>
        <v>Apr : Wednesday</v>
      </c>
      <c r="B357" s="86">
        <v>46113</v>
      </c>
      <c r="C357" s="87" t="s">
        <v>318</v>
      </c>
      <c r="D357" s="88" t="s">
        <v>637</v>
      </c>
      <c r="E357" s="87" t="s">
        <v>428</v>
      </c>
      <c r="F357" s="88" t="s">
        <v>660</v>
      </c>
      <c r="G357" s="88" t="s">
        <v>661</v>
      </c>
      <c r="H357" s="87" t="s">
        <v>443</v>
      </c>
      <c r="I357" s="87" t="s">
        <v>431</v>
      </c>
      <c r="J357" s="88">
        <v>0</v>
      </c>
      <c r="K357" s="88">
        <v>0</v>
      </c>
      <c r="L357" s="88">
        <v>0</v>
      </c>
      <c r="M357" s="89">
        <v>46113</v>
      </c>
      <c r="N357" s="88">
        <v>0.5</v>
      </c>
      <c r="O357" s="90" t="s">
        <v>432</v>
      </c>
      <c r="P357" s="88" t="s">
        <v>677</v>
      </c>
      <c r="Q357" s="91">
        <f t="shared" si="415"/>
        <v>14</v>
      </c>
      <c r="R357" s="91" t="str">
        <f t="shared" si="387"/>
        <v>Apr</v>
      </c>
      <c r="S357" s="92" t="str">
        <f t="shared" si="384"/>
        <v>Wednesday</v>
      </c>
      <c r="T357" s="93" t="s">
        <v>431</v>
      </c>
      <c r="U357" s="94" t="s">
        <v>444</v>
      </c>
      <c r="W357" s="95">
        <v>0</v>
      </c>
      <c r="X357" s="96"/>
      <c r="Y357" s="97">
        <f t="shared" si="418"/>
        <v>46113</v>
      </c>
      <c r="Z357" s="98" t="str">
        <f>SUBSTITUTE('Digitas UK Task 26'!$O357, "Complet", "Not Requir")</f>
        <v>Not Required</v>
      </c>
      <c r="AA357" s="98" t="str">
        <f t="shared" si="416"/>
        <v>RE: WELLA | FY26Q3 SEBASTIAN - IBERIA | TAG REQUEST</v>
      </c>
      <c r="AB357" s="99"/>
      <c r="AF357" s="84" t="str">
        <f t="shared" si="385"/>
        <v/>
      </c>
      <c r="AH357" s="84" t="str">
        <f t="shared" si="382"/>
        <v>PL_0_CR_0_AD_0_Jira_0_</v>
      </c>
      <c r="AI357" s="84" t="str">
        <f t="shared" si="383"/>
        <v/>
      </c>
      <c r="AJ357" s="84" t="str">
        <f>IF(Z357&lt;&gt;"Done","",(_xlfn.CONCAT("PL_",DigitasUKAdOp_26Team[[#This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58" spans="1:36" ht="15.75" customHeight="1" x14ac:dyDescent="0.3">
      <c r="A358" s="85" t="str">
        <f t="shared" ref="A358" si="424">IF(B358="","",TEXT(B358,"MMM : DDDD"))</f>
        <v>Apr : Wednesday</v>
      </c>
      <c r="B358" s="86">
        <v>46113</v>
      </c>
      <c r="C358" s="87" t="s">
        <v>334</v>
      </c>
      <c r="D358" s="88" t="s">
        <v>667</v>
      </c>
      <c r="E358" s="87" t="s">
        <v>428</v>
      </c>
      <c r="F358" s="88" t="s">
        <v>469</v>
      </c>
      <c r="G358" s="88" t="s">
        <v>668</v>
      </c>
      <c r="H358" s="87" t="s">
        <v>443</v>
      </c>
      <c r="I358" s="87" t="s">
        <v>250</v>
      </c>
      <c r="J358" s="88">
        <v>0</v>
      </c>
      <c r="K358" s="88">
        <v>0</v>
      </c>
      <c r="L358" s="88">
        <v>0</v>
      </c>
      <c r="M358" s="89">
        <v>46113</v>
      </c>
      <c r="N358" s="88">
        <v>1</v>
      </c>
      <c r="O358" s="90" t="s">
        <v>432</v>
      </c>
      <c r="P358" s="88" t="s">
        <v>677</v>
      </c>
      <c r="Q358" s="91">
        <f t="shared" ref="Q358" si="425">IF(B358="","",WEEKNUM(B358))</f>
        <v>14</v>
      </c>
      <c r="R358" s="91" t="str">
        <f t="shared" ref="R358" si="426">IF(B358="","",TEXT(B358,"MMM"))</f>
        <v>Apr</v>
      </c>
      <c r="S358" s="92" t="str">
        <f t="shared" ref="S358" si="427">IF(B358="","",TEXT(B358,"DDDD"))</f>
        <v>Wednesday</v>
      </c>
      <c r="T358" s="93" t="s">
        <v>250</v>
      </c>
      <c r="U358" s="94" t="s">
        <v>444</v>
      </c>
      <c r="W358" s="95">
        <v>0</v>
      </c>
      <c r="X358" s="96"/>
      <c r="Y358" s="97"/>
      <c r="Z358" s="98"/>
      <c r="AA358" s="98"/>
      <c r="AB358" s="99"/>
      <c r="AH358" s="84" t="str">
        <f t="shared" si="382"/>
        <v>PL_0_CR_0_AD_0_Jira_0_</v>
      </c>
      <c r="AI358" s="84" t="str">
        <f t="shared" si="383"/>
        <v/>
      </c>
      <c r="AJ358" s="84" t="str">
        <f>IF(Z358&lt;&gt;"Done","",(_xlfn.CONCAT("PL_",DigitasUKAdOp_26Team[[#This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59" spans="1:36" ht="15.75" customHeight="1" x14ac:dyDescent="0.3">
      <c r="A359" s="85" t="str">
        <f t="shared" si="414"/>
        <v>Apr : Thursday</v>
      </c>
      <c r="B359" s="86">
        <v>46114</v>
      </c>
      <c r="C359" s="87" t="s">
        <v>334</v>
      </c>
      <c r="D359" s="88" t="s">
        <v>667</v>
      </c>
      <c r="E359" s="87" t="s">
        <v>428</v>
      </c>
      <c r="F359" s="88" t="s">
        <v>469</v>
      </c>
      <c r="G359" s="88" t="s">
        <v>668</v>
      </c>
      <c r="H359" s="87" t="s">
        <v>269</v>
      </c>
      <c r="I359" s="87" t="s">
        <v>237</v>
      </c>
      <c r="J359" s="88">
        <v>60</v>
      </c>
      <c r="K359" s="88">
        <v>60</v>
      </c>
      <c r="L359" s="88">
        <v>60</v>
      </c>
      <c r="M359" s="89">
        <v>46115</v>
      </c>
      <c r="N359" s="88">
        <v>1.75</v>
      </c>
      <c r="O359" s="90" t="s">
        <v>432</v>
      </c>
      <c r="Q359" s="91">
        <f t="shared" ref="Q359" si="428">IF(B359="","",WEEKNUM(B359))</f>
        <v>14</v>
      </c>
      <c r="R359" s="91" t="str">
        <f t="shared" ref="R359" si="429">IF(B359="","",TEXT(B359,"MMM"))</f>
        <v>Apr</v>
      </c>
      <c r="S359" s="92" t="str">
        <f t="shared" ref="S359" si="430">IF(B359="","",TEXT(B359,"DDDD"))</f>
        <v>Thursday</v>
      </c>
      <c r="T359" s="93" t="s">
        <v>250</v>
      </c>
      <c r="U359" s="94" t="s">
        <v>433</v>
      </c>
      <c r="W359" s="95">
        <v>1</v>
      </c>
      <c r="X359" s="96"/>
      <c r="Y359" s="97">
        <f t="shared" si="418"/>
        <v>46115</v>
      </c>
      <c r="Z359" s="98" t="str">
        <f>SUBSTITUTE('Digitas UK Task 26'!$O359, "Complet", "Not Requir")</f>
        <v>Not Required</v>
      </c>
      <c r="AA359" s="98" t="str">
        <f t="shared" ref="AA359" si="431">IF(G359="","",G359)</f>
        <v>Klaviyo EMEA - Trafficking Request - FR - Contextual - Display &amp; Video - Q2</v>
      </c>
      <c r="AB359" s="99"/>
      <c r="AF359" s="84" t="str">
        <f t="shared" ref="AF359" si="432">IF(AD359="","",WEEKNUM(AD359))</f>
        <v/>
      </c>
      <c r="AH359" s="84" t="str">
        <f t="shared" si="382"/>
        <v>PL_60_CR_60_AD_60_Jira_0_</v>
      </c>
      <c r="AI359" s="84" t="str">
        <f t="shared" si="383"/>
        <v>PL_60_CR_60_AD_60_Jira_0_</v>
      </c>
      <c r="AJ359" s="84" t="str">
        <f>IF(Z359&lt;&gt;"Done","",(_xlfn.CONCAT("PL_",DigitasUKAdOp_26Team[[#This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60" spans="1:36" ht="15.75" customHeight="1" x14ac:dyDescent="0.3">
      <c r="A360" s="85" t="str">
        <f t="shared" si="414"/>
        <v>Apr : Thursday</v>
      </c>
      <c r="B360" s="86">
        <v>46114</v>
      </c>
      <c r="C360" s="87" t="s">
        <v>43</v>
      </c>
      <c r="D360" s="88" t="s">
        <v>481</v>
      </c>
      <c r="E360" s="87" t="s">
        <v>428</v>
      </c>
      <c r="F360" s="88" t="s">
        <v>450</v>
      </c>
      <c r="G360" s="88" t="s">
        <v>679</v>
      </c>
      <c r="H360" s="87" t="s">
        <v>244</v>
      </c>
      <c r="I360" s="87" t="s">
        <v>237</v>
      </c>
      <c r="J360" s="88">
        <v>50</v>
      </c>
      <c r="K360" s="88">
        <v>50</v>
      </c>
      <c r="L360" s="88">
        <v>50</v>
      </c>
      <c r="M360" s="89">
        <v>46114</v>
      </c>
      <c r="N360" s="88">
        <v>2</v>
      </c>
      <c r="O360" s="90" t="s">
        <v>432</v>
      </c>
      <c r="Q360" s="91">
        <f t="shared" si="415"/>
        <v>14</v>
      </c>
      <c r="R360" s="91" t="str">
        <f t="shared" si="387"/>
        <v>Apr</v>
      </c>
      <c r="S360" s="92" t="str">
        <f t="shared" si="384"/>
        <v>Thursday</v>
      </c>
      <c r="T360" s="93" t="s">
        <v>246</v>
      </c>
      <c r="U360" s="94" t="s">
        <v>433</v>
      </c>
      <c r="W360" s="95">
        <v>1</v>
      </c>
      <c r="X360" s="96"/>
      <c r="Y360" s="97">
        <f t="shared" si="418"/>
        <v>46114</v>
      </c>
      <c r="Z360" s="98" t="str">
        <f>SUBSTITUTE('Digitas UK Task 26'!$O360, "Complet", "Not Requir")</f>
        <v>Not Required</v>
      </c>
      <c r="AA360" s="98" t="str">
        <f t="shared" si="416"/>
        <v xml:space="preserve">Re: Crocs S2 '26 - Trafficking </v>
      </c>
      <c r="AB360" s="99"/>
      <c r="AF360" s="84" t="str">
        <f t="shared" si="385"/>
        <v/>
      </c>
      <c r="AH360" s="84" t="str">
        <f t="shared" si="382"/>
        <v>PL_50_CR_50_AD_50_Jira_0_</v>
      </c>
      <c r="AI360" s="84" t="str">
        <f t="shared" si="383"/>
        <v>PL_50_CR_50_AD_50_Jira_0_</v>
      </c>
      <c r="AJ360" s="84" t="str">
        <f>IF(Z360&lt;&gt;"Done","",(_xlfn.CONCAT("PL_",DigitasUKAdOp_26Team[[#This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61" spans="1:36" ht="15.75" customHeight="1" x14ac:dyDescent="0.3">
      <c r="A361" s="85" t="str">
        <f t="shared" si="414"/>
        <v>Apr : Thursday</v>
      </c>
      <c r="B361" s="86">
        <v>46114</v>
      </c>
      <c r="C361" s="87" t="s">
        <v>43</v>
      </c>
      <c r="D361" s="88" t="s">
        <v>481</v>
      </c>
      <c r="E361" s="87" t="s">
        <v>428</v>
      </c>
      <c r="F361" s="88" t="s">
        <v>652</v>
      </c>
      <c r="G361" s="88" t="s">
        <v>679</v>
      </c>
      <c r="H361" s="87" t="s">
        <v>269</v>
      </c>
      <c r="I361" s="87" t="s">
        <v>237</v>
      </c>
      <c r="J361" s="88">
        <v>10</v>
      </c>
      <c r="K361" s="88">
        <v>10</v>
      </c>
      <c r="L361" s="88">
        <v>10</v>
      </c>
      <c r="M361" s="89">
        <v>46114</v>
      </c>
      <c r="N361" s="88">
        <v>0.25</v>
      </c>
      <c r="O361" s="90" t="s">
        <v>432</v>
      </c>
      <c r="Q361" s="91">
        <f t="shared" si="415"/>
        <v>14</v>
      </c>
      <c r="R361" s="91" t="str">
        <f t="shared" si="387"/>
        <v>Apr</v>
      </c>
      <c r="S361" s="92" t="str">
        <f t="shared" si="384"/>
        <v>Thursday</v>
      </c>
      <c r="T361" s="93" t="s">
        <v>246</v>
      </c>
      <c r="U361" s="94" t="s">
        <v>433</v>
      </c>
      <c r="W361" s="95">
        <v>0.25</v>
      </c>
      <c r="X361" s="96"/>
      <c r="Y361" s="97">
        <f t="shared" si="418"/>
        <v>46114</v>
      </c>
      <c r="Z361" s="98" t="str">
        <f>SUBSTITUTE('Digitas UK Task 26'!$O361, "Complet", "Not Requir")</f>
        <v>Not Required</v>
      </c>
      <c r="AA361" s="98" t="str">
        <f t="shared" si="416"/>
        <v xml:space="preserve">Re: Crocs S2 '26 - Trafficking </v>
      </c>
      <c r="AB361" s="99"/>
      <c r="AF361" s="84" t="str">
        <f t="shared" si="385"/>
        <v/>
      </c>
      <c r="AH361" s="84" t="str">
        <f t="shared" si="382"/>
        <v>PL_10_CR_10_AD_10_Jira_0_</v>
      </c>
      <c r="AI361" s="84" t="str">
        <f t="shared" si="383"/>
        <v>PL_10_CR_10_AD_10_Jira_0_</v>
      </c>
      <c r="AJ361" s="84" t="str">
        <f>IF(Z361&lt;&gt;"Done","",(_xlfn.CONCAT("PL_",DigitasUKAdOp_26Team[[#This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62" spans="1:36" ht="15.75" customHeight="1" x14ac:dyDescent="0.3">
      <c r="A362" s="85" t="str">
        <f t="shared" si="414"/>
        <v>Apr : Thursday</v>
      </c>
      <c r="B362" s="86">
        <v>46114</v>
      </c>
      <c r="C362" s="87" t="s">
        <v>43</v>
      </c>
      <c r="D362" s="88" t="s">
        <v>481</v>
      </c>
      <c r="E362" s="87" t="s">
        <v>428</v>
      </c>
      <c r="F362" s="88" t="s">
        <v>653</v>
      </c>
      <c r="G362" s="88" t="s">
        <v>679</v>
      </c>
      <c r="H362" s="87" t="s">
        <v>269</v>
      </c>
      <c r="I362" s="87" t="s">
        <v>237</v>
      </c>
      <c r="J362" s="88">
        <v>10</v>
      </c>
      <c r="K362" s="88">
        <v>10</v>
      </c>
      <c r="L362" s="88">
        <v>10</v>
      </c>
      <c r="M362" s="89">
        <v>46114</v>
      </c>
      <c r="N362" s="88">
        <v>0.25</v>
      </c>
      <c r="O362" s="90" t="s">
        <v>432</v>
      </c>
      <c r="Q362" s="91">
        <f t="shared" si="415"/>
        <v>14</v>
      </c>
      <c r="R362" s="91" t="str">
        <f t="shared" si="387"/>
        <v>Apr</v>
      </c>
      <c r="S362" s="92" t="str">
        <f t="shared" si="384"/>
        <v>Thursday</v>
      </c>
      <c r="T362" s="93" t="s">
        <v>246</v>
      </c>
      <c r="U362" s="94" t="s">
        <v>433</v>
      </c>
      <c r="W362" s="95">
        <v>0.25</v>
      </c>
      <c r="X362" s="96"/>
      <c r="Y362" s="97">
        <f t="shared" si="418"/>
        <v>46114</v>
      </c>
      <c r="Z362" s="98" t="str">
        <f>SUBSTITUTE('Digitas UK Task 26'!$O362, "Complet", "Not Requir")</f>
        <v>Not Required</v>
      </c>
      <c r="AA362" s="98" t="str">
        <f t="shared" si="416"/>
        <v xml:space="preserve">Re: Crocs S2 '26 - Trafficking </v>
      </c>
      <c r="AB362" s="99"/>
      <c r="AF362" s="84" t="str">
        <f t="shared" si="385"/>
        <v/>
      </c>
      <c r="AH362" s="84" t="str">
        <f t="shared" si="382"/>
        <v>PL_10_CR_10_AD_10_Jira_0_</v>
      </c>
      <c r="AI362" s="84" t="str">
        <f t="shared" si="383"/>
        <v>PL_10_CR_10_AD_10_Jira_0_</v>
      </c>
      <c r="AJ362" s="84" t="str">
        <f>IF(Z362&lt;&gt;"Done","",(_xlfn.CONCAT("PL_",DigitasUKAdOp_26Team[[#This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63" spans="1:36" ht="15.75" customHeight="1" x14ac:dyDescent="0.3">
      <c r="A363" s="85" t="str">
        <f t="shared" si="414"/>
        <v>Apr : Thursday</v>
      </c>
      <c r="B363" s="86">
        <v>46114</v>
      </c>
      <c r="C363" s="87" t="s">
        <v>43</v>
      </c>
      <c r="D363" s="88" t="s">
        <v>481</v>
      </c>
      <c r="E363" s="87" t="s">
        <v>428</v>
      </c>
      <c r="F363" s="88" t="s">
        <v>654</v>
      </c>
      <c r="G363" s="88" t="s">
        <v>679</v>
      </c>
      <c r="H363" s="87" t="s">
        <v>269</v>
      </c>
      <c r="I363" s="87" t="s">
        <v>237</v>
      </c>
      <c r="J363" s="88">
        <v>10</v>
      </c>
      <c r="K363" s="88">
        <v>10</v>
      </c>
      <c r="L363" s="88">
        <v>10</v>
      </c>
      <c r="M363" s="89">
        <v>46114</v>
      </c>
      <c r="N363" s="88">
        <v>0.25</v>
      </c>
      <c r="O363" s="90" t="s">
        <v>432</v>
      </c>
      <c r="Q363" s="91">
        <f t="shared" si="415"/>
        <v>14</v>
      </c>
      <c r="R363" s="91" t="str">
        <f t="shared" si="387"/>
        <v>Apr</v>
      </c>
      <c r="S363" s="92" t="str">
        <f t="shared" si="384"/>
        <v>Thursday</v>
      </c>
      <c r="T363" s="93" t="s">
        <v>246</v>
      </c>
      <c r="U363" s="94" t="s">
        <v>433</v>
      </c>
      <c r="W363" s="95">
        <v>0.25</v>
      </c>
      <c r="X363" s="96"/>
      <c r="Y363" s="97">
        <f t="shared" si="418"/>
        <v>46114</v>
      </c>
      <c r="Z363" s="98" t="str">
        <f>SUBSTITUTE('Digitas UK Task 26'!$O363, "Complet", "Not Requir")</f>
        <v>Not Required</v>
      </c>
      <c r="AA363" s="98" t="str">
        <f t="shared" si="416"/>
        <v xml:space="preserve">Re: Crocs S2 '26 - Trafficking </v>
      </c>
      <c r="AB363" s="99"/>
      <c r="AF363" s="84" t="str">
        <f t="shared" si="385"/>
        <v/>
      </c>
      <c r="AH363" s="84" t="str">
        <f t="shared" si="382"/>
        <v>PL_10_CR_10_AD_10_Jira_0_</v>
      </c>
      <c r="AI363" s="84" t="str">
        <f t="shared" si="383"/>
        <v>PL_10_CR_10_AD_10_Jira_0_</v>
      </c>
      <c r="AJ363" s="84" t="str">
        <f>IF(Z363&lt;&gt;"Done","",(_xlfn.CONCAT("PL_",DigitasUKAdOp_26Team[[#This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64" spans="1:36" ht="15.75" customHeight="1" x14ac:dyDescent="0.3">
      <c r="A364" s="85" t="str">
        <f t="shared" si="414"/>
        <v>Apr : Thursday</v>
      </c>
      <c r="B364" s="86">
        <v>46114</v>
      </c>
      <c r="C364" s="87" t="s">
        <v>325</v>
      </c>
      <c r="D364" s="88" t="s">
        <v>555</v>
      </c>
      <c r="E364" s="87" t="s">
        <v>428</v>
      </c>
      <c r="F364" s="88" t="s">
        <v>659</v>
      </c>
      <c r="G364" s="88" t="s">
        <v>554</v>
      </c>
      <c r="H364" s="87" t="s">
        <v>443</v>
      </c>
      <c r="I364" s="87" t="s">
        <v>237</v>
      </c>
      <c r="J364" s="88">
        <v>0</v>
      </c>
      <c r="K364" s="88">
        <v>0</v>
      </c>
      <c r="L364" s="88">
        <v>0</v>
      </c>
      <c r="M364" s="89">
        <v>46114</v>
      </c>
      <c r="N364" s="88">
        <v>1</v>
      </c>
      <c r="O364" s="90" t="s">
        <v>432</v>
      </c>
      <c r="Q364" s="91">
        <f t="shared" si="415"/>
        <v>14</v>
      </c>
      <c r="R364" s="91" t="str">
        <f t="shared" si="387"/>
        <v>Apr</v>
      </c>
      <c r="S364" s="92" t="str">
        <f t="shared" si="384"/>
        <v>Thursday</v>
      </c>
      <c r="T364" s="93" t="s">
        <v>237</v>
      </c>
      <c r="U364" s="94" t="s">
        <v>444</v>
      </c>
      <c r="W364" s="95">
        <v>0</v>
      </c>
      <c r="X364" s="96"/>
      <c r="Y364" s="97">
        <f t="shared" si="418"/>
        <v>46114</v>
      </c>
      <c r="Z364" s="98" t="str">
        <f>SUBSTITUTE('Digitas UK Task 26'!$O364, "Complet", "Not Requir")</f>
        <v>Not Required</v>
      </c>
      <c r="AA364" s="98" t="str">
        <f t="shared" si="416"/>
        <v>RE: URGENT - Cathay Pacific trafficking - DIG AUDIO</v>
      </c>
      <c r="AB364" s="99"/>
      <c r="AF364" s="84" t="str">
        <f t="shared" si="385"/>
        <v/>
      </c>
      <c r="AH364" s="84" t="str">
        <f t="shared" si="382"/>
        <v>PL_0_CR_0_AD_0_Jira_0_</v>
      </c>
      <c r="AI364" s="84" t="str">
        <f t="shared" si="383"/>
        <v/>
      </c>
      <c r="AJ364" s="84" t="str">
        <f>IF(Z364&lt;&gt;"Done","",(_xlfn.CONCAT("PL_",DigitasUKAdOp_26Team[[#This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65" spans="1:36" ht="15.75" customHeight="1" x14ac:dyDescent="0.3">
      <c r="A365" s="85" t="str">
        <f t="shared" si="414"/>
        <v>Apr : Thursday</v>
      </c>
      <c r="B365" s="86">
        <v>46114</v>
      </c>
      <c r="C365" s="87" t="s">
        <v>325</v>
      </c>
      <c r="D365" s="88" t="s">
        <v>555</v>
      </c>
      <c r="E365" s="87" t="s">
        <v>428</v>
      </c>
      <c r="F365" s="88" t="s">
        <v>659</v>
      </c>
      <c r="G365" s="88" t="s">
        <v>554</v>
      </c>
      <c r="H365" s="87" t="s">
        <v>269</v>
      </c>
      <c r="I365" s="87" t="s">
        <v>237</v>
      </c>
      <c r="J365" s="88">
        <v>10</v>
      </c>
      <c r="K365" s="88">
        <v>10</v>
      </c>
      <c r="L365" s="88">
        <v>10</v>
      </c>
      <c r="M365" s="89">
        <v>46112</v>
      </c>
      <c r="N365" s="88">
        <v>0.5</v>
      </c>
      <c r="O365" s="90" t="s">
        <v>432</v>
      </c>
      <c r="Q365" s="91">
        <f t="shared" si="415"/>
        <v>14</v>
      </c>
      <c r="R365" s="91" t="str">
        <f t="shared" si="387"/>
        <v>Apr</v>
      </c>
      <c r="S365" s="92" t="str">
        <f t="shared" si="384"/>
        <v>Thursday</v>
      </c>
      <c r="T365" s="93" t="s">
        <v>250</v>
      </c>
      <c r="U365" s="94" t="s">
        <v>433</v>
      </c>
      <c r="W365" s="95">
        <v>0.25</v>
      </c>
      <c r="X365" s="96"/>
      <c r="Y365" s="97">
        <f t="shared" si="418"/>
        <v>46112</v>
      </c>
      <c r="Z365" s="98" t="str">
        <f>SUBSTITUTE('Digitas UK Task 26'!$O365, "Complet", "Not Requir")</f>
        <v>Not Required</v>
      </c>
      <c r="AA365" s="98" t="str">
        <f t="shared" si="416"/>
        <v>RE: URGENT - Cathay Pacific trafficking - DIG AUDIO</v>
      </c>
      <c r="AB365" s="99"/>
      <c r="AF365" s="84" t="str">
        <f t="shared" si="385"/>
        <v/>
      </c>
      <c r="AH365" s="84" t="str">
        <f t="shared" si="382"/>
        <v>PL_10_CR_10_AD_10_Jira_0_</v>
      </c>
      <c r="AI365" s="84" t="str">
        <f t="shared" si="383"/>
        <v>PL_10_CR_10_AD_10_Jira_0_</v>
      </c>
      <c r="AJ365" s="84" t="str">
        <f>IF(Z365&lt;&gt;"Done","",(_xlfn.CONCAT("PL_",DigitasUKAdOp_26Team[[#This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66" spans="1:36" ht="15.75" customHeight="1" x14ac:dyDescent="0.3">
      <c r="A366" s="85" t="str">
        <f t="shared" ref="A366:A367" si="433">IF(B366="","",TEXT(B366,"MMM : DDDD"))</f>
        <v>Apr : Thursday</v>
      </c>
      <c r="B366" s="86">
        <v>46114</v>
      </c>
      <c r="C366" s="87" t="s">
        <v>43</v>
      </c>
      <c r="D366" s="88" t="s">
        <v>481</v>
      </c>
      <c r="E366" s="87" t="s">
        <v>428</v>
      </c>
      <c r="F366" s="88" t="s">
        <v>652</v>
      </c>
      <c r="G366" s="88" t="s">
        <v>679</v>
      </c>
      <c r="H366" s="87" t="s">
        <v>443</v>
      </c>
      <c r="I366" s="87" t="s">
        <v>237</v>
      </c>
      <c r="J366" s="88">
        <v>0</v>
      </c>
      <c r="K366" s="88">
        <v>0</v>
      </c>
      <c r="L366" s="88">
        <v>0</v>
      </c>
      <c r="M366" s="89">
        <v>46114</v>
      </c>
      <c r="N366" s="88">
        <v>1</v>
      </c>
      <c r="O366" s="90" t="s">
        <v>432</v>
      </c>
      <c r="Q366" s="91">
        <f t="shared" ref="Q366:Q367" si="434">IF(B366="","",WEEKNUM(B366))</f>
        <v>14</v>
      </c>
      <c r="R366" s="91" t="str">
        <f t="shared" ref="R366:R367" si="435">IF(B366="","",TEXT(B366,"MMM"))</f>
        <v>Apr</v>
      </c>
      <c r="S366" s="92" t="str">
        <f t="shared" ref="S366:S367" si="436">IF(B366="","",TEXT(B366,"DDDD"))</f>
        <v>Thursday</v>
      </c>
      <c r="T366" s="93" t="s">
        <v>237</v>
      </c>
      <c r="U366" s="94" t="s">
        <v>444</v>
      </c>
      <c r="W366" s="95">
        <v>0</v>
      </c>
      <c r="X366" s="96"/>
      <c r="Y366" s="97">
        <f t="shared" ref="Y366:Y367" si="437">IF(M366="","",M366)</f>
        <v>46114</v>
      </c>
      <c r="Z366" s="98" t="str">
        <f>SUBSTITUTE('Digitas UK Task 26'!$O366, "Complet", "Not Requir")</f>
        <v>Not Required</v>
      </c>
      <c r="AA366" s="98" t="str">
        <f t="shared" ref="AA366:AA367" si="438">IF(G366="","",G366)</f>
        <v xml:space="preserve">Re: Crocs S2 '26 - Trafficking </v>
      </c>
      <c r="AB366" s="99"/>
      <c r="AF366" s="84" t="str">
        <f t="shared" ref="AF366:AF367" si="439">IF(AD366="","",WEEKNUM(AD366))</f>
        <v/>
      </c>
      <c r="AH366" s="84" t="str">
        <f t="shared" si="382"/>
        <v>PL_0_CR_0_AD_0_Jira_0_</v>
      </c>
      <c r="AI366" s="84" t="str">
        <f t="shared" si="383"/>
        <v/>
      </c>
      <c r="AJ366" s="84" t="str">
        <f>IF(Z366&lt;&gt;"Done","",(_xlfn.CONCAT("PL_",DigitasUKAdOp_26Team[[#This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67" spans="1:36" ht="15.75" customHeight="1" x14ac:dyDescent="0.3">
      <c r="A367" s="85" t="str">
        <f t="shared" si="433"/>
        <v>Apr : Thursday</v>
      </c>
      <c r="B367" s="86">
        <v>46114</v>
      </c>
      <c r="C367" s="87" t="s">
        <v>334</v>
      </c>
      <c r="D367" s="88" t="s">
        <v>667</v>
      </c>
      <c r="E367" s="87" t="s">
        <v>428</v>
      </c>
      <c r="F367" s="88" t="s">
        <v>469</v>
      </c>
      <c r="G367" s="88" t="s">
        <v>668</v>
      </c>
      <c r="H367" s="87" t="s">
        <v>443</v>
      </c>
      <c r="I367" s="87" t="s">
        <v>237</v>
      </c>
      <c r="J367" s="88">
        <v>0</v>
      </c>
      <c r="K367" s="88">
        <v>0</v>
      </c>
      <c r="L367" s="88">
        <v>0</v>
      </c>
      <c r="M367" s="89">
        <v>46115</v>
      </c>
      <c r="N367" s="88">
        <v>0.5</v>
      </c>
      <c r="O367" s="90" t="s">
        <v>432</v>
      </c>
      <c r="Q367" s="91">
        <f t="shared" si="434"/>
        <v>14</v>
      </c>
      <c r="R367" s="91" t="str">
        <f t="shared" si="435"/>
        <v>Apr</v>
      </c>
      <c r="S367" s="92" t="str">
        <f t="shared" si="436"/>
        <v>Thursday</v>
      </c>
      <c r="T367" s="93" t="s">
        <v>237</v>
      </c>
      <c r="U367" s="94" t="s">
        <v>444</v>
      </c>
      <c r="W367" s="95">
        <v>0</v>
      </c>
      <c r="X367" s="96"/>
      <c r="Y367" s="97">
        <f t="shared" si="437"/>
        <v>46115</v>
      </c>
      <c r="Z367" s="98" t="str">
        <f>SUBSTITUTE('Digitas UK Task 26'!$O367, "Complet", "Not Requir")</f>
        <v>Not Required</v>
      </c>
      <c r="AA367" s="98" t="str">
        <f t="shared" si="438"/>
        <v>Klaviyo EMEA - Trafficking Request - FR - Contextual - Display &amp; Video - Q2</v>
      </c>
      <c r="AB367" s="99"/>
      <c r="AF367" s="84" t="str">
        <f t="shared" si="439"/>
        <v/>
      </c>
      <c r="AH367" s="84" t="str">
        <f t="shared" si="382"/>
        <v>PL_0_CR_0_AD_0_Jira_0_</v>
      </c>
      <c r="AI367" s="84" t="str">
        <f t="shared" si="383"/>
        <v/>
      </c>
      <c r="AJ367" s="84" t="str">
        <f>IF(Z367&lt;&gt;"Done","",(_xlfn.CONCAT("PL_",DigitasUKAdOp_26Team[[#This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68" spans="1:36" ht="15.75" customHeight="1" x14ac:dyDescent="0.3">
      <c r="A368" s="85" t="str">
        <f t="shared" si="414"/>
        <v>Apr : Thursday</v>
      </c>
      <c r="B368" s="86">
        <v>46114</v>
      </c>
      <c r="C368" s="87" t="s">
        <v>349</v>
      </c>
      <c r="D368" s="88" t="s">
        <v>431</v>
      </c>
      <c r="E368" s="87" t="s">
        <v>428</v>
      </c>
      <c r="F368" s="88" t="s">
        <v>680</v>
      </c>
      <c r="G368" s="88" t="s">
        <v>450</v>
      </c>
      <c r="H368" s="87" t="s">
        <v>521</v>
      </c>
      <c r="I368" s="87" t="s">
        <v>431</v>
      </c>
      <c r="J368" s="88">
        <v>0</v>
      </c>
      <c r="K368" s="88">
        <v>0</v>
      </c>
      <c r="L368" s="88">
        <v>0</v>
      </c>
      <c r="M368" s="89">
        <v>46114</v>
      </c>
      <c r="N368" s="88">
        <v>1</v>
      </c>
      <c r="O368" s="90" t="s">
        <v>432</v>
      </c>
      <c r="Q368" s="91">
        <f t="shared" si="415"/>
        <v>14</v>
      </c>
      <c r="R368" s="91" t="str">
        <f t="shared" si="387"/>
        <v>Apr</v>
      </c>
      <c r="S368" s="92" t="str">
        <f t="shared" si="384"/>
        <v>Thursday</v>
      </c>
      <c r="T368" s="93" t="s">
        <v>431</v>
      </c>
      <c r="U368" s="94" t="s">
        <v>444</v>
      </c>
      <c r="W368" s="95">
        <v>0</v>
      </c>
      <c r="X368" s="96"/>
      <c r="Y368" s="97">
        <f t="shared" si="418"/>
        <v>46114</v>
      </c>
      <c r="Z368" s="98" t="str">
        <f>SUBSTITUTE('Digitas UK Task 26'!$O368, "Complet", "Not Requir")</f>
        <v>Not Required</v>
      </c>
      <c r="AA368" s="98" t="str">
        <f t="shared" si="416"/>
        <v>NA</v>
      </c>
      <c r="AB368" s="99"/>
      <c r="AF368" s="84" t="str">
        <f t="shared" si="385"/>
        <v/>
      </c>
      <c r="AH368" s="84" t="str">
        <f t="shared" si="382"/>
        <v>PL_0_CR_0_AD_0_Jira_0_</v>
      </c>
      <c r="AI368" s="84" t="str">
        <f t="shared" si="383"/>
        <v/>
      </c>
      <c r="AJ368" s="84" t="str">
        <f>IF(Z368&lt;&gt;"Done","",(_xlfn.CONCAT("PL_",DigitasUKAdOp_26Team[[#This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69" spans="1:36" ht="15.75" customHeight="1" x14ac:dyDescent="0.3">
      <c r="A369" s="85" t="str">
        <f t="shared" si="414"/>
        <v>Apr : Monday</v>
      </c>
      <c r="B369" s="86">
        <v>46118</v>
      </c>
      <c r="C369" s="87" t="s">
        <v>334</v>
      </c>
      <c r="D369" s="88" t="s">
        <v>465</v>
      </c>
      <c r="E369" s="87" t="s">
        <v>428</v>
      </c>
      <c r="F369" s="88" t="s">
        <v>498</v>
      </c>
      <c r="G369" s="88" t="s">
        <v>681</v>
      </c>
      <c r="H369" s="87" t="s">
        <v>269</v>
      </c>
      <c r="I369" s="87" t="s">
        <v>250</v>
      </c>
      <c r="J369" s="88">
        <v>30</v>
      </c>
      <c r="K369" s="88">
        <v>30</v>
      </c>
      <c r="L369" s="88">
        <v>30</v>
      </c>
      <c r="M369" s="89">
        <v>46118</v>
      </c>
      <c r="N369" s="88">
        <v>2</v>
      </c>
      <c r="O369" s="90" t="s">
        <v>432</v>
      </c>
      <c r="Q369" s="91">
        <f t="shared" si="415"/>
        <v>15</v>
      </c>
      <c r="R369" s="91" t="str">
        <f t="shared" si="387"/>
        <v>Apr</v>
      </c>
      <c r="S369" s="92" t="str">
        <f t="shared" si="384"/>
        <v>Monday</v>
      </c>
      <c r="T369" s="93" t="s">
        <v>237</v>
      </c>
      <c r="U369" s="94" t="s">
        <v>433</v>
      </c>
      <c r="W369" s="95">
        <v>1</v>
      </c>
      <c r="X369" s="96"/>
      <c r="Y369" s="97">
        <f t="shared" si="418"/>
        <v>46118</v>
      </c>
      <c r="Z369" s="98" t="str">
        <f>SUBSTITUTE('Digitas UK Task 26'!$O369, "Complet", "Not Requir")</f>
        <v>Not Required</v>
      </c>
      <c r="AA369" s="98" t="str">
        <f t="shared" si="416"/>
        <v>Klaviyo EMEA - Trafficking Request - DACH - Benchmark Report - Display - Q2 2026</v>
      </c>
      <c r="AB369" s="99"/>
      <c r="AF369" s="84" t="str">
        <f t="shared" si="385"/>
        <v/>
      </c>
      <c r="AH369" s="84" t="str">
        <f t="shared" si="382"/>
        <v>PL_30_CR_30_AD_30_Jira_0_</v>
      </c>
      <c r="AI369" s="84" t="str">
        <f t="shared" si="383"/>
        <v>PL_30_CR_30_AD_30_Jira_0_</v>
      </c>
      <c r="AJ369" s="84" t="str">
        <f>IF(Z369&lt;&gt;"Done","",(_xlfn.CONCAT("PL_",DigitasUKAdOp_26Team[[#This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70" spans="1:36" ht="15.75" customHeight="1" x14ac:dyDescent="0.3">
      <c r="A370" s="85" t="str">
        <f t="shared" ref="A370" si="440">IF(B370="","",TEXT(B370,"MMM : DDDD"))</f>
        <v>Apr : Monday</v>
      </c>
      <c r="B370" s="86">
        <v>46118</v>
      </c>
      <c r="C370" s="87" t="s">
        <v>334</v>
      </c>
      <c r="D370" s="88" t="s">
        <v>465</v>
      </c>
      <c r="E370" s="87" t="s">
        <v>428</v>
      </c>
      <c r="F370" s="88" t="s">
        <v>498</v>
      </c>
      <c r="G370" s="88" t="s">
        <v>681</v>
      </c>
      <c r="H370" s="87" t="s">
        <v>443</v>
      </c>
      <c r="I370" s="87" t="s">
        <v>250</v>
      </c>
      <c r="J370" s="88">
        <v>0</v>
      </c>
      <c r="K370" s="88">
        <v>0</v>
      </c>
      <c r="L370" s="88">
        <v>0</v>
      </c>
      <c r="M370" s="89">
        <v>46118</v>
      </c>
      <c r="N370" s="88">
        <v>1</v>
      </c>
      <c r="O370" s="90" t="s">
        <v>432</v>
      </c>
      <c r="Q370" s="91">
        <f t="shared" si="415"/>
        <v>15</v>
      </c>
      <c r="R370" s="91" t="str">
        <f t="shared" si="387"/>
        <v>Apr</v>
      </c>
      <c r="S370" s="92" t="str">
        <f t="shared" si="384"/>
        <v>Monday</v>
      </c>
      <c r="T370" s="93" t="s">
        <v>250</v>
      </c>
      <c r="U370" s="94" t="s">
        <v>444</v>
      </c>
      <c r="W370" s="95">
        <v>0</v>
      </c>
      <c r="X370" s="96"/>
      <c r="Y370" s="97">
        <f t="shared" si="418"/>
        <v>46118</v>
      </c>
      <c r="Z370" s="98" t="str">
        <f>SUBSTITUTE('Digitas UK Task 26'!$O370, "Complet", "Not Requir")</f>
        <v>Not Required</v>
      </c>
      <c r="AA370" s="98" t="str">
        <f t="shared" si="416"/>
        <v>Klaviyo EMEA - Trafficking Request - DACH - Benchmark Report - Display - Q2 2026</v>
      </c>
      <c r="AB370" s="99"/>
      <c r="AF370" s="84" t="str">
        <f t="shared" si="385"/>
        <v/>
      </c>
      <c r="AH370" s="84" t="str">
        <f t="shared" si="382"/>
        <v>PL_0_CR_0_AD_0_Jira_0_</v>
      </c>
      <c r="AI370" s="84" t="str">
        <f t="shared" si="383"/>
        <v/>
      </c>
      <c r="AJ370" s="84" t="str">
        <f>IF(Z370&lt;&gt;"Done","",(_xlfn.CONCAT("PL_",DigitasUKAdOp_26Team[[#This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71" spans="1:36" ht="15.75" customHeight="1" x14ac:dyDescent="0.3">
      <c r="A371" s="85" t="str">
        <f t="shared" si="414"/>
        <v>Apr : Tuesday</v>
      </c>
      <c r="B371" s="86">
        <v>46119</v>
      </c>
      <c r="C371" s="87" t="s">
        <v>334</v>
      </c>
      <c r="D371" s="88" t="s">
        <v>465</v>
      </c>
      <c r="E371" s="87" t="s">
        <v>428</v>
      </c>
      <c r="F371" s="88" t="s">
        <v>498</v>
      </c>
      <c r="G371" s="88" t="s">
        <v>682</v>
      </c>
      <c r="H371" s="87" t="s">
        <v>269</v>
      </c>
      <c r="I371" s="87" t="s">
        <v>431</v>
      </c>
      <c r="J371" s="88">
        <v>28</v>
      </c>
      <c r="K371" s="88">
        <v>28</v>
      </c>
      <c r="L371" s="88">
        <v>28</v>
      </c>
      <c r="M371" s="89">
        <v>46119</v>
      </c>
      <c r="N371" s="88">
        <v>1</v>
      </c>
      <c r="O371" s="90" t="s">
        <v>432</v>
      </c>
      <c r="Q371" s="91">
        <f t="shared" si="415"/>
        <v>15</v>
      </c>
      <c r="R371" s="91" t="str">
        <f t="shared" si="387"/>
        <v>Apr</v>
      </c>
      <c r="S371" s="92" t="str">
        <f t="shared" si="384"/>
        <v>Tuesday</v>
      </c>
      <c r="T371" s="93" t="s">
        <v>250</v>
      </c>
      <c r="U371" s="94" t="s">
        <v>433</v>
      </c>
      <c r="W371" s="95">
        <v>0.5</v>
      </c>
      <c r="X371" s="96"/>
      <c r="Y371" s="97">
        <f t="shared" si="418"/>
        <v>46119</v>
      </c>
      <c r="Z371" s="98" t="str">
        <f>SUBSTITUTE('Digitas UK Task 26'!$O371, "Complet", "Not Requir")</f>
        <v>Not Required</v>
      </c>
      <c r="AA371" s="98" t="str">
        <f t="shared" si="416"/>
        <v>RE: Klaviyo EMEA - Trafficking Request - DACH - Benchmark Report - Display - Q2 2026</v>
      </c>
      <c r="AB371" s="99"/>
      <c r="AF371" s="84" t="str">
        <f t="shared" si="385"/>
        <v/>
      </c>
      <c r="AH371" s="84" t="str">
        <f t="shared" si="382"/>
        <v>PL_28_CR_28_AD_28_Jira_0_</v>
      </c>
      <c r="AI371" s="84" t="str">
        <f t="shared" si="383"/>
        <v>PL_28_CR_28_AD_28_Jira_0_</v>
      </c>
      <c r="AJ371" s="84" t="str">
        <f>IF(Z371&lt;&gt;"Done","",(_xlfn.CONCAT("PL_",DigitasUKAdOp_26Team[[#This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72" spans="1:36" ht="15.75" customHeight="1" x14ac:dyDescent="0.3">
      <c r="A372" s="85" t="str">
        <f t="shared" si="414"/>
        <v>Apr : Wednesday</v>
      </c>
      <c r="B372" s="86">
        <v>46120</v>
      </c>
      <c r="C372" s="87" t="s">
        <v>334</v>
      </c>
      <c r="D372" s="88" t="s">
        <v>465</v>
      </c>
      <c r="E372" s="87" t="s">
        <v>428</v>
      </c>
      <c r="F372" s="88" t="s">
        <v>498</v>
      </c>
      <c r="G372" s="88" t="s">
        <v>682</v>
      </c>
      <c r="H372" s="87" t="s">
        <v>443</v>
      </c>
      <c r="I372" s="87" t="s">
        <v>250</v>
      </c>
      <c r="J372" s="88">
        <v>0</v>
      </c>
      <c r="K372" s="88">
        <v>0</v>
      </c>
      <c r="L372" s="88">
        <v>0</v>
      </c>
      <c r="M372" s="89">
        <v>46120</v>
      </c>
      <c r="N372" s="88">
        <v>0.5</v>
      </c>
      <c r="O372" s="90" t="s">
        <v>432</v>
      </c>
      <c r="Q372" s="91">
        <f t="shared" si="415"/>
        <v>15</v>
      </c>
      <c r="R372" s="91" t="str">
        <f t="shared" si="387"/>
        <v>Apr</v>
      </c>
      <c r="S372" s="92" t="str">
        <f t="shared" si="384"/>
        <v>Wednesday</v>
      </c>
      <c r="T372" s="93" t="s">
        <v>250</v>
      </c>
      <c r="U372" s="94" t="s">
        <v>444</v>
      </c>
      <c r="W372" s="95">
        <v>0</v>
      </c>
      <c r="X372" s="96"/>
      <c r="Y372" s="97">
        <f t="shared" si="418"/>
        <v>46120</v>
      </c>
      <c r="Z372" s="98" t="str">
        <f>SUBSTITUTE('Digitas UK Task 26'!$O372, "Complet", "Not Requir")</f>
        <v>Not Required</v>
      </c>
      <c r="AA372" s="98" t="str">
        <f t="shared" si="416"/>
        <v>RE: Klaviyo EMEA - Trafficking Request - DACH - Benchmark Report - Display - Q2 2026</v>
      </c>
      <c r="AB372" s="99"/>
      <c r="AF372" s="84" t="str">
        <f t="shared" si="385"/>
        <v/>
      </c>
      <c r="AH372" s="84" t="str">
        <f t="shared" si="382"/>
        <v>PL_0_CR_0_AD_0_Jira_0_</v>
      </c>
      <c r="AI372" s="84" t="str">
        <f t="shared" si="383"/>
        <v/>
      </c>
      <c r="AJ372" s="84" t="str">
        <f>IF(Z372&lt;&gt;"Done","",(_xlfn.CONCAT("PL_",DigitasUKAdOp_26Team[[#This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73" spans="1:36" ht="15.75" customHeight="1" x14ac:dyDescent="0.3">
      <c r="A373" s="85" t="str">
        <f t="shared" ref="A373" si="441">IF(B373="","",TEXT(B373,"MMM : DDDD"))</f>
        <v>Apr : Wednesday</v>
      </c>
      <c r="B373" s="86">
        <v>46120</v>
      </c>
      <c r="C373" s="87" t="s">
        <v>334</v>
      </c>
      <c r="D373" s="88" t="s">
        <v>465</v>
      </c>
      <c r="E373" s="87" t="s">
        <v>428</v>
      </c>
      <c r="F373" s="88" t="s">
        <v>498</v>
      </c>
      <c r="G373" s="88" t="s">
        <v>682</v>
      </c>
      <c r="H373" s="87" t="s">
        <v>443</v>
      </c>
      <c r="I373" s="87" t="s">
        <v>431</v>
      </c>
      <c r="J373" s="88">
        <v>0</v>
      </c>
      <c r="K373" s="88">
        <v>0</v>
      </c>
      <c r="L373" s="88">
        <v>0</v>
      </c>
      <c r="M373" s="89">
        <v>46120</v>
      </c>
      <c r="N373" s="88">
        <v>0.5</v>
      </c>
      <c r="O373" s="90" t="s">
        <v>432</v>
      </c>
      <c r="Q373" s="91">
        <f t="shared" si="415"/>
        <v>15</v>
      </c>
      <c r="R373" s="91" t="str">
        <f t="shared" si="387"/>
        <v>Apr</v>
      </c>
      <c r="S373" s="92" t="str">
        <f t="shared" si="384"/>
        <v>Wednesday</v>
      </c>
      <c r="T373" s="93" t="s">
        <v>431</v>
      </c>
      <c r="U373" s="94" t="s">
        <v>444</v>
      </c>
      <c r="W373" s="95">
        <v>0</v>
      </c>
      <c r="X373" s="96"/>
      <c r="Y373" s="97">
        <f t="shared" si="418"/>
        <v>46120</v>
      </c>
      <c r="Z373" s="98" t="str">
        <f>SUBSTITUTE('Digitas UK Task 26'!$O373, "Complet", "Not Requir")</f>
        <v>Not Required</v>
      </c>
      <c r="AA373" s="98" t="str">
        <f t="shared" si="416"/>
        <v>RE: Klaviyo EMEA - Trafficking Request - DACH - Benchmark Report - Display - Q2 2026</v>
      </c>
      <c r="AB373" s="99"/>
      <c r="AF373" s="84" t="str">
        <f t="shared" si="385"/>
        <v/>
      </c>
      <c r="AH373" s="84" t="str">
        <f t="shared" si="382"/>
        <v>PL_0_CR_0_AD_0_Jira_0_</v>
      </c>
      <c r="AI373" s="84" t="str">
        <f t="shared" si="383"/>
        <v/>
      </c>
      <c r="AJ373" s="84" t="str">
        <f>IF(Z373&lt;&gt;"Done","",(_xlfn.CONCAT("PL_",DigitasUKAdOp_26Team[[#This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74" spans="1:36" ht="15.75" customHeight="1" x14ac:dyDescent="0.3">
      <c r="A374" s="85" t="str">
        <f t="shared" si="414"/>
        <v>Apr : Friday</v>
      </c>
      <c r="B374" s="86">
        <v>46122</v>
      </c>
      <c r="C374" s="87" t="s">
        <v>334</v>
      </c>
      <c r="D374" s="88" t="s">
        <v>667</v>
      </c>
      <c r="E374" s="87" t="s">
        <v>428</v>
      </c>
      <c r="F374" s="88" t="s">
        <v>469</v>
      </c>
      <c r="G374" s="88" t="s">
        <v>683</v>
      </c>
      <c r="H374" s="87" t="s">
        <v>269</v>
      </c>
      <c r="I374" s="87" t="s">
        <v>237</v>
      </c>
      <c r="J374" s="88">
        <v>10</v>
      </c>
      <c r="K374" s="88">
        <v>10</v>
      </c>
      <c r="L374" s="88">
        <v>10</v>
      </c>
      <c r="M374" s="89">
        <v>46122</v>
      </c>
      <c r="N374" s="88">
        <v>0.5</v>
      </c>
      <c r="O374" s="90" t="s">
        <v>432</v>
      </c>
      <c r="Q374" s="91">
        <f t="shared" si="415"/>
        <v>15</v>
      </c>
      <c r="R374" s="91" t="str">
        <f t="shared" si="387"/>
        <v>Apr</v>
      </c>
      <c r="S374" s="92" t="str">
        <f t="shared" si="384"/>
        <v>Friday</v>
      </c>
      <c r="T374" s="93" t="s">
        <v>246</v>
      </c>
      <c r="U374" s="94" t="s">
        <v>433</v>
      </c>
      <c r="W374" s="95">
        <v>0.5</v>
      </c>
      <c r="X374" s="96"/>
      <c r="Y374" s="97">
        <f t="shared" si="418"/>
        <v>46122</v>
      </c>
      <c r="Z374" s="98" t="str">
        <f>SUBSTITUTE('Digitas UK Task 26'!$O374, "Complet", "Not Requir")</f>
        <v>Not Required</v>
      </c>
      <c r="AA374" s="98" t="str">
        <f t="shared" si="416"/>
        <v>Klaviyo EMEA - Trafficking Request - FR - Contextual - Display &amp; Video - Q2 2026 - English</v>
      </c>
      <c r="AB374" s="99"/>
      <c r="AF374" s="84" t="str">
        <f t="shared" si="385"/>
        <v/>
      </c>
      <c r="AH374" s="84" t="str">
        <f t="shared" si="382"/>
        <v>PL_10_CR_10_AD_10_Jira_0_</v>
      </c>
      <c r="AI374" s="84" t="str">
        <f t="shared" si="383"/>
        <v>PL_10_CR_10_AD_10_Jira_0_</v>
      </c>
      <c r="AJ374" s="84" t="str">
        <f>IF(Z374&lt;&gt;"Done","",(_xlfn.CONCAT("PL_",DigitasUKAdOp_26Team[[#This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75" spans="1:36" ht="15.75" customHeight="1" x14ac:dyDescent="0.3">
      <c r="A375" s="85" t="str">
        <f t="shared" si="414"/>
        <v>Apr : Friday</v>
      </c>
      <c r="B375" s="86">
        <v>46122</v>
      </c>
      <c r="C375" s="87" t="s">
        <v>334</v>
      </c>
      <c r="D375" s="88" t="s">
        <v>598</v>
      </c>
      <c r="E375" s="87" t="s">
        <v>428</v>
      </c>
      <c r="F375" s="88" t="s">
        <v>469</v>
      </c>
      <c r="G375" s="88" t="s">
        <v>684</v>
      </c>
      <c r="H375" s="87" t="s">
        <v>269</v>
      </c>
      <c r="I375" s="87" t="s">
        <v>246</v>
      </c>
      <c r="J375" s="88">
        <v>10</v>
      </c>
      <c r="K375" s="88">
        <v>10</v>
      </c>
      <c r="L375" s="88">
        <v>10</v>
      </c>
      <c r="M375" s="89">
        <v>46122</v>
      </c>
      <c r="N375" s="88">
        <v>1</v>
      </c>
      <c r="O375" s="90" t="s">
        <v>432</v>
      </c>
      <c r="P375" s="88" t="s">
        <v>685</v>
      </c>
      <c r="Q375" s="91">
        <f t="shared" si="415"/>
        <v>15</v>
      </c>
      <c r="R375" s="91" t="str">
        <f t="shared" si="387"/>
        <v>Apr</v>
      </c>
      <c r="S375" s="92" t="str">
        <f t="shared" si="384"/>
        <v>Friday</v>
      </c>
      <c r="T375" s="93" t="s">
        <v>246</v>
      </c>
      <c r="U375" s="94" t="s">
        <v>444</v>
      </c>
      <c r="W375" s="95">
        <v>0</v>
      </c>
      <c r="X375" s="96"/>
      <c r="Y375" s="97">
        <f t="shared" si="418"/>
        <v>46122</v>
      </c>
      <c r="Z375" s="98" t="str">
        <f>SUBSTITUTE('Digitas UK Task 26'!$O375, "Complet", "Not Requir")</f>
        <v>Not Required</v>
      </c>
      <c r="AA375" s="98" t="str">
        <f t="shared" si="416"/>
        <v>Klaviyo EMEA - Trafficking Request - Multiple Competitor - FR - Display &amp; Video - Q1 2026</v>
      </c>
      <c r="AB375" s="99"/>
      <c r="AF375" s="84" t="str">
        <f t="shared" si="385"/>
        <v/>
      </c>
      <c r="AH375" s="84" t="str">
        <f t="shared" si="382"/>
        <v>PL_10_CR_10_AD_10_Jira_0_</v>
      </c>
      <c r="AI375" s="84" t="str">
        <f t="shared" si="383"/>
        <v/>
      </c>
      <c r="AJ375" s="84" t="str">
        <f>IF(Z375&lt;&gt;"Done","",(_xlfn.CONCAT("PL_",DigitasUKAdOp_26Team[[#This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76" spans="1:36" ht="15.75" customHeight="1" x14ac:dyDescent="0.3">
      <c r="A376" s="85" t="str">
        <f t="shared" si="414"/>
        <v>Apr : Friday</v>
      </c>
      <c r="B376" s="86">
        <v>46122</v>
      </c>
      <c r="C376" s="87" t="s">
        <v>334</v>
      </c>
      <c r="D376" s="88" t="s">
        <v>598</v>
      </c>
      <c r="E376" s="87" t="s">
        <v>428</v>
      </c>
      <c r="F376" s="88" t="s">
        <v>469</v>
      </c>
      <c r="G376" s="88" t="s">
        <v>684</v>
      </c>
      <c r="H376" s="87" t="s">
        <v>269</v>
      </c>
      <c r="I376" s="87" t="s">
        <v>250</v>
      </c>
      <c r="J376" s="88">
        <v>50</v>
      </c>
      <c r="K376" s="88">
        <v>50</v>
      </c>
      <c r="L376" s="88">
        <v>50</v>
      </c>
      <c r="M376" s="89">
        <v>46122</v>
      </c>
      <c r="N376" s="88">
        <v>3</v>
      </c>
      <c r="O376" s="90" t="s">
        <v>432</v>
      </c>
      <c r="P376" s="88" t="s">
        <v>685</v>
      </c>
      <c r="Q376" s="91">
        <f t="shared" si="415"/>
        <v>15</v>
      </c>
      <c r="R376" s="91" t="str">
        <f t="shared" si="387"/>
        <v>Apr</v>
      </c>
      <c r="S376" s="92" t="str">
        <f t="shared" si="384"/>
        <v>Friday</v>
      </c>
      <c r="T376" s="93" t="s">
        <v>237</v>
      </c>
      <c r="U376" s="94" t="s">
        <v>433</v>
      </c>
      <c r="V376" s="95" t="s">
        <v>686</v>
      </c>
      <c r="W376" s="95">
        <v>2</v>
      </c>
      <c r="X376" s="96"/>
      <c r="Y376" s="97">
        <f t="shared" si="418"/>
        <v>46122</v>
      </c>
      <c r="Z376" s="98" t="str">
        <f>SUBSTITUTE('Digitas UK Task 26'!$O376, "Complet", "Not Requir")</f>
        <v>Not Required</v>
      </c>
      <c r="AA376" s="98" t="str">
        <f t="shared" si="416"/>
        <v>Klaviyo EMEA - Trafficking Request - Multiple Competitor - FR - Display &amp; Video - Q1 2026</v>
      </c>
      <c r="AB376" s="99"/>
      <c r="AF376" s="84" t="str">
        <f t="shared" si="385"/>
        <v/>
      </c>
      <c r="AH376" s="84" t="str">
        <f t="shared" si="382"/>
        <v>PL_50_CR_50_AD_50_Jira_0_</v>
      </c>
      <c r="AI376" s="84" t="str">
        <f t="shared" si="383"/>
        <v>PL_50_CR_50_AD_50_Jira_0_</v>
      </c>
      <c r="AJ376" s="84" t="str">
        <f>IF(Z376&lt;&gt;"Done","",(_xlfn.CONCAT("PL_",DigitasUKAdOp_26Team[[#This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77" spans="1:36" ht="15.75" customHeight="1" x14ac:dyDescent="0.3">
      <c r="A377" s="85" t="str">
        <f t="shared" ref="A377" si="442">IF(B377="","",TEXT(B377,"MMM : DDDD"))</f>
        <v>Apr : Friday</v>
      </c>
      <c r="B377" s="86">
        <v>46122</v>
      </c>
      <c r="C377" s="87" t="s">
        <v>334</v>
      </c>
      <c r="D377" s="88" t="s">
        <v>598</v>
      </c>
      <c r="E377" s="87" t="s">
        <v>428</v>
      </c>
      <c r="F377" s="88" t="s">
        <v>469</v>
      </c>
      <c r="G377" s="88" t="s">
        <v>684</v>
      </c>
      <c r="H377" s="87" t="s">
        <v>443</v>
      </c>
      <c r="I377" s="87" t="s">
        <v>250</v>
      </c>
      <c r="J377" s="88">
        <v>0</v>
      </c>
      <c r="K377" s="88">
        <v>0</v>
      </c>
      <c r="L377" s="88">
        <v>0</v>
      </c>
      <c r="M377" s="89">
        <v>46122</v>
      </c>
      <c r="N377" s="88">
        <v>1</v>
      </c>
      <c r="O377" s="90" t="s">
        <v>432</v>
      </c>
      <c r="Q377" s="91">
        <f t="shared" si="415"/>
        <v>15</v>
      </c>
      <c r="R377" s="91" t="str">
        <f t="shared" si="387"/>
        <v>Apr</v>
      </c>
      <c r="S377" s="92" t="str">
        <f t="shared" si="384"/>
        <v>Friday</v>
      </c>
      <c r="T377" s="93" t="s">
        <v>250</v>
      </c>
      <c r="U377" s="94" t="s">
        <v>444</v>
      </c>
      <c r="W377" s="95">
        <v>0</v>
      </c>
      <c r="X377" s="96"/>
      <c r="Y377" s="97">
        <f t="shared" si="418"/>
        <v>46122</v>
      </c>
      <c r="Z377" s="98" t="str">
        <f>SUBSTITUTE('Digitas UK Task 26'!$O377, "Complet", "Not Requir")</f>
        <v>Not Required</v>
      </c>
      <c r="AA377" s="98" t="str">
        <f t="shared" si="416"/>
        <v>Klaviyo EMEA - Trafficking Request - Multiple Competitor - FR - Display &amp; Video - Q1 2026</v>
      </c>
      <c r="AB377" s="99"/>
      <c r="AF377" s="84" t="str">
        <f t="shared" si="385"/>
        <v/>
      </c>
      <c r="AH377" s="84" t="str">
        <f t="shared" si="382"/>
        <v>PL_0_CR_0_AD_0_Jira_0_</v>
      </c>
      <c r="AI377" s="84" t="str">
        <f t="shared" si="383"/>
        <v/>
      </c>
      <c r="AJ377" s="84" t="str">
        <f>IF(Z377&lt;&gt;"Done","",(_xlfn.CONCAT("PL_",DigitasUKAdOp_26Team[[#This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78" spans="1:36" ht="15.75" customHeight="1" x14ac:dyDescent="0.3">
      <c r="A378" s="85" t="str">
        <f t="shared" ref="A378:A379" si="443">IF(B378="","",TEXT(B378,"MMM : DDDD"))</f>
        <v>Apr : Friday</v>
      </c>
      <c r="B378" s="86">
        <v>46122</v>
      </c>
      <c r="C378" s="87" t="s">
        <v>334</v>
      </c>
      <c r="D378" s="88" t="s">
        <v>598</v>
      </c>
      <c r="E378" s="87" t="s">
        <v>428</v>
      </c>
      <c r="F378" s="88" t="s">
        <v>469</v>
      </c>
      <c r="G378" s="88" t="s">
        <v>684</v>
      </c>
      <c r="H378" s="87" t="s">
        <v>443</v>
      </c>
      <c r="I378" s="87" t="s">
        <v>246</v>
      </c>
      <c r="J378" s="88">
        <v>0</v>
      </c>
      <c r="K378" s="88">
        <v>0</v>
      </c>
      <c r="L378" s="88">
        <v>0</v>
      </c>
      <c r="M378" s="89">
        <v>46122</v>
      </c>
      <c r="N378" s="88">
        <v>1</v>
      </c>
      <c r="O378" s="90" t="s">
        <v>432</v>
      </c>
      <c r="Q378" s="91">
        <f t="shared" ref="Q378:Q379" si="444">IF(B378="","",WEEKNUM(B378))</f>
        <v>15</v>
      </c>
      <c r="R378" s="91" t="str">
        <f t="shared" ref="R378:R379" si="445">IF(B378="","",TEXT(B378,"MMM"))</f>
        <v>Apr</v>
      </c>
      <c r="S378" s="92" t="str">
        <f t="shared" ref="S378:S379" si="446">IF(B378="","",TEXT(B378,"DDDD"))</f>
        <v>Friday</v>
      </c>
      <c r="T378" s="93" t="s">
        <v>246</v>
      </c>
      <c r="U378" s="94" t="s">
        <v>444</v>
      </c>
      <c r="W378" s="95">
        <v>0</v>
      </c>
      <c r="X378" s="96"/>
      <c r="Y378" s="97">
        <f t="shared" ref="Y378" si="447">IF(M378="","",M378)</f>
        <v>46122</v>
      </c>
      <c r="Z378" s="98" t="str">
        <f>SUBSTITUTE('Digitas UK Task 26'!$O378, "Complet", "Not Requir")</f>
        <v>Not Required</v>
      </c>
      <c r="AA378" s="98" t="str">
        <f t="shared" ref="AA378" si="448">IF(G378="","",G378)</f>
        <v>Klaviyo EMEA - Trafficking Request - Multiple Competitor - FR - Display &amp; Video - Q1 2026</v>
      </c>
      <c r="AB378" s="99"/>
      <c r="AF378" s="84" t="str">
        <f t="shared" ref="AF378" si="449">IF(AD378="","",WEEKNUM(AD378))</f>
        <v/>
      </c>
      <c r="AH378" s="84" t="str">
        <f t="shared" si="382"/>
        <v>PL_0_CR_0_AD_0_Jira_0_</v>
      </c>
      <c r="AI378" s="84" t="str">
        <f t="shared" si="383"/>
        <v/>
      </c>
      <c r="AJ378" s="84" t="str">
        <f>IF(Z378&lt;&gt;"Done","",(_xlfn.CONCAT("PL_",DigitasUKAdOp_26Team[[#This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79" spans="1:36" ht="15.75" customHeight="1" x14ac:dyDescent="0.3">
      <c r="A379" s="85" t="str">
        <f t="shared" si="443"/>
        <v>Apr : Friday</v>
      </c>
      <c r="B379" s="86">
        <v>46122</v>
      </c>
      <c r="C379" s="87" t="s">
        <v>334</v>
      </c>
      <c r="D379" s="88" t="s">
        <v>598</v>
      </c>
      <c r="E379" s="87" t="s">
        <v>428</v>
      </c>
      <c r="F379" s="88" t="s">
        <v>469</v>
      </c>
      <c r="G379" s="88" t="s">
        <v>684</v>
      </c>
      <c r="H379" s="87" t="s">
        <v>443</v>
      </c>
      <c r="I379" s="87" t="s">
        <v>237</v>
      </c>
      <c r="J379" s="88">
        <v>0</v>
      </c>
      <c r="K379" s="88">
        <v>0</v>
      </c>
      <c r="L379" s="88">
        <v>0</v>
      </c>
      <c r="M379" s="89">
        <v>46122</v>
      </c>
      <c r="N379" s="88">
        <v>1</v>
      </c>
      <c r="O379" s="90" t="s">
        <v>432</v>
      </c>
      <c r="Q379" s="91">
        <f t="shared" si="444"/>
        <v>15</v>
      </c>
      <c r="R379" s="91" t="str">
        <f t="shared" si="445"/>
        <v>Apr</v>
      </c>
      <c r="S379" s="92" t="str">
        <f t="shared" si="446"/>
        <v>Friday</v>
      </c>
      <c r="T379" s="93" t="s">
        <v>237</v>
      </c>
      <c r="U379" s="94" t="s">
        <v>444</v>
      </c>
      <c r="W379" s="95">
        <v>0</v>
      </c>
      <c r="X379" s="96"/>
      <c r="Y379" s="97">
        <f t="shared" si="418"/>
        <v>46122</v>
      </c>
      <c r="Z379" s="98" t="str">
        <f>SUBSTITUTE('Digitas UK Task 26'!$O379, "Complet", "Not Requir")</f>
        <v>Not Required</v>
      </c>
      <c r="AA379" s="98" t="str">
        <f t="shared" si="416"/>
        <v>Klaviyo EMEA - Trafficking Request - Multiple Competitor - FR - Display &amp; Video - Q1 2026</v>
      </c>
      <c r="AB379" s="99"/>
      <c r="AF379" s="84" t="str">
        <f t="shared" si="385"/>
        <v/>
      </c>
      <c r="AH379" s="84" t="str">
        <f t="shared" si="382"/>
        <v>PL_0_CR_0_AD_0_Jira_0_</v>
      </c>
      <c r="AI379" s="84" t="str">
        <f t="shared" si="383"/>
        <v/>
      </c>
      <c r="AJ379" s="84" t="str">
        <f>IF(Z379&lt;&gt;"Done","",(_xlfn.CONCAT("PL_",DigitasUKAdOp_26Team[[#This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80" spans="1:36" ht="15.75" customHeight="1" x14ac:dyDescent="0.3">
      <c r="A380" s="85" t="str">
        <f t="shared" si="414"/>
        <v>Apr : Monday</v>
      </c>
      <c r="B380" s="86">
        <v>46125</v>
      </c>
      <c r="C380" s="87" t="s">
        <v>334</v>
      </c>
      <c r="D380" s="88" t="s">
        <v>496</v>
      </c>
      <c r="E380" s="87" t="s">
        <v>428</v>
      </c>
      <c r="F380" s="88" t="s">
        <v>472</v>
      </c>
      <c r="G380" s="88" t="s">
        <v>687</v>
      </c>
      <c r="H380" s="87" t="s">
        <v>269</v>
      </c>
      <c r="I380" s="87" t="s">
        <v>250</v>
      </c>
      <c r="J380" s="88">
        <v>75</v>
      </c>
      <c r="K380" s="88">
        <v>75</v>
      </c>
      <c r="L380" s="88">
        <v>75</v>
      </c>
      <c r="M380" s="89">
        <v>46125</v>
      </c>
      <c r="N380" s="88">
        <v>3</v>
      </c>
      <c r="O380" s="90" t="s">
        <v>432</v>
      </c>
      <c r="Q380" s="91">
        <f t="shared" si="415"/>
        <v>16</v>
      </c>
      <c r="R380" s="91" t="str">
        <f t="shared" si="387"/>
        <v>Apr</v>
      </c>
      <c r="S380" s="92" t="str">
        <f t="shared" si="384"/>
        <v>Monday</v>
      </c>
      <c r="T380" s="93" t="s">
        <v>237</v>
      </c>
      <c r="U380" s="94" t="s">
        <v>433</v>
      </c>
      <c r="W380" s="95">
        <v>2</v>
      </c>
      <c r="X380" s="96"/>
      <c r="Y380" s="97">
        <f t="shared" si="418"/>
        <v>46125</v>
      </c>
      <c r="Z380" s="98" t="str">
        <f>SUBSTITUTE('Digitas UK Task 26'!$O380, "Complet", "Not Requir")</f>
        <v>Not Required</v>
      </c>
      <c r="AA380" s="98" t="str">
        <f t="shared" si="416"/>
        <v xml:space="preserve">Klaviyo EMEA - Trafficking Request - ES &amp; IT - Contextual &amp; Multicomp - Display </v>
      </c>
      <c r="AB380" s="99"/>
      <c r="AF380" s="84" t="str">
        <f t="shared" si="385"/>
        <v/>
      </c>
      <c r="AH380" s="84" t="str">
        <f t="shared" si="382"/>
        <v>PL_75_CR_75_AD_75_Jira_0_</v>
      </c>
      <c r="AI380" s="84" t="str">
        <f t="shared" si="383"/>
        <v>PL_75_CR_75_AD_75_Jira_0_</v>
      </c>
      <c r="AJ380" s="84" t="str">
        <f>IF(Z380&lt;&gt;"Done","",(_xlfn.CONCAT("PL_",DigitasUKAdOp_26Team[[#This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81" spans="1:36" ht="15.75" customHeight="1" x14ac:dyDescent="0.3">
      <c r="A381" s="85" t="str">
        <f t="shared" si="414"/>
        <v>Apr : Monday</v>
      </c>
      <c r="B381" s="86">
        <v>46125</v>
      </c>
      <c r="C381" s="87" t="s">
        <v>334</v>
      </c>
      <c r="D381" s="88" t="s">
        <v>496</v>
      </c>
      <c r="E381" s="87" t="s">
        <v>428</v>
      </c>
      <c r="F381" s="88" t="s">
        <v>470</v>
      </c>
      <c r="G381" s="88" t="s">
        <v>687</v>
      </c>
      <c r="H381" s="87" t="s">
        <v>269</v>
      </c>
      <c r="I381" s="87" t="s">
        <v>246</v>
      </c>
      <c r="J381" s="88">
        <v>75</v>
      </c>
      <c r="K381" s="88">
        <v>75</v>
      </c>
      <c r="L381" s="88">
        <v>75</v>
      </c>
      <c r="M381" s="89">
        <v>46125</v>
      </c>
      <c r="N381" s="88">
        <v>3</v>
      </c>
      <c r="O381" s="90" t="s">
        <v>432</v>
      </c>
      <c r="Q381" s="91">
        <f t="shared" si="415"/>
        <v>16</v>
      </c>
      <c r="R381" s="91" t="str">
        <f t="shared" si="387"/>
        <v>Apr</v>
      </c>
      <c r="S381" s="92" t="str">
        <f t="shared" si="384"/>
        <v>Monday</v>
      </c>
      <c r="T381" s="93" t="s">
        <v>237</v>
      </c>
      <c r="U381" s="94" t="s">
        <v>433</v>
      </c>
      <c r="V381" s="95" t="s">
        <v>688</v>
      </c>
      <c r="W381" s="95">
        <v>2</v>
      </c>
      <c r="X381" s="96"/>
      <c r="Y381" s="97">
        <f t="shared" si="418"/>
        <v>46125</v>
      </c>
      <c r="Z381" s="98" t="str">
        <f>SUBSTITUTE('Digitas UK Task 26'!$O381, "Complet", "Not Requir")</f>
        <v>Not Required</v>
      </c>
      <c r="AA381" s="98" t="str">
        <f t="shared" si="416"/>
        <v xml:space="preserve">Klaviyo EMEA - Trafficking Request - ES &amp; IT - Contextual &amp; Multicomp - Display </v>
      </c>
      <c r="AB381" s="99"/>
      <c r="AF381" s="84" t="str">
        <f t="shared" si="385"/>
        <v/>
      </c>
      <c r="AH381" s="84" t="str">
        <f t="shared" si="382"/>
        <v>PL_75_CR_75_AD_75_Jira_0_</v>
      </c>
      <c r="AI381" s="84" t="str">
        <f t="shared" si="383"/>
        <v>PL_75_CR_75_AD_75_Jira_0_</v>
      </c>
      <c r="AJ381" s="84" t="str">
        <f>IF(Z381&lt;&gt;"Done","",(_xlfn.CONCAT("PL_",DigitasUKAdOp_26Team[[#This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82" spans="1:36" ht="15.75" customHeight="1" x14ac:dyDescent="0.3">
      <c r="A382" s="85" t="str">
        <f t="shared" ref="A382" si="450">IF(B382="","",TEXT(B382,"MMM : DDDD"))</f>
        <v>Apr : Monday</v>
      </c>
      <c r="B382" s="86">
        <v>46125</v>
      </c>
      <c r="C382" s="87" t="s">
        <v>334</v>
      </c>
      <c r="D382" s="88" t="s">
        <v>496</v>
      </c>
      <c r="E382" s="87" t="s">
        <v>428</v>
      </c>
      <c r="F382" s="88" t="s">
        <v>472</v>
      </c>
      <c r="G382" s="88" t="s">
        <v>687</v>
      </c>
      <c r="H382" s="87" t="s">
        <v>443</v>
      </c>
      <c r="I382" s="87" t="s">
        <v>250</v>
      </c>
      <c r="J382" s="88">
        <v>0</v>
      </c>
      <c r="K382" s="88">
        <v>0</v>
      </c>
      <c r="L382" s="88">
        <v>0</v>
      </c>
      <c r="M382" s="89">
        <v>46125</v>
      </c>
      <c r="N382" s="88">
        <v>1</v>
      </c>
      <c r="O382" s="90" t="s">
        <v>432</v>
      </c>
      <c r="Q382" s="91">
        <f t="shared" si="415"/>
        <v>16</v>
      </c>
      <c r="R382" s="91" t="str">
        <f t="shared" si="387"/>
        <v>Apr</v>
      </c>
      <c r="S382" s="92" t="str">
        <f t="shared" si="384"/>
        <v>Monday</v>
      </c>
      <c r="T382" s="93" t="s">
        <v>250</v>
      </c>
      <c r="U382" s="94" t="s">
        <v>444</v>
      </c>
      <c r="W382" s="95">
        <v>0</v>
      </c>
      <c r="X382" s="96"/>
      <c r="Y382" s="97">
        <f t="shared" si="418"/>
        <v>46125</v>
      </c>
      <c r="Z382" s="98" t="str">
        <f>SUBSTITUTE('Digitas UK Task 26'!$O382, "Complet", "Not Requir")</f>
        <v>Not Required</v>
      </c>
      <c r="AA382" s="98" t="str">
        <f t="shared" si="416"/>
        <v xml:space="preserve">Klaviyo EMEA - Trafficking Request - ES &amp; IT - Contextual &amp; Multicomp - Display </v>
      </c>
      <c r="AB382" s="99"/>
      <c r="AF382" s="84" t="str">
        <f t="shared" si="385"/>
        <v/>
      </c>
      <c r="AH382" s="84" t="str">
        <f t="shared" si="382"/>
        <v>PL_0_CR_0_AD_0_Jira_0_</v>
      </c>
      <c r="AI382" s="84" t="str">
        <f t="shared" si="383"/>
        <v/>
      </c>
      <c r="AJ382" s="84" t="str">
        <f>IF(Z382&lt;&gt;"Done","",(_xlfn.CONCAT("PL_",DigitasUKAdOp_26Team[[#This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83" spans="1:36" ht="15.75" customHeight="1" x14ac:dyDescent="0.3">
      <c r="A383" s="85" t="str">
        <f t="shared" si="414"/>
        <v>Apr : Monday</v>
      </c>
      <c r="B383" s="86">
        <v>46125</v>
      </c>
      <c r="C383" s="87" t="s">
        <v>334</v>
      </c>
      <c r="D383" s="88" t="s">
        <v>598</v>
      </c>
      <c r="E383" s="87" t="s">
        <v>428</v>
      </c>
      <c r="F383" s="88" t="s">
        <v>469</v>
      </c>
      <c r="G383" s="88" t="s">
        <v>684</v>
      </c>
      <c r="H383" s="87" t="s">
        <v>443</v>
      </c>
      <c r="I383" s="87" t="s">
        <v>431</v>
      </c>
      <c r="J383" s="88">
        <v>0</v>
      </c>
      <c r="K383" s="88">
        <v>0</v>
      </c>
      <c r="L383" s="88">
        <v>0</v>
      </c>
      <c r="M383" s="89">
        <v>46125</v>
      </c>
      <c r="N383" s="88">
        <v>0.5</v>
      </c>
      <c r="O383" s="90" t="s">
        <v>432</v>
      </c>
      <c r="Q383" s="91">
        <f t="shared" si="415"/>
        <v>16</v>
      </c>
      <c r="R383" s="91" t="str">
        <f t="shared" si="387"/>
        <v>Apr</v>
      </c>
      <c r="S383" s="92" t="str">
        <f t="shared" si="384"/>
        <v>Monday</v>
      </c>
      <c r="T383" s="93" t="s">
        <v>431</v>
      </c>
      <c r="U383" s="94" t="s">
        <v>444</v>
      </c>
      <c r="W383" s="95">
        <v>0</v>
      </c>
      <c r="X383" s="96"/>
      <c r="Y383" s="97">
        <f t="shared" si="418"/>
        <v>46125</v>
      </c>
      <c r="Z383" s="98" t="str">
        <f>SUBSTITUTE('Digitas UK Task 26'!$O383, "Complet", "Not Requir")</f>
        <v>Not Required</v>
      </c>
      <c r="AA383" s="98" t="str">
        <f t="shared" si="416"/>
        <v>Klaviyo EMEA - Trafficking Request - Multiple Competitor - FR - Display &amp; Video - Q1 2026</v>
      </c>
      <c r="AB383" s="99"/>
      <c r="AF383" s="84" t="str">
        <f t="shared" si="385"/>
        <v/>
      </c>
      <c r="AH383" s="84" t="str">
        <f t="shared" si="382"/>
        <v>PL_0_CR_0_AD_0_Jira_0_</v>
      </c>
      <c r="AI383" s="84" t="str">
        <f t="shared" si="383"/>
        <v/>
      </c>
      <c r="AJ383" s="84" t="str">
        <f>IF(Z383&lt;&gt;"Done","",(_xlfn.CONCAT("PL_",DigitasUKAdOp_26Team[[#This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84" spans="1:36" ht="15.75" customHeight="1" x14ac:dyDescent="0.3">
      <c r="A384" s="85" t="str">
        <f t="shared" ref="A384:A386" si="451">IF(B384="","",TEXT(B384,"MMM : DDDD"))</f>
        <v>Apr : Monday</v>
      </c>
      <c r="B384" s="86">
        <v>46125</v>
      </c>
      <c r="C384" s="87" t="s">
        <v>334</v>
      </c>
      <c r="D384" s="88" t="s">
        <v>598</v>
      </c>
      <c r="E384" s="87" t="s">
        <v>428</v>
      </c>
      <c r="F384" s="88" t="s">
        <v>469</v>
      </c>
      <c r="G384" s="88" t="s">
        <v>684</v>
      </c>
      <c r="H384" s="87" t="s">
        <v>269</v>
      </c>
      <c r="I384" s="87" t="s">
        <v>431</v>
      </c>
      <c r="J384" s="88">
        <v>5</v>
      </c>
      <c r="K384" s="88">
        <v>5</v>
      </c>
      <c r="L384" s="88">
        <v>5</v>
      </c>
      <c r="M384" s="89">
        <v>46125</v>
      </c>
      <c r="N384" s="88">
        <v>1</v>
      </c>
      <c r="O384" s="90" t="s">
        <v>432</v>
      </c>
      <c r="Q384" s="91">
        <f t="shared" si="415"/>
        <v>16</v>
      </c>
      <c r="R384" s="91" t="str">
        <f t="shared" si="387"/>
        <v>Apr</v>
      </c>
      <c r="S384" s="92" t="str">
        <f t="shared" si="384"/>
        <v>Monday</v>
      </c>
      <c r="T384" s="93" t="s">
        <v>237</v>
      </c>
      <c r="U384" s="94" t="s">
        <v>433</v>
      </c>
      <c r="W384" s="95">
        <v>0.5</v>
      </c>
      <c r="X384" s="96"/>
      <c r="Y384" s="97">
        <f t="shared" si="418"/>
        <v>46125</v>
      </c>
      <c r="Z384" s="98" t="str">
        <f>SUBSTITUTE('Digitas UK Task 26'!$O384, "Complet", "Not Requir")</f>
        <v>Not Required</v>
      </c>
      <c r="AA384" s="98" t="str">
        <f t="shared" si="416"/>
        <v>Klaviyo EMEA - Trafficking Request - Multiple Competitor - FR - Display &amp; Video - Q1 2026</v>
      </c>
      <c r="AB384" s="99"/>
      <c r="AF384" s="84" t="str">
        <f t="shared" si="385"/>
        <v/>
      </c>
      <c r="AH384" s="84" t="str">
        <f t="shared" si="382"/>
        <v>PL_5_CR_5_AD_5_Jira_0_</v>
      </c>
      <c r="AI384" s="84" t="str">
        <f t="shared" si="383"/>
        <v>PL_5_CR_5_AD_5_Jira_0_</v>
      </c>
      <c r="AJ384" s="84" t="str">
        <f>IF(Z384&lt;&gt;"Done","",(_xlfn.CONCAT("PL_",DigitasUKAdOp_26Team[[#This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85" spans="1:36" ht="15.75" customHeight="1" x14ac:dyDescent="0.3">
      <c r="A385" s="85" t="str">
        <f t="shared" si="451"/>
        <v>Apr : Monday</v>
      </c>
      <c r="B385" s="86">
        <v>46125</v>
      </c>
      <c r="C385" s="87" t="s">
        <v>334</v>
      </c>
      <c r="D385" s="88" t="s">
        <v>598</v>
      </c>
      <c r="E385" s="87" t="s">
        <v>428</v>
      </c>
      <c r="F385" s="88" t="s">
        <v>469</v>
      </c>
      <c r="G385" s="88" t="s">
        <v>684</v>
      </c>
      <c r="H385" s="87" t="s">
        <v>443</v>
      </c>
      <c r="I385" s="87" t="s">
        <v>237</v>
      </c>
      <c r="J385" s="88">
        <v>0</v>
      </c>
      <c r="K385" s="88">
        <v>0</v>
      </c>
      <c r="L385" s="88">
        <v>0</v>
      </c>
      <c r="M385" s="89">
        <v>46122</v>
      </c>
      <c r="N385" s="88">
        <v>1</v>
      </c>
      <c r="O385" s="90" t="s">
        <v>432</v>
      </c>
      <c r="Q385" s="91">
        <f t="shared" si="415"/>
        <v>16</v>
      </c>
      <c r="R385" s="91" t="str">
        <f t="shared" si="387"/>
        <v>Apr</v>
      </c>
      <c r="S385" s="92" t="str">
        <f t="shared" si="384"/>
        <v>Monday</v>
      </c>
      <c r="T385" s="93" t="s">
        <v>237</v>
      </c>
      <c r="U385" s="94" t="s">
        <v>444</v>
      </c>
      <c r="W385" s="95">
        <v>0</v>
      </c>
      <c r="X385" s="96"/>
      <c r="Y385" s="97">
        <f t="shared" ref="Y385" si="452">IF(M385="","",M385)</f>
        <v>46122</v>
      </c>
      <c r="Z385" s="98" t="str">
        <f>SUBSTITUTE('Digitas UK Task 26'!$O385, "Complet", "Not Requir")</f>
        <v>Not Required</v>
      </c>
      <c r="AA385" s="98" t="str">
        <f t="shared" ref="AA385" si="453">IF(G385="","",G385)</f>
        <v>Klaviyo EMEA - Trafficking Request - Multiple Competitor - FR - Display &amp; Video - Q1 2026</v>
      </c>
      <c r="AB385" s="99"/>
      <c r="AF385" s="84" t="str">
        <f t="shared" ref="AF385" si="454">IF(AD385="","",WEEKNUM(AD385))</f>
        <v/>
      </c>
      <c r="AH385" s="84" t="str">
        <f t="shared" si="382"/>
        <v>PL_0_CR_0_AD_0_Jira_0_</v>
      </c>
      <c r="AI385" s="84" t="str">
        <f t="shared" si="383"/>
        <v/>
      </c>
      <c r="AJ385" s="84" t="str">
        <f>IF(Z385&lt;&gt;"Done","",(_xlfn.CONCAT("PL_",DigitasUKAdOp_26Team[[#This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86" spans="1:36" ht="15.75" customHeight="1" x14ac:dyDescent="0.3">
      <c r="A386" s="85" t="str">
        <f t="shared" si="451"/>
        <v>Apr : Monday</v>
      </c>
      <c r="B386" s="86">
        <v>46125</v>
      </c>
      <c r="C386" s="87" t="s">
        <v>334</v>
      </c>
      <c r="D386" s="88" t="s">
        <v>496</v>
      </c>
      <c r="E386" s="87" t="s">
        <v>428</v>
      </c>
      <c r="F386" s="88" t="s">
        <v>470</v>
      </c>
      <c r="G386" s="88" t="s">
        <v>687</v>
      </c>
      <c r="H386" s="87" t="s">
        <v>443</v>
      </c>
      <c r="I386" s="87" t="s">
        <v>246</v>
      </c>
      <c r="J386" s="88">
        <v>0</v>
      </c>
      <c r="K386" s="88">
        <v>0</v>
      </c>
      <c r="L386" s="88">
        <v>0</v>
      </c>
      <c r="M386" s="89">
        <v>46125</v>
      </c>
      <c r="N386" s="88">
        <v>1</v>
      </c>
      <c r="O386" s="90" t="s">
        <v>432</v>
      </c>
      <c r="Q386" s="91">
        <f t="shared" si="415"/>
        <v>16</v>
      </c>
      <c r="R386" s="91" t="str">
        <f t="shared" si="387"/>
        <v>Apr</v>
      </c>
      <c r="S386" s="92" t="str">
        <f t="shared" si="384"/>
        <v>Monday</v>
      </c>
      <c r="T386" s="93" t="s">
        <v>246</v>
      </c>
      <c r="U386" s="94" t="s">
        <v>444</v>
      </c>
      <c r="W386" s="95">
        <v>0</v>
      </c>
      <c r="X386" s="96"/>
      <c r="Y386" s="97">
        <f t="shared" si="418"/>
        <v>46125</v>
      </c>
      <c r="Z386" s="98" t="str">
        <f>SUBSTITUTE('Digitas UK Task 26'!$O386, "Complet", "Not Requir")</f>
        <v>Not Required</v>
      </c>
      <c r="AA386" s="98" t="str">
        <f t="shared" si="416"/>
        <v xml:space="preserve">Klaviyo EMEA - Trafficking Request - ES &amp; IT - Contextual &amp; Multicomp - Display </v>
      </c>
      <c r="AB386" s="99"/>
      <c r="AF386" s="84" t="str">
        <f t="shared" si="385"/>
        <v/>
      </c>
      <c r="AH386" s="84" t="str">
        <f t="shared" ref="AH386:AH425" si="455">IF(B386="","",_xlfn.CONCAT("PL_",J386,"_CR_",K386,"_AD_",L386,"_Jira_",IF(AND(C386="P&amp;G",ISNUMBER(SEARCH("TAAGPNG-",G386))),MID(G386,SEARCH("TAAGPNG-",G386)+8,LEN(G386)-SEARCH("TAAGPNG-",G386)-7),"0"),"_"))</f>
        <v>PL_0_CR_0_AD_0_Jira_0_</v>
      </c>
      <c r="AI386" s="84" t="str">
        <f t="shared" ref="AI386:AI425" si="456">IF(U386&lt;&gt;"Done","",_xlfn.CONCAT("PL_",J386,"_CR_",K386,"_AD_",L386,"_Jira_",IF(AND(C386="P&amp;G",ISNUMBER(SEARCH("TAAGPNG-",G386))),MID(G386,SEARCH("TAAGPNG-",G386)+8,LEN(G386)-SEARCH("TAAGPNG-",G386)-7),"0"),"_"))</f>
        <v/>
      </c>
      <c r="AJ386" s="84" t="str">
        <f>IF(Z386&lt;&gt;"Done","",(_xlfn.CONCAT("PL_",DigitasUKAdOp_26Team[[#This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87" spans="1:36" ht="15.75" customHeight="1" x14ac:dyDescent="0.3">
      <c r="A387" s="85" t="str">
        <f t="shared" si="414"/>
        <v>Apr : Tuesday</v>
      </c>
      <c r="B387" s="86">
        <v>46126</v>
      </c>
      <c r="C387" s="87" t="s">
        <v>334</v>
      </c>
      <c r="D387" s="88" t="s">
        <v>465</v>
      </c>
      <c r="E387" s="87" t="s">
        <v>428</v>
      </c>
      <c r="F387" s="88" t="s">
        <v>471</v>
      </c>
      <c r="G387" s="88" t="s">
        <v>689</v>
      </c>
      <c r="H387" s="87" t="s">
        <v>269</v>
      </c>
      <c r="I387" s="87" t="s">
        <v>431</v>
      </c>
      <c r="J387" s="88">
        <v>1</v>
      </c>
      <c r="K387" s="88">
        <v>1</v>
      </c>
      <c r="L387" s="88">
        <v>1</v>
      </c>
      <c r="M387" s="89">
        <v>46126</v>
      </c>
      <c r="N387" s="88">
        <v>0.5</v>
      </c>
      <c r="O387" s="90" t="s">
        <v>432</v>
      </c>
      <c r="Q387" s="91">
        <f t="shared" si="415"/>
        <v>16</v>
      </c>
      <c r="R387" s="91" t="str">
        <f t="shared" si="387"/>
        <v>Apr</v>
      </c>
      <c r="S387" s="92" t="str">
        <f t="shared" si="384"/>
        <v>Tuesday</v>
      </c>
      <c r="T387" s="93" t="s">
        <v>250</v>
      </c>
      <c r="U387" s="94" t="s">
        <v>433</v>
      </c>
      <c r="W387" s="95">
        <v>0.25</v>
      </c>
      <c r="X387" s="96"/>
      <c r="Y387" s="97">
        <f t="shared" si="418"/>
        <v>46126</v>
      </c>
      <c r="Z387" s="98" t="str">
        <f>SUBSTITUTE('Digitas UK Task 26'!$O387, "Complet", "Not Requir")</f>
        <v>Not Required</v>
      </c>
      <c r="AA387" s="98" t="str">
        <f t="shared" si="416"/>
        <v>Klaviyo EMEA - Trafficking Request - Demand Gen - UKI &amp; Nordics - Display &amp; Video - Q1 2026</v>
      </c>
      <c r="AB387" s="99"/>
      <c r="AF387" s="84" t="str">
        <f t="shared" si="385"/>
        <v/>
      </c>
      <c r="AH387" s="84" t="str">
        <f t="shared" si="455"/>
        <v>PL_1_CR_1_AD_1_Jira_0_</v>
      </c>
      <c r="AI387" s="84" t="str">
        <f t="shared" si="456"/>
        <v>PL_1_CR_1_AD_1_Jira_0_</v>
      </c>
      <c r="AJ387" s="84" t="str">
        <f>IF(Z387&lt;&gt;"Done","",(_xlfn.CONCAT("PL_",DigitasUKAdOp_26Team[[#This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88" spans="1:36" ht="15.75" customHeight="1" x14ac:dyDescent="0.3">
      <c r="A388" s="85" t="str">
        <f t="shared" ref="A388" si="457">IF(B388="","",TEXT(B388,"MMM : DDDD"))</f>
        <v>Apr : Tuesday</v>
      </c>
      <c r="B388" s="86">
        <v>46126</v>
      </c>
      <c r="C388" s="87" t="s">
        <v>334</v>
      </c>
      <c r="D388" s="88" t="s">
        <v>465</v>
      </c>
      <c r="E388" s="87" t="s">
        <v>428</v>
      </c>
      <c r="F388" s="88" t="s">
        <v>473</v>
      </c>
      <c r="G388" s="88" t="s">
        <v>689</v>
      </c>
      <c r="H388" s="87" t="s">
        <v>269</v>
      </c>
      <c r="I388" s="87" t="s">
        <v>431</v>
      </c>
      <c r="J388" s="88">
        <v>2</v>
      </c>
      <c r="K388" s="88">
        <v>2</v>
      </c>
      <c r="L388" s="88">
        <v>2</v>
      </c>
      <c r="M388" s="89">
        <v>46126</v>
      </c>
      <c r="N388" s="88">
        <v>0.5</v>
      </c>
      <c r="O388" s="90" t="s">
        <v>432</v>
      </c>
      <c r="Q388" s="91">
        <f t="shared" si="415"/>
        <v>16</v>
      </c>
      <c r="R388" s="91" t="str">
        <f t="shared" si="387"/>
        <v>Apr</v>
      </c>
      <c r="S388" s="92" t="str">
        <f t="shared" si="384"/>
        <v>Tuesday</v>
      </c>
      <c r="T388" s="93" t="s">
        <v>250</v>
      </c>
      <c r="U388" s="94" t="s">
        <v>433</v>
      </c>
      <c r="W388" s="95">
        <v>0.25</v>
      </c>
      <c r="X388" s="96"/>
      <c r="Y388" s="97">
        <f t="shared" si="418"/>
        <v>46126</v>
      </c>
      <c r="Z388" s="98" t="str">
        <f>SUBSTITUTE('Digitas UK Task 26'!$O388, "Complet", "Not Requir")</f>
        <v>Not Required</v>
      </c>
      <c r="AA388" s="98" t="str">
        <f t="shared" si="416"/>
        <v>Klaviyo EMEA - Trafficking Request - Demand Gen - UKI &amp; Nordics - Display &amp; Video - Q1 2026</v>
      </c>
      <c r="AB388" s="99"/>
      <c r="AF388" s="84" t="str">
        <f t="shared" si="385"/>
        <v/>
      </c>
      <c r="AH388" s="84" t="str">
        <f t="shared" si="455"/>
        <v>PL_2_CR_2_AD_2_Jira_0_</v>
      </c>
      <c r="AI388" s="84" t="str">
        <f t="shared" si="456"/>
        <v>PL_2_CR_2_AD_2_Jira_0_</v>
      </c>
      <c r="AJ388" s="84" t="str">
        <f>IF(Z388&lt;&gt;"Done","",(_xlfn.CONCAT("PL_",DigitasUKAdOp_26Team[[#This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89" spans="1:36" ht="15.75" customHeight="1" x14ac:dyDescent="0.3">
      <c r="A389" s="85" t="str">
        <f t="shared" ref="A389" si="458">IF(B389="","",TEXT(B389,"MMM : DDDD"))</f>
        <v>Apr : Tuesday</v>
      </c>
      <c r="B389" s="86">
        <v>46126</v>
      </c>
      <c r="C389" s="87" t="s">
        <v>334</v>
      </c>
      <c r="D389" s="88" t="s">
        <v>465</v>
      </c>
      <c r="E389" s="87" t="s">
        <v>428</v>
      </c>
      <c r="F389" s="88" t="s">
        <v>473</v>
      </c>
      <c r="G389" s="88" t="s">
        <v>689</v>
      </c>
      <c r="H389" s="87" t="s">
        <v>443</v>
      </c>
      <c r="I389" s="87" t="s">
        <v>431</v>
      </c>
      <c r="J389" s="88">
        <v>0</v>
      </c>
      <c r="K389" s="88">
        <v>0</v>
      </c>
      <c r="L389" s="88">
        <v>0</v>
      </c>
      <c r="M389" s="89">
        <v>46126</v>
      </c>
      <c r="N389" s="88">
        <v>0.5</v>
      </c>
      <c r="O389" s="90" t="s">
        <v>432</v>
      </c>
      <c r="Q389" s="91">
        <f t="shared" si="415"/>
        <v>16</v>
      </c>
      <c r="R389" s="91" t="str">
        <f t="shared" si="387"/>
        <v>Apr</v>
      </c>
      <c r="S389" s="92" t="str">
        <f t="shared" si="384"/>
        <v>Tuesday</v>
      </c>
      <c r="T389" s="93" t="s">
        <v>431</v>
      </c>
      <c r="U389" s="94" t="s">
        <v>444</v>
      </c>
      <c r="W389" s="95">
        <v>0</v>
      </c>
      <c r="X389" s="96"/>
      <c r="Y389" s="97">
        <f t="shared" si="418"/>
        <v>46126</v>
      </c>
      <c r="Z389" s="98" t="str">
        <f>SUBSTITUTE('Digitas UK Task 26'!$O389, "Complet", "Not Requir")</f>
        <v>Not Required</v>
      </c>
      <c r="AA389" s="98" t="str">
        <f t="shared" si="416"/>
        <v>Klaviyo EMEA - Trafficking Request - Demand Gen - UKI &amp; Nordics - Display &amp; Video - Q1 2026</v>
      </c>
      <c r="AB389" s="99"/>
      <c r="AF389" s="84" t="str">
        <f t="shared" si="385"/>
        <v/>
      </c>
      <c r="AH389" s="84" t="str">
        <f t="shared" si="455"/>
        <v>PL_0_CR_0_AD_0_Jira_0_</v>
      </c>
      <c r="AI389" s="84" t="str">
        <f t="shared" si="456"/>
        <v/>
      </c>
      <c r="AJ389" s="84" t="str">
        <f>IF(Z389&lt;&gt;"Done","",(_xlfn.CONCAT("PL_",DigitasUKAdOp_26Team[[#This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90" spans="1:36" ht="15.75" customHeight="1" x14ac:dyDescent="0.3">
      <c r="A390" s="85" t="str">
        <f t="shared" si="414"/>
        <v>Apr : Thursday</v>
      </c>
      <c r="B390" s="86">
        <v>46128</v>
      </c>
      <c r="C390" s="87" t="s">
        <v>334</v>
      </c>
      <c r="D390" s="88" t="s">
        <v>598</v>
      </c>
      <c r="E390" s="87" t="s">
        <v>428</v>
      </c>
      <c r="F390" s="88" t="s">
        <v>450</v>
      </c>
      <c r="G390" s="88" t="s">
        <v>690</v>
      </c>
      <c r="H390" s="87" t="s">
        <v>521</v>
      </c>
      <c r="I390" s="87" t="s">
        <v>250</v>
      </c>
      <c r="J390" s="88">
        <v>0</v>
      </c>
      <c r="K390" s="88">
        <v>0</v>
      </c>
      <c r="L390" s="88">
        <v>0</v>
      </c>
      <c r="M390" s="89">
        <v>46128</v>
      </c>
      <c r="N390" s="88">
        <v>1</v>
      </c>
      <c r="O390" s="90" t="s">
        <v>432</v>
      </c>
      <c r="Q390" s="91">
        <f t="shared" ref="Q390:Q441" si="459">IF(B390="","",WEEKNUM(B390))</f>
        <v>16</v>
      </c>
      <c r="R390" s="91" t="str">
        <f t="shared" si="387"/>
        <v>Apr</v>
      </c>
      <c r="S390" s="92" t="str">
        <f t="shared" ref="S390:S441" si="460">IF(B390="","",TEXT(B390,"DDDD"))</f>
        <v>Thursday</v>
      </c>
      <c r="T390" s="93" t="s">
        <v>250</v>
      </c>
      <c r="U390" s="94" t="s">
        <v>444</v>
      </c>
      <c r="W390" s="95">
        <v>0</v>
      </c>
      <c r="X390" s="96"/>
      <c r="Y390" s="97">
        <f t="shared" si="418"/>
        <v>46128</v>
      </c>
      <c r="Z390" s="98" t="str">
        <f>SUBSTITUTE('Digitas UK Task 26'!$O390, "Complet", "Not Requir")</f>
        <v>Not Required</v>
      </c>
      <c r="AA390" s="98" t="str">
        <f t="shared" si="416"/>
        <v>Re: Klaviyo EMEA - Trafficking Request - Manucurist -FR - Display - Q1 2026</v>
      </c>
      <c r="AB390" s="99"/>
      <c r="AF390" s="84" t="str">
        <f t="shared" si="385"/>
        <v/>
      </c>
      <c r="AH390" s="84" t="str">
        <f t="shared" si="455"/>
        <v>PL_0_CR_0_AD_0_Jira_0_</v>
      </c>
      <c r="AI390" s="84" t="str">
        <f t="shared" si="456"/>
        <v/>
      </c>
      <c r="AJ390" s="84" t="str">
        <f>IF(Z390&lt;&gt;"Done","",(_xlfn.CONCAT("PL_",DigitasUKAdOp_26Team[[#This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91" spans="1:36" ht="15.75" customHeight="1" x14ac:dyDescent="0.3">
      <c r="A391" s="85" t="str">
        <f t="shared" si="414"/>
        <v>Apr : Thursday</v>
      </c>
      <c r="B391" s="86">
        <v>46128</v>
      </c>
      <c r="C391" s="87" t="s">
        <v>334</v>
      </c>
      <c r="D391" s="88" t="s">
        <v>450</v>
      </c>
      <c r="E391" s="87" t="s">
        <v>428</v>
      </c>
      <c r="F391" s="88" t="s">
        <v>450</v>
      </c>
      <c r="G391" s="88" t="s">
        <v>691</v>
      </c>
      <c r="H391" s="87" t="s">
        <v>443</v>
      </c>
      <c r="I391" s="87" t="s">
        <v>431</v>
      </c>
      <c r="J391" s="88">
        <v>0</v>
      </c>
      <c r="K391" s="88">
        <v>0</v>
      </c>
      <c r="L391" s="88">
        <v>0</v>
      </c>
      <c r="M391" s="89">
        <v>46128</v>
      </c>
      <c r="N391" s="88">
        <v>3</v>
      </c>
      <c r="O391" s="90" t="s">
        <v>432</v>
      </c>
      <c r="Q391" s="91">
        <f t="shared" si="459"/>
        <v>16</v>
      </c>
      <c r="R391" s="91" t="str">
        <f t="shared" si="387"/>
        <v>Apr</v>
      </c>
      <c r="S391" s="92" t="str">
        <f t="shared" si="460"/>
        <v>Thursday</v>
      </c>
      <c r="T391" s="93" t="s">
        <v>431</v>
      </c>
      <c r="U391" s="94" t="s">
        <v>444</v>
      </c>
      <c r="W391" s="95">
        <v>0</v>
      </c>
      <c r="X391" s="96"/>
      <c r="Y391" s="97">
        <f t="shared" ref="Y391:Y392" si="461">IF(M391="","",M391)</f>
        <v>46128</v>
      </c>
      <c r="Z391" s="98" t="str">
        <f>SUBSTITUTE('Digitas UK Task 26'!$O391, "Complet", "Not Requir")</f>
        <v>Not Required</v>
      </c>
      <c r="AA391" s="98" t="str">
        <f t="shared" si="416"/>
        <v>Digitas make it workshop</v>
      </c>
      <c r="AB391" s="99"/>
      <c r="AH391" s="84" t="str">
        <f t="shared" si="455"/>
        <v>PL_0_CR_0_AD_0_Jira_0_</v>
      </c>
      <c r="AI391" s="84" t="str">
        <f t="shared" si="456"/>
        <v/>
      </c>
      <c r="AJ391" s="84" t="str">
        <f>IF(Z391&lt;&gt;"Done","",(_xlfn.CONCAT("PL_",DigitasUKAdOp_26Team[[#This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92" spans="1:36" ht="15.75" customHeight="1" x14ac:dyDescent="0.3">
      <c r="A392" s="85" t="str">
        <f t="shared" ref="A392" si="462">IF(B392="","",TEXT(B392,"MMM : DDDD"))</f>
        <v>Apr : Thursday</v>
      </c>
      <c r="B392" s="86">
        <v>46128</v>
      </c>
      <c r="C392" s="87" t="s">
        <v>334</v>
      </c>
      <c r="D392" s="88" t="s">
        <v>450</v>
      </c>
      <c r="E392" s="87" t="s">
        <v>428</v>
      </c>
      <c r="F392" s="88" t="s">
        <v>450</v>
      </c>
      <c r="G392" s="88" t="s">
        <v>691</v>
      </c>
      <c r="H392" s="87" t="s">
        <v>443</v>
      </c>
      <c r="I392" s="87" t="s">
        <v>246</v>
      </c>
      <c r="J392" s="88">
        <v>0</v>
      </c>
      <c r="K392" s="88">
        <v>0</v>
      </c>
      <c r="L392" s="88">
        <v>0</v>
      </c>
      <c r="M392" s="89">
        <v>46128</v>
      </c>
      <c r="N392" s="88">
        <v>3</v>
      </c>
      <c r="O392" s="90" t="s">
        <v>432</v>
      </c>
      <c r="Q392" s="91">
        <f t="shared" ref="Q392" si="463">IF(B392="","",WEEKNUM(B392))</f>
        <v>16</v>
      </c>
      <c r="R392" s="91" t="str">
        <f t="shared" ref="R392" si="464">IF(B392="","",TEXT(B392,"MMM"))</f>
        <v>Apr</v>
      </c>
      <c r="S392" s="92" t="str">
        <f t="shared" ref="S392:S393" si="465">IF(B392="","",TEXT(B392,"DDDD"))</f>
        <v>Thursday</v>
      </c>
      <c r="T392" s="93" t="s">
        <v>246</v>
      </c>
      <c r="U392" s="94" t="s">
        <v>444</v>
      </c>
      <c r="W392" s="95">
        <v>0</v>
      </c>
      <c r="X392" s="96"/>
      <c r="Y392" s="97">
        <f t="shared" si="461"/>
        <v>46128</v>
      </c>
      <c r="Z392" s="98" t="str">
        <f>SUBSTITUTE('Digitas UK Task 26'!$O392, "Complet", "Not Requir")</f>
        <v>Not Required</v>
      </c>
      <c r="AA392" s="98" t="str">
        <f t="shared" si="416"/>
        <v>Digitas make it workshop</v>
      </c>
      <c r="AB392" s="99"/>
      <c r="AH392" s="84" t="str">
        <f t="shared" si="455"/>
        <v>PL_0_CR_0_AD_0_Jira_0_</v>
      </c>
      <c r="AI392" s="84" t="str">
        <f t="shared" si="456"/>
        <v/>
      </c>
      <c r="AJ392" s="84" t="str">
        <f>IF(Z392&lt;&gt;"Done","",(_xlfn.CONCAT("PL_",DigitasUKAdOp_26Team[[#This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93" spans="1:36" ht="15.75" customHeight="1" x14ac:dyDescent="0.3">
      <c r="A393" s="85" t="str">
        <f t="shared" ref="A393" si="466">IF(B393="","",TEXT(B393,"MMM : DDDD"))</f>
        <v>Apr : Thursday</v>
      </c>
      <c r="B393" s="86">
        <v>46128</v>
      </c>
      <c r="C393" s="87" t="s">
        <v>334</v>
      </c>
      <c r="D393" s="88" t="s">
        <v>450</v>
      </c>
      <c r="E393" s="87" t="s">
        <v>428</v>
      </c>
      <c r="F393" s="88" t="s">
        <v>450</v>
      </c>
      <c r="G393" s="88" t="s">
        <v>691</v>
      </c>
      <c r="H393" s="87" t="s">
        <v>443</v>
      </c>
      <c r="I393" s="87" t="s">
        <v>250</v>
      </c>
      <c r="J393" s="88">
        <v>0</v>
      </c>
      <c r="K393" s="88">
        <v>0</v>
      </c>
      <c r="L393" s="88">
        <v>0</v>
      </c>
      <c r="M393" s="89">
        <v>46128</v>
      </c>
      <c r="N393" s="88">
        <v>3</v>
      </c>
      <c r="O393" s="90" t="s">
        <v>432</v>
      </c>
      <c r="Q393" s="91">
        <f t="shared" ref="Q393" si="467">IF(B393="","",WEEKNUM(B393))</f>
        <v>16</v>
      </c>
      <c r="R393" s="91" t="str">
        <f t="shared" ref="R393" si="468">IF(B393="","",TEXT(B393,"MMM"))</f>
        <v>Apr</v>
      </c>
      <c r="S393" s="92" t="str">
        <f t="shared" si="465"/>
        <v>Thursday</v>
      </c>
      <c r="T393" s="93" t="s">
        <v>250</v>
      </c>
      <c r="U393" s="94" t="s">
        <v>444</v>
      </c>
      <c r="W393" s="95">
        <v>0</v>
      </c>
      <c r="X393" s="96"/>
      <c r="Y393" s="97">
        <f t="shared" ref="Y393:Y394" si="469">IF(M393="","",M393)</f>
        <v>46128</v>
      </c>
      <c r="Z393" s="98" t="str">
        <f>SUBSTITUTE('Digitas UK Task 26'!$O393, "Complet", "Not Requir")</f>
        <v>Not Required</v>
      </c>
      <c r="AA393" s="98" t="str">
        <f t="shared" si="416"/>
        <v>Digitas make it workshop</v>
      </c>
      <c r="AB393" s="99"/>
      <c r="AH393" s="84" t="str">
        <f t="shared" si="455"/>
        <v>PL_0_CR_0_AD_0_Jira_0_</v>
      </c>
      <c r="AI393" s="84" t="str">
        <f t="shared" si="456"/>
        <v/>
      </c>
      <c r="AJ393" s="84" t="str">
        <f>IF(Z393&lt;&gt;"Done","",(_xlfn.CONCAT("PL_",DigitasUKAdOp_26Team[[#This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94" spans="1:36" ht="15.75" customHeight="1" x14ac:dyDescent="0.3">
      <c r="A394" s="85" t="str">
        <f t="shared" ref="A394" si="470">IF(B394="","",TEXT(B394,"MMM : DDDD"))</f>
        <v>Apr : Thursday</v>
      </c>
      <c r="B394" s="86">
        <v>46128</v>
      </c>
      <c r="C394" s="87" t="s">
        <v>334</v>
      </c>
      <c r="D394" s="88" t="s">
        <v>450</v>
      </c>
      <c r="E394" s="87" t="s">
        <v>428</v>
      </c>
      <c r="F394" s="88" t="s">
        <v>450</v>
      </c>
      <c r="G394" s="88" t="s">
        <v>691</v>
      </c>
      <c r="H394" s="87" t="s">
        <v>443</v>
      </c>
      <c r="I394" s="87" t="s">
        <v>237</v>
      </c>
      <c r="J394" s="88">
        <v>0</v>
      </c>
      <c r="K394" s="88">
        <v>0</v>
      </c>
      <c r="L394" s="88">
        <v>0</v>
      </c>
      <c r="M394" s="89">
        <v>46128</v>
      </c>
      <c r="N394" s="88">
        <v>3</v>
      </c>
      <c r="O394" s="90" t="s">
        <v>432</v>
      </c>
      <c r="Q394" s="91">
        <f t="shared" ref="Q394" si="471">IF(B394="","",WEEKNUM(B394))</f>
        <v>16</v>
      </c>
      <c r="R394" s="91" t="str">
        <f t="shared" ref="R394" si="472">IF(B394="","",TEXT(B394,"MMM"))</f>
        <v>Apr</v>
      </c>
      <c r="S394" s="92" t="str">
        <f t="shared" ref="S394" si="473">IF(B394="","",TEXT(B394,"DDDD"))</f>
        <v>Thursday</v>
      </c>
      <c r="T394" s="93" t="s">
        <v>237</v>
      </c>
      <c r="U394" s="94" t="s">
        <v>444</v>
      </c>
      <c r="W394" s="95">
        <v>0</v>
      </c>
      <c r="X394" s="96"/>
      <c r="Y394" s="97">
        <f t="shared" si="469"/>
        <v>46128</v>
      </c>
      <c r="Z394" s="98" t="str">
        <f>SUBSTITUTE('Digitas UK Task 26'!$O394, "Complet", "Not Requir")</f>
        <v>Not Required</v>
      </c>
      <c r="AA394" s="98" t="str">
        <f t="shared" si="416"/>
        <v>Digitas make it workshop</v>
      </c>
      <c r="AB394" s="99"/>
      <c r="AH394" s="84" t="str">
        <f t="shared" si="455"/>
        <v>PL_0_CR_0_AD_0_Jira_0_</v>
      </c>
      <c r="AI394" s="84" t="str">
        <f t="shared" si="456"/>
        <v/>
      </c>
      <c r="AJ394" s="84" t="str">
        <f>IF(Z394&lt;&gt;"Done","",(_xlfn.CONCAT("PL_",DigitasUKAdOp_26Team[[#This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95" spans="1:36" ht="15.75" customHeight="1" x14ac:dyDescent="0.3">
      <c r="A395" s="85" t="str">
        <f t="shared" ref="A395" si="474">IF(B395="","",TEXT(B395,"MMM : DDDD"))</f>
        <v>Apr : Friday</v>
      </c>
      <c r="B395" s="86">
        <v>46129</v>
      </c>
      <c r="C395" s="87" t="s">
        <v>334</v>
      </c>
      <c r="D395" s="88" t="s">
        <v>598</v>
      </c>
      <c r="E395" s="87" t="s">
        <v>428</v>
      </c>
      <c r="F395" s="88" t="s">
        <v>498</v>
      </c>
      <c r="G395" s="88" t="s">
        <v>692</v>
      </c>
      <c r="H395" s="87" t="s">
        <v>269</v>
      </c>
      <c r="I395" s="87" t="s">
        <v>250</v>
      </c>
      <c r="J395" s="88">
        <v>100</v>
      </c>
      <c r="K395" s="88">
        <v>100</v>
      </c>
      <c r="L395" s="88">
        <v>100</v>
      </c>
      <c r="M395" s="89">
        <v>46129</v>
      </c>
      <c r="N395" s="88">
        <v>3</v>
      </c>
      <c r="O395" s="90" t="s">
        <v>432</v>
      </c>
      <c r="Q395" s="91">
        <f t="shared" ref="Q395:Q398" si="475">IF(B395="","",WEEKNUM(B395))</f>
        <v>16</v>
      </c>
      <c r="R395" s="91" t="str">
        <f t="shared" ref="R395:R398" si="476">IF(B395="","",TEXT(B395,"MMM"))</f>
        <v>Apr</v>
      </c>
      <c r="S395" s="92" t="str">
        <f t="shared" ref="S395:S398" si="477">IF(B395="","",TEXT(B395,"DDDD"))</f>
        <v>Friday</v>
      </c>
      <c r="T395" s="93" t="s">
        <v>237</v>
      </c>
      <c r="U395" s="94" t="s">
        <v>433</v>
      </c>
      <c r="W395" s="95">
        <v>2</v>
      </c>
      <c r="X395" s="96"/>
      <c r="Y395" s="97">
        <f t="shared" ref="Y395:Y398" si="478">IF(M395="","",M395)</f>
        <v>46129</v>
      </c>
      <c r="Z395" s="98" t="str">
        <f>SUBSTITUTE('Digitas UK Task 26'!$O395, "Complet", "Not Requir")</f>
        <v>Not Required</v>
      </c>
      <c r="AA395" s="98" t="str">
        <f t="shared" ref="AA395:AA398" si="479">IF(G395="","",G395)</f>
        <v>Re: Klaviyo EMEA - Trafficking Request - Dermalogica Updated, Folk MOF &amp; BOF, Gozney BOF - Display - Q1 2026</v>
      </c>
      <c r="AB395" s="99"/>
      <c r="AF395" s="84" t="str">
        <f t="shared" ref="AF395:AF398" si="480">IF(AD395="","",WEEKNUM(AD395))</f>
        <v/>
      </c>
      <c r="AH395" s="84" t="str">
        <f t="shared" si="455"/>
        <v>PL_100_CR_100_AD_100_Jira_0_</v>
      </c>
      <c r="AI395" s="84" t="str">
        <f t="shared" si="456"/>
        <v>PL_100_CR_100_AD_100_Jira_0_</v>
      </c>
      <c r="AJ395" s="84" t="str">
        <f>IF(Z395&lt;&gt;"Done","",(_xlfn.CONCAT("PL_",DigitasUKAdOp_26Team[[#This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96" spans="1:36" ht="15.75" customHeight="1" x14ac:dyDescent="0.3">
      <c r="A396" s="85" t="str">
        <f t="shared" si="414"/>
        <v>Apr : Friday</v>
      </c>
      <c r="B396" s="86">
        <v>46129</v>
      </c>
      <c r="C396" s="87" t="s">
        <v>334</v>
      </c>
      <c r="D396" s="88" t="s">
        <v>598</v>
      </c>
      <c r="E396" s="87" t="s">
        <v>428</v>
      </c>
      <c r="F396" s="88" t="s">
        <v>498</v>
      </c>
      <c r="G396" s="88" t="s">
        <v>692</v>
      </c>
      <c r="H396" s="87" t="s">
        <v>443</v>
      </c>
      <c r="I396" s="87" t="s">
        <v>250</v>
      </c>
      <c r="J396" s="88">
        <v>0</v>
      </c>
      <c r="K396" s="88">
        <v>0</v>
      </c>
      <c r="L396" s="88">
        <v>0</v>
      </c>
      <c r="M396" s="89">
        <v>46129</v>
      </c>
      <c r="N396" s="88">
        <v>1</v>
      </c>
      <c r="O396" s="90" t="s">
        <v>432</v>
      </c>
      <c r="Q396" s="91">
        <f t="shared" si="475"/>
        <v>16</v>
      </c>
      <c r="R396" s="91" t="str">
        <f t="shared" si="476"/>
        <v>Apr</v>
      </c>
      <c r="S396" s="92" t="str">
        <f t="shared" si="477"/>
        <v>Friday</v>
      </c>
      <c r="T396" s="93" t="s">
        <v>250</v>
      </c>
      <c r="U396" s="94" t="s">
        <v>444</v>
      </c>
      <c r="W396" s="95">
        <v>0</v>
      </c>
      <c r="X396" s="96"/>
      <c r="Y396" s="97">
        <f t="shared" si="478"/>
        <v>46129</v>
      </c>
      <c r="Z396" s="98" t="str">
        <f>SUBSTITUTE('Digitas UK Task 26'!$O396, "Complet", "Not Requir")</f>
        <v>Not Required</v>
      </c>
      <c r="AA396" s="98" t="str">
        <f t="shared" si="479"/>
        <v>Re: Klaviyo EMEA - Trafficking Request - Dermalogica Updated, Folk MOF &amp; BOF, Gozney BOF - Display - Q1 2026</v>
      </c>
      <c r="AB396" s="99"/>
      <c r="AF396" s="84" t="str">
        <f t="shared" si="480"/>
        <v/>
      </c>
      <c r="AH396" s="84" t="str">
        <f t="shared" si="455"/>
        <v>PL_0_CR_0_AD_0_Jira_0_</v>
      </c>
      <c r="AI396" s="84" t="str">
        <f t="shared" si="456"/>
        <v/>
      </c>
      <c r="AJ396" s="84" t="str">
        <f>IF(Z396&lt;&gt;"Done","",(_xlfn.CONCAT("PL_",DigitasUKAdOp_26Team[[#This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97" spans="1:36" ht="15.75" customHeight="1" x14ac:dyDescent="0.3">
      <c r="A397" s="85" t="str">
        <f t="shared" si="414"/>
        <v>Apr : Friday</v>
      </c>
      <c r="B397" s="86">
        <v>46129</v>
      </c>
      <c r="C397" s="87" t="s">
        <v>334</v>
      </c>
      <c r="D397" s="88" t="s">
        <v>598</v>
      </c>
      <c r="E397" s="87" t="s">
        <v>428</v>
      </c>
      <c r="F397" s="88" t="s">
        <v>469</v>
      </c>
      <c r="G397" s="88" t="s">
        <v>690</v>
      </c>
      <c r="H397" s="87" t="s">
        <v>443</v>
      </c>
      <c r="I397" s="87" t="s">
        <v>431</v>
      </c>
      <c r="J397" s="88">
        <v>0</v>
      </c>
      <c r="K397" s="88">
        <v>0</v>
      </c>
      <c r="L397" s="88">
        <v>0</v>
      </c>
      <c r="M397" s="89">
        <v>46129</v>
      </c>
      <c r="N397" s="88">
        <v>0.5</v>
      </c>
      <c r="O397" s="90" t="s">
        <v>432</v>
      </c>
      <c r="Q397" s="91">
        <f t="shared" si="475"/>
        <v>16</v>
      </c>
      <c r="R397" s="91" t="str">
        <f t="shared" si="476"/>
        <v>Apr</v>
      </c>
      <c r="S397" s="92" t="str">
        <f t="shared" si="477"/>
        <v>Friday</v>
      </c>
      <c r="T397" s="93" t="s">
        <v>431</v>
      </c>
      <c r="U397" s="94" t="s">
        <v>444</v>
      </c>
      <c r="W397" s="95">
        <v>0</v>
      </c>
      <c r="X397" s="96"/>
      <c r="Y397" s="97">
        <f t="shared" si="478"/>
        <v>46129</v>
      </c>
      <c r="Z397" s="98" t="str">
        <f>SUBSTITUTE('Digitas UK Task 26'!$O397, "Complet", "Not Requir")</f>
        <v>Not Required</v>
      </c>
      <c r="AA397" s="98" t="str">
        <f t="shared" si="479"/>
        <v>Re: Klaviyo EMEA - Trafficking Request - Manucurist -FR - Display - Q1 2026</v>
      </c>
      <c r="AB397" s="99"/>
      <c r="AF397" s="84" t="str">
        <f t="shared" si="480"/>
        <v/>
      </c>
      <c r="AH397" s="84" t="str">
        <f t="shared" si="455"/>
        <v>PL_0_CR_0_AD_0_Jira_0_</v>
      </c>
      <c r="AI397" s="84" t="str">
        <f t="shared" si="456"/>
        <v/>
      </c>
      <c r="AJ397" s="84" t="str">
        <f>IF(Z397&lt;&gt;"Done","",(_xlfn.CONCAT("PL_",DigitasUKAdOp_26Team[[#This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98" spans="1:36" ht="15.75" customHeight="1" x14ac:dyDescent="0.3">
      <c r="A398" s="85" t="str">
        <f t="shared" si="414"/>
        <v>Apr : Friday</v>
      </c>
      <c r="B398" s="86">
        <v>46129</v>
      </c>
      <c r="C398" s="87" t="s">
        <v>334</v>
      </c>
      <c r="D398" s="88" t="s">
        <v>598</v>
      </c>
      <c r="E398" s="87" t="s">
        <v>428</v>
      </c>
      <c r="F398" s="88" t="s">
        <v>469</v>
      </c>
      <c r="G398" s="88" t="s">
        <v>690</v>
      </c>
      <c r="H398" s="87" t="s">
        <v>269</v>
      </c>
      <c r="I398" s="87" t="s">
        <v>431</v>
      </c>
      <c r="J398" s="88">
        <v>20</v>
      </c>
      <c r="K398" s="88">
        <v>20</v>
      </c>
      <c r="L398" s="88">
        <v>20</v>
      </c>
      <c r="M398" s="89">
        <v>46129</v>
      </c>
      <c r="N398" s="88">
        <v>2</v>
      </c>
      <c r="O398" s="90" t="s">
        <v>432</v>
      </c>
      <c r="Q398" s="91">
        <f t="shared" si="475"/>
        <v>16</v>
      </c>
      <c r="R398" s="91" t="str">
        <f t="shared" si="476"/>
        <v>Apr</v>
      </c>
      <c r="S398" s="92" t="str">
        <f t="shared" si="477"/>
        <v>Friday</v>
      </c>
      <c r="T398" s="93" t="s">
        <v>237</v>
      </c>
      <c r="U398" s="94" t="s">
        <v>433</v>
      </c>
      <c r="V398" s="95" t="s">
        <v>693</v>
      </c>
      <c r="W398" s="95">
        <v>1</v>
      </c>
      <c r="X398" s="96"/>
      <c r="Y398" s="97">
        <f t="shared" si="478"/>
        <v>46129</v>
      </c>
      <c r="Z398" s="98" t="str">
        <f>SUBSTITUTE('Digitas UK Task 26'!$O398, "Complet", "Not Requir")</f>
        <v>Not Required</v>
      </c>
      <c r="AA398" s="98" t="str">
        <f t="shared" si="479"/>
        <v>Re: Klaviyo EMEA - Trafficking Request - Manucurist -FR - Display - Q1 2026</v>
      </c>
      <c r="AB398" s="99"/>
      <c r="AF398" s="84" t="str">
        <f t="shared" si="480"/>
        <v/>
      </c>
      <c r="AH398" s="84" t="str">
        <f t="shared" si="455"/>
        <v>PL_20_CR_20_AD_20_Jira_0_</v>
      </c>
      <c r="AI398" s="84" t="str">
        <f t="shared" si="456"/>
        <v>PL_20_CR_20_AD_20_Jira_0_</v>
      </c>
      <c r="AJ398" s="84" t="str">
        <f>IF(Z398&lt;&gt;"Done","",(_xlfn.CONCAT("PL_",DigitasUKAdOp_26Team[[#This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399" spans="1:36" ht="15.75" customHeight="1" x14ac:dyDescent="0.3">
      <c r="A399" s="85" t="str">
        <f t="shared" si="414"/>
        <v>Apr : Monday</v>
      </c>
      <c r="B399" s="86">
        <v>46132</v>
      </c>
      <c r="C399" s="87" t="s">
        <v>334</v>
      </c>
      <c r="D399" s="88" t="s">
        <v>598</v>
      </c>
      <c r="E399" s="87" t="s">
        <v>428</v>
      </c>
      <c r="F399" s="88" t="s">
        <v>676</v>
      </c>
      <c r="G399" s="88" t="s">
        <v>675</v>
      </c>
      <c r="H399" s="87" t="s">
        <v>269</v>
      </c>
      <c r="I399" s="87" t="s">
        <v>250</v>
      </c>
      <c r="J399" s="88">
        <v>100</v>
      </c>
      <c r="K399" s="88">
        <v>100</v>
      </c>
      <c r="L399" s="88">
        <v>100</v>
      </c>
      <c r="M399" s="89">
        <v>46132</v>
      </c>
      <c r="N399" s="88">
        <v>3</v>
      </c>
      <c r="O399" s="90" t="s">
        <v>432</v>
      </c>
      <c r="Q399" s="91">
        <f t="shared" si="459"/>
        <v>17</v>
      </c>
      <c r="R399" s="91" t="str">
        <f t="shared" si="387"/>
        <v>Apr</v>
      </c>
      <c r="S399" s="92" t="str">
        <f t="shared" si="460"/>
        <v>Monday</v>
      </c>
      <c r="T399" s="93" t="s">
        <v>237</v>
      </c>
      <c r="U399" s="94" t="s">
        <v>433</v>
      </c>
      <c r="W399" s="95">
        <v>2</v>
      </c>
      <c r="X399" s="96"/>
      <c r="Y399" s="97">
        <f t="shared" si="418"/>
        <v>46132</v>
      </c>
      <c r="Z399" s="98" t="str">
        <f>SUBSTITUTE('Digitas UK Task 26'!$O399, "Complet", "Not Requir")</f>
        <v>Not Required</v>
      </c>
      <c r="AA399" s="98" t="str">
        <f t="shared" si="416"/>
        <v>Klaviyo EMEA - Trafficking Request - Dermalogica Updated, Alessi MOF &amp; BOF, Freshly MOF &amp; MOF - ES &amp; IT - Display - Q1 2026</v>
      </c>
      <c r="AB399" s="99"/>
      <c r="AF399" s="84" t="str">
        <f t="shared" ref="AF399:AF470" si="481">IF(AD399="","",WEEKNUM(AD399))</f>
        <v/>
      </c>
      <c r="AH399" s="84" t="str">
        <f t="shared" si="455"/>
        <v>PL_100_CR_100_AD_100_Jira_0_</v>
      </c>
      <c r="AI399" s="84" t="str">
        <f t="shared" si="456"/>
        <v>PL_100_CR_100_AD_100_Jira_0_</v>
      </c>
      <c r="AJ399" s="84" t="str">
        <f>IF(Z399&lt;&gt;"Done","",(_xlfn.CONCAT("PL_",DigitasUKAdOp_26Team[[#This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00" spans="1:36" ht="15.75" customHeight="1" x14ac:dyDescent="0.3">
      <c r="A400" s="85" t="str">
        <f t="shared" si="414"/>
        <v>Apr : Monday</v>
      </c>
      <c r="B400" s="86">
        <v>46132</v>
      </c>
      <c r="C400" s="87" t="s">
        <v>334</v>
      </c>
      <c r="D400" s="88" t="s">
        <v>598</v>
      </c>
      <c r="E400" s="87" t="s">
        <v>428</v>
      </c>
      <c r="F400" s="88" t="s">
        <v>470</v>
      </c>
      <c r="G400" s="88" t="s">
        <v>675</v>
      </c>
      <c r="H400" s="87" t="s">
        <v>269</v>
      </c>
      <c r="I400" s="87" t="s">
        <v>237</v>
      </c>
      <c r="J400" s="88">
        <v>100</v>
      </c>
      <c r="K400" s="88">
        <v>100</v>
      </c>
      <c r="L400" s="88">
        <v>100</v>
      </c>
      <c r="M400" s="89">
        <v>46132</v>
      </c>
      <c r="N400" s="88">
        <v>3</v>
      </c>
      <c r="O400" s="90" t="s">
        <v>432</v>
      </c>
      <c r="Q400" s="91">
        <f t="shared" si="459"/>
        <v>17</v>
      </c>
      <c r="R400" s="91" t="str">
        <f t="shared" ref="R400:R441" si="482">IF(B400="","",TEXT(B400,"MMM"))</f>
        <v>Apr</v>
      </c>
      <c r="S400" s="92" t="str">
        <f t="shared" si="460"/>
        <v>Monday</v>
      </c>
      <c r="T400" s="93" t="s">
        <v>250</v>
      </c>
      <c r="U400" s="94" t="s">
        <v>433</v>
      </c>
      <c r="W400" s="95">
        <v>2</v>
      </c>
      <c r="X400" s="96"/>
      <c r="Y400" s="97">
        <f t="shared" si="418"/>
        <v>46132</v>
      </c>
      <c r="Z400" s="98" t="str">
        <f>SUBSTITUTE('Digitas UK Task 26'!$O400, "Complet", "Not Requir")</f>
        <v>Not Required</v>
      </c>
      <c r="AA400" s="98" t="str">
        <f t="shared" si="416"/>
        <v>Klaviyo EMEA - Trafficking Request - Dermalogica Updated, Alessi MOF &amp; BOF, Freshly MOF &amp; MOF - ES &amp; IT - Display - Q1 2026</v>
      </c>
      <c r="AB400" s="99"/>
      <c r="AF400" s="84" t="str">
        <f t="shared" si="481"/>
        <v/>
      </c>
      <c r="AH400" s="84" t="str">
        <f t="shared" si="455"/>
        <v>PL_100_CR_100_AD_100_Jira_0_</v>
      </c>
      <c r="AI400" s="84" t="str">
        <f t="shared" si="456"/>
        <v>PL_100_CR_100_AD_100_Jira_0_</v>
      </c>
      <c r="AJ400" s="84" t="str">
        <f>IF(Z400&lt;&gt;"Done","",(_xlfn.CONCAT("PL_",DigitasUKAdOp_26Team[[#This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01" spans="1:36" ht="15.75" customHeight="1" x14ac:dyDescent="0.3">
      <c r="A401" s="85" t="str">
        <f t="shared" ref="A401:A402" si="483">IF(B401="","",TEXT(B401,"MMM : DDDD"))</f>
        <v>Apr : Monday</v>
      </c>
      <c r="B401" s="86">
        <v>46132</v>
      </c>
      <c r="C401" s="87" t="s">
        <v>334</v>
      </c>
      <c r="D401" s="88" t="s">
        <v>598</v>
      </c>
      <c r="E401" s="87" t="s">
        <v>428</v>
      </c>
      <c r="F401" s="88" t="s">
        <v>676</v>
      </c>
      <c r="G401" s="88" t="s">
        <v>675</v>
      </c>
      <c r="H401" s="87" t="s">
        <v>443</v>
      </c>
      <c r="I401" s="87" t="s">
        <v>250</v>
      </c>
      <c r="J401" s="88">
        <v>0</v>
      </c>
      <c r="K401" s="88">
        <v>0</v>
      </c>
      <c r="L401" s="88">
        <v>0</v>
      </c>
      <c r="M401" s="89">
        <v>46132</v>
      </c>
      <c r="N401" s="88">
        <v>1</v>
      </c>
      <c r="O401" s="90" t="s">
        <v>432</v>
      </c>
      <c r="Q401" s="91">
        <f t="shared" si="459"/>
        <v>17</v>
      </c>
      <c r="R401" s="91" t="str">
        <f t="shared" si="482"/>
        <v>Apr</v>
      </c>
      <c r="S401" s="92" t="str">
        <f t="shared" si="460"/>
        <v>Monday</v>
      </c>
      <c r="T401" s="93" t="s">
        <v>250</v>
      </c>
      <c r="U401" s="94" t="s">
        <v>444</v>
      </c>
      <c r="W401" s="95">
        <v>0</v>
      </c>
      <c r="X401" s="96"/>
      <c r="Y401" s="97">
        <f t="shared" si="418"/>
        <v>46132</v>
      </c>
      <c r="Z401" s="98" t="str">
        <f>SUBSTITUTE('Digitas UK Task 26'!$O401, "Complet", "Not Requir")</f>
        <v>Not Required</v>
      </c>
      <c r="AA401" s="98" t="str">
        <f t="shared" si="416"/>
        <v>Klaviyo EMEA - Trafficking Request - Dermalogica Updated, Alessi MOF &amp; BOF, Freshly MOF &amp; MOF - ES &amp; IT - Display - Q1 2026</v>
      </c>
      <c r="AB401" s="99"/>
      <c r="AF401" s="84" t="str">
        <f t="shared" si="481"/>
        <v/>
      </c>
      <c r="AH401" s="84" t="str">
        <f t="shared" si="455"/>
        <v>PL_0_CR_0_AD_0_Jira_0_</v>
      </c>
      <c r="AI401" s="84" t="str">
        <f t="shared" si="456"/>
        <v/>
      </c>
      <c r="AJ401" s="84" t="str">
        <f>IF(Z401&lt;&gt;"Done","",(_xlfn.CONCAT("PL_",DigitasUKAdOp_26Team[[#This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02" spans="1:36" ht="15.75" customHeight="1" x14ac:dyDescent="0.3">
      <c r="A402" s="85" t="str">
        <f t="shared" si="483"/>
        <v>Apr : Monday</v>
      </c>
      <c r="B402" s="86">
        <v>46132</v>
      </c>
      <c r="C402" s="87" t="s">
        <v>334</v>
      </c>
      <c r="D402" s="88" t="s">
        <v>598</v>
      </c>
      <c r="E402" s="87" t="s">
        <v>428</v>
      </c>
      <c r="F402" s="88" t="s">
        <v>470</v>
      </c>
      <c r="G402" s="88" t="s">
        <v>675</v>
      </c>
      <c r="H402" s="87" t="s">
        <v>443</v>
      </c>
      <c r="I402" s="87" t="s">
        <v>237</v>
      </c>
      <c r="J402" s="88">
        <v>0</v>
      </c>
      <c r="K402" s="88">
        <v>0</v>
      </c>
      <c r="L402" s="88">
        <v>0</v>
      </c>
      <c r="M402" s="89">
        <v>46132</v>
      </c>
      <c r="N402" s="88">
        <v>1</v>
      </c>
      <c r="O402" s="90" t="s">
        <v>432</v>
      </c>
      <c r="Q402" s="91">
        <f t="shared" ref="Q402" si="484">IF(B402="","",WEEKNUM(B402))</f>
        <v>17</v>
      </c>
      <c r="R402" s="91" t="str">
        <f t="shared" ref="R402" si="485">IF(B402="","",TEXT(B402,"MMM"))</f>
        <v>Apr</v>
      </c>
      <c r="S402" s="92" t="str">
        <f t="shared" ref="S402" si="486">IF(B402="","",TEXT(B402,"DDDD"))</f>
        <v>Monday</v>
      </c>
      <c r="T402" s="93" t="s">
        <v>237</v>
      </c>
      <c r="U402" s="94" t="s">
        <v>444</v>
      </c>
      <c r="W402" s="95">
        <v>0</v>
      </c>
      <c r="X402" s="96"/>
      <c r="Y402" s="97">
        <f t="shared" ref="Y402" si="487">IF(M402="","",M402)</f>
        <v>46132</v>
      </c>
      <c r="Z402" s="98" t="str">
        <f>SUBSTITUTE('Digitas UK Task 26'!$O402, "Complet", "Not Requir")</f>
        <v>Not Required</v>
      </c>
      <c r="AA402" s="98" t="str">
        <f t="shared" ref="AA402" si="488">IF(G402="","",G402)</f>
        <v>Klaviyo EMEA - Trafficking Request - Dermalogica Updated, Alessi MOF &amp; BOF, Freshly MOF &amp; MOF - ES &amp; IT - Display - Q1 2026</v>
      </c>
      <c r="AB402" s="99"/>
      <c r="AF402" s="84" t="str">
        <f t="shared" ref="AF402" si="489">IF(AD402="","",WEEKNUM(AD402))</f>
        <v/>
      </c>
      <c r="AH402" s="84" t="str">
        <f t="shared" si="455"/>
        <v>PL_0_CR_0_AD_0_Jira_0_</v>
      </c>
      <c r="AI402" s="84" t="str">
        <f t="shared" si="456"/>
        <v/>
      </c>
      <c r="AJ402" s="84" t="str">
        <f>IF(Z402&lt;&gt;"Done","",(_xlfn.CONCAT("PL_",DigitasUKAdOp_26Team[[#This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03" spans="1:36" ht="15.75" customHeight="1" x14ac:dyDescent="0.3">
      <c r="A403" s="85" t="str">
        <f t="shared" si="414"/>
        <v>Apr : Tuesday</v>
      </c>
      <c r="B403" s="86">
        <v>46133</v>
      </c>
      <c r="C403" s="87" t="s">
        <v>334</v>
      </c>
      <c r="D403" s="88" t="s">
        <v>598</v>
      </c>
      <c r="E403" s="87" t="s">
        <v>428</v>
      </c>
      <c r="F403" s="88" t="s">
        <v>469</v>
      </c>
      <c r="G403" s="88" t="s">
        <v>694</v>
      </c>
      <c r="H403" s="87" t="s">
        <v>269</v>
      </c>
      <c r="I403" s="87" t="s">
        <v>246</v>
      </c>
      <c r="J403" s="88">
        <v>50</v>
      </c>
      <c r="K403" s="88">
        <v>50</v>
      </c>
      <c r="L403" s="88">
        <v>50</v>
      </c>
      <c r="M403" s="89">
        <v>46133</v>
      </c>
      <c r="N403" s="88">
        <v>2</v>
      </c>
      <c r="O403" s="90" t="s">
        <v>432</v>
      </c>
      <c r="Q403" s="91">
        <f t="shared" si="459"/>
        <v>17</v>
      </c>
      <c r="R403" s="91" t="str">
        <f t="shared" si="482"/>
        <v>Apr</v>
      </c>
      <c r="S403" s="92" t="str">
        <f t="shared" si="460"/>
        <v>Tuesday</v>
      </c>
      <c r="T403" s="93" t="s">
        <v>250</v>
      </c>
      <c r="U403" s="94" t="s">
        <v>433</v>
      </c>
      <c r="V403" s="95" t="s">
        <v>695</v>
      </c>
      <c r="W403" s="95">
        <v>1</v>
      </c>
      <c r="X403" s="96"/>
      <c r="Y403" s="97">
        <f t="shared" si="418"/>
        <v>46133</v>
      </c>
      <c r="Z403" s="98" t="str">
        <f>SUBSTITUTE('Digitas UK Task 26'!$O403, "Complet", "Not Requir")</f>
        <v>Not Required</v>
      </c>
      <c r="AA403" s="98" t="str">
        <f t="shared" si="416"/>
        <v>Klaviyo EMEA - Trafficking Request - Dermalogica Updated, Freshly MOF &amp; Manucurist - Display - Q1 2026</v>
      </c>
      <c r="AB403" s="99"/>
      <c r="AF403" s="84" t="str">
        <f t="shared" si="481"/>
        <v/>
      </c>
      <c r="AH403" s="84" t="str">
        <f t="shared" si="455"/>
        <v>PL_50_CR_50_AD_50_Jira_0_</v>
      </c>
      <c r="AI403" s="84" t="str">
        <f t="shared" si="456"/>
        <v>PL_50_CR_50_AD_50_Jira_0_</v>
      </c>
      <c r="AJ403" s="84" t="str">
        <f>IF(Z403&lt;&gt;"Done","",(_xlfn.CONCAT("PL_",DigitasUKAdOp_26Team[[#This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04" spans="1:36" ht="15.75" customHeight="1" x14ac:dyDescent="0.3">
      <c r="A404" s="85" t="str">
        <f t="shared" si="414"/>
        <v>Apr : Tuesday</v>
      </c>
      <c r="B404" s="86">
        <v>46133</v>
      </c>
      <c r="C404" s="87" t="s">
        <v>334</v>
      </c>
      <c r="D404" s="88" t="s">
        <v>598</v>
      </c>
      <c r="E404" s="87" t="s">
        <v>428</v>
      </c>
      <c r="F404" s="88" t="s">
        <v>470</v>
      </c>
      <c r="G404" s="88" t="s">
        <v>694</v>
      </c>
      <c r="H404" s="87" t="s">
        <v>269</v>
      </c>
      <c r="I404" s="87" t="s">
        <v>246</v>
      </c>
      <c r="J404" s="88">
        <v>50</v>
      </c>
      <c r="K404" s="88">
        <v>50</v>
      </c>
      <c r="L404" s="88">
        <v>50</v>
      </c>
      <c r="M404" s="89">
        <v>46133</v>
      </c>
      <c r="N404" s="88">
        <v>2</v>
      </c>
      <c r="O404" s="90" t="s">
        <v>432</v>
      </c>
      <c r="Q404" s="91">
        <f t="shared" si="459"/>
        <v>17</v>
      </c>
      <c r="R404" s="91" t="str">
        <f t="shared" si="482"/>
        <v>Apr</v>
      </c>
      <c r="S404" s="92" t="str">
        <f t="shared" si="460"/>
        <v>Tuesday</v>
      </c>
      <c r="T404" s="93" t="s">
        <v>250</v>
      </c>
      <c r="U404" s="94" t="s">
        <v>433</v>
      </c>
      <c r="V404" s="95" t="s">
        <v>695</v>
      </c>
      <c r="W404" s="95">
        <v>1</v>
      </c>
      <c r="X404" s="96"/>
      <c r="Y404" s="97">
        <f t="shared" si="418"/>
        <v>46133</v>
      </c>
      <c r="Z404" s="98" t="str">
        <f>SUBSTITUTE('Digitas UK Task 26'!$O404, "Complet", "Not Requir")</f>
        <v>Not Required</v>
      </c>
      <c r="AA404" s="98" t="str">
        <f t="shared" si="416"/>
        <v>Klaviyo EMEA - Trafficking Request - Dermalogica Updated, Freshly MOF &amp; Manucurist - Display - Q1 2026</v>
      </c>
      <c r="AB404" s="99"/>
      <c r="AF404" s="84" t="str">
        <f t="shared" si="481"/>
        <v/>
      </c>
      <c r="AH404" s="84" t="str">
        <f t="shared" si="455"/>
        <v>PL_50_CR_50_AD_50_Jira_0_</v>
      </c>
      <c r="AI404" s="84" t="str">
        <f t="shared" si="456"/>
        <v>PL_50_CR_50_AD_50_Jira_0_</v>
      </c>
      <c r="AJ404" s="84" t="str">
        <f>IF(Z404&lt;&gt;"Done","",(_xlfn.CONCAT("PL_",DigitasUKAdOp_26Team[[#This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05" spans="1:36" ht="15.75" customHeight="1" x14ac:dyDescent="0.3">
      <c r="A405" s="85" t="str">
        <f t="shared" si="414"/>
        <v>Apr : Tuesday</v>
      </c>
      <c r="B405" s="86">
        <v>46133</v>
      </c>
      <c r="C405" s="87" t="s">
        <v>334</v>
      </c>
      <c r="D405" s="88" t="s">
        <v>598</v>
      </c>
      <c r="E405" s="87" t="s">
        <v>428</v>
      </c>
      <c r="F405" s="88" t="s">
        <v>472</v>
      </c>
      <c r="G405" s="88" t="s">
        <v>694</v>
      </c>
      <c r="H405" s="87" t="s">
        <v>269</v>
      </c>
      <c r="I405" s="87" t="s">
        <v>237</v>
      </c>
      <c r="J405" s="88">
        <v>50</v>
      </c>
      <c r="K405" s="88">
        <v>50</v>
      </c>
      <c r="L405" s="88">
        <v>50</v>
      </c>
      <c r="M405" s="89">
        <v>46133</v>
      </c>
      <c r="N405" s="88">
        <v>2</v>
      </c>
      <c r="O405" s="90" t="s">
        <v>432</v>
      </c>
      <c r="Q405" s="91">
        <f t="shared" si="459"/>
        <v>17</v>
      </c>
      <c r="R405" s="91" t="str">
        <f t="shared" si="482"/>
        <v>Apr</v>
      </c>
      <c r="S405" s="92" t="str">
        <f t="shared" si="460"/>
        <v>Tuesday</v>
      </c>
      <c r="T405" s="93" t="s">
        <v>250</v>
      </c>
      <c r="U405" s="94" t="s">
        <v>433</v>
      </c>
      <c r="W405" s="95">
        <v>1</v>
      </c>
      <c r="X405" s="96"/>
      <c r="Y405" s="97">
        <f t="shared" si="418"/>
        <v>46133</v>
      </c>
      <c r="Z405" s="98" t="str">
        <f>SUBSTITUTE('Digitas UK Task 26'!$O405, "Complet", "Not Requir")</f>
        <v>Not Required</v>
      </c>
      <c r="AA405" s="98" t="str">
        <f t="shared" si="416"/>
        <v>Klaviyo EMEA - Trafficking Request - Dermalogica Updated, Freshly MOF &amp; Manucurist - Display - Q1 2026</v>
      </c>
      <c r="AB405" s="99"/>
      <c r="AF405" s="84" t="str">
        <f t="shared" si="481"/>
        <v/>
      </c>
      <c r="AH405" s="84" t="str">
        <f t="shared" si="455"/>
        <v>PL_50_CR_50_AD_50_Jira_0_</v>
      </c>
      <c r="AI405" s="84" t="str">
        <f t="shared" si="456"/>
        <v>PL_50_CR_50_AD_50_Jira_0_</v>
      </c>
      <c r="AJ405" s="84" t="str">
        <f>IF(Z405&lt;&gt;"Done","",(_xlfn.CONCAT("PL_",DigitasUKAdOp_26Team[[#This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06" spans="1:36" ht="15.75" customHeight="1" x14ac:dyDescent="0.3">
      <c r="A406" s="85" t="str">
        <f t="shared" si="414"/>
        <v>Apr : Tuesday</v>
      </c>
      <c r="B406" s="86">
        <v>46133</v>
      </c>
      <c r="C406" s="87" t="s">
        <v>334</v>
      </c>
      <c r="D406" s="88" t="s">
        <v>598</v>
      </c>
      <c r="E406" s="87" t="s">
        <v>428</v>
      </c>
      <c r="F406" s="88" t="s">
        <v>472</v>
      </c>
      <c r="G406" s="88" t="s">
        <v>675</v>
      </c>
      <c r="H406" s="87" t="s">
        <v>443</v>
      </c>
      <c r="I406" s="87" t="s">
        <v>237</v>
      </c>
      <c r="J406" s="88">
        <v>0</v>
      </c>
      <c r="K406" s="88">
        <v>0</v>
      </c>
      <c r="L406" s="88">
        <v>0</v>
      </c>
      <c r="M406" s="89">
        <v>46132</v>
      </c>
      <c r="N406" s="88">
        <v>1</v>
      </c>
      <c r="O406" s="90" t="s">
        <v>432</v>
      </c>
      <c r="Q406" s="91">
        <f t="shared" si="459"/>
        <v>17</v>
      </c>
      <c r="R406" s="91" t="str">
        <f t="shared" si="482"/>
        <v>Apr</v>
      </c>
      <c r="S406" s="92" t="str">
        <f t="shared" si="460"/>
        <v>Tuesday</v>
      </c>
      <c r="T406" s="93" t="s">
        <v>237</v>
      </c>
      <c r="U406" s="94" t="s">
        <v>444</v>
      </c>
      <c r="W406" s="95">
        <v>0</v>
      </c>
      <c r="X406" s="96"/>
      <c r="Y406" s="97">
        <f t="shared" si="418"/>
        <v>46132</v>
      </c>
      <c r="Z406" s="98" t="str">
        <f>SUBSTITUTE('Digitas UK Task 26'!$O406, "Complet", "Not Requir")</f>
        <v>Not Required</v>
      </c>
      <c r="AA406" s="98" t="str">
        <f t="shared" si="416"/>
        <v>Klaviyo EMEA - Trafficking Request - Dermalogica Updated, Alessi MOF &amp; BOF, Freshly MOF &amp; MOF - ES &amp; IT - Display - Q1 2026</v>
      </c>
      <c r="AB406" s="99"/>
      <c r="AF406" s="84" t="str">
        <f t="shared" si="481"/>
        <v/>
      </c>
      <c r="AH406" s="84" t="str">
        <f t="shared" si="455"/>
        <v>PL_0_CR_0_AD_0_Jira_0_</v>
      </c>
      <c r="AI406" s="84" t="str">
        <f t="shared" si="456"/>
        <v/>
      </c>
      <c r="AJ406" s="84" t="str">
        <f>IF(Z406&lt;&gt;"Done","",(_xlfn.CONCAT("PL_",DigitasUKAdOp_26Team[[#This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07" spans="1:36" ht="15.75" customHeight="1" x14ac:dyDescent="0.35">
      <c r="A407" s="85" t="str">
        <f t="shared" si="414"/>
        <v>Apr : Thursday</v>
      </c>
      <c r="B407" s="86">
        <v>46135</v>
      </c>
      <c r="C407" s="87" t="s">
        <v>355</v>
      </c>
      <c r="D407" s="88" t="s">
        <v>514</v>
      </c>
      <c r="E407" s="87" t="s">
        <v>428</v>
      </c>
      <c r="F407" s="159" t="s">
        <v>696</v>
      </c>
      <c r="G407" s="151" t="s">
        <v>697</v>
      </c>
      <c r="H407" s="87" t="s">
        <v>443</v>
      </c>
      <c r="I407" s="87" t="s">
        <v>246</v>
      </c>
      <c r="J407" s="88">
        <v>0</v>
      </c>
      <c r="K407" s="88">
        <v>0</v>
      </c>
      <c r="L407" s="88">
        <v>0</v>
      </c>
      <c r="M407" s="89">
        <v>46135</v>
      </c>
      <c r="N407" s="88">
        <v>0.5</v>
      </c>
      <c r="O407" s="90" t="s">
        <v>432</v>
      </c>
      <c r="Q407" s="91">
        <f t="shared" si="459"/>
        <v>17</v>
      </c>
      <c r="R407" s="91" t="str">
        <f t="shared" si="482"/>
        <v>Apr</v>
      </c>
      <c r="S407" s="92" t="str">
        <f t="shared" si="460"/>
        <v>Thursday</v>
      </c>
      <c r="T407" s="93" t="s">
        <v>246</v>
      </c>
      <c r="U407" s="94" t="s">
        <v>444</v>
      </c>
      <c r="W407" s="95">
        <v>0</v>
      </c>
      <c r="X407" s="96"/>
      <c r="Y407" s="97">
        <f t="shared" si="418"/>
        <v>46135</v>
      </c>
      <c r="Z407" s="98" t="str">
        <f>SUBSTITUTE('Digitas UK Task 26'!$O407, "Complet", "Not Requir")</f>
        <v>Not Required</v>
      </c>
      <c r="AA407" s="98" t="str">
        <f t="shared" si="416"/>
        <v>https://jira.publicismedia.com/browse/TAAGPNG-1954</v>
      </c>
      <c r="AB407" s="99"/>
      <c r="AF407" s="84" t="str">
        <f t="shared" si="481"/>
        <v/>
      </c>
      <c r="AH407" s="84" t="str">
        <f t="shared" si="455"/>
        <v>PL_0_CR_0_AD_0_Jira_1954_</v>
      </c>
      <c r="AI407" s="84" t="str">
        <f t="shared" si="456"/>
        <v/>
      </c>
      <c r="AJ407" s="84" t="str">
        <f>IF(Z407&lt;&gt;"Done","",(_xlfn.CONCAT("PL_",DigitasUKAdOp_26Team[[#This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08" spans="1:36" ht="15.75" customHeight="1" x14ac:dyDescent="0.35">
      <c r="A408" s="85" t="str">
        <f t="shared" ref="A408:A409" si="490">IF(B408="","",TEXT(B408,"MMM : DDDD"))</f>
        <v>Apr : Thursday</v>
      </c>
      <c r="B408" s="86">
        <v>46135</v>
      </c>
      <c r="C408" s="87" t="s">
        <v>355</v>
      </c>
      <c r="D408" s="88" t="s">
        <v>514</v>
      </c>
      <c r="E408" s="87" t="s">
        <v>428</v>
      </c>
      <c r="F408" s="159" t="s">
        <v>696</v>
      </c>
      <c r="G408" s="151" t="s">
        <v>697</v>
      </c>
      <c r="H408" s="87" t="s">
        <v>269</v>
      </c>
      <c r="I408" s="87" t="s">
        <v>246</v>
      </c>
      <c r="J408" s="88">
        <v>350</v>
      </c>
      <c r="K408" s="88">
        <v>350</v>
      </c>
      <c r="L408" s="88">
        <v>350</v>
      </c>
      <c r="M408" s="89">
        <v>46135</v>
      </c>
      <c r="N408" s="88">
        <v>10</v>
      </c>
      <c r="O408" s="90" t="s">
        <v>432</v>
      </c>
      <c r="Q408" s="91">
        <f t="shared" ref="Q408:Q409" si="491">IF(B408="","",WEEKNUM(B408))</f>
        <v>17</v>
      </c>
      <c r="R408" s="91" t="str">
        <f t="shared" ref="R408" si="492">IF(B408="","",TEXT(B408,"MMM"))</f>
        <v>Apr</v>
      </c>
      <c r="S408" s="92" t="str">
        <f t="shared" ref="S408" si="493">IF(B408="","",TEXT(B408,"DDDD"))</f>
        <v>Thursday</v>
      </c>
      <c r="T408" s="93" t="s">
        <v>250</v>
      </c>
      <c r="U408" s="94" t="s">
        <v>433</v>
      </c>
      <c r="V408" s="95" t="s">
        <v>698</v>
      </c>
      <c r="W408" s="95">
        <v>5</v>
      </c>
      <c r="X408" s="96"/>
      <c r="Y408" s="97">
        <f t="shared" ref="Y408:Y410" si="494">IF(M408="","",M408)</f>
        <v>46135</v>
      </c>
      <c r="Z408" s="98" t="str">
        <f>SUBSTITUTE('Digitas UK Task 26'!$O408, "Complet", "Not Requir")</f>
        <v>Not Required</v>
      </c>
      <c r="AA408" s="98" t="str">
        <f t="shared" ref="AA408" si="495">IF(G408="","",G408)</f>
        <v>https://jira.publicismedia.com/browse/TAAGPNG-1954</v>
      </c>
      <c r="AB408" s="99"/>
      <c r="AF408" s="84" t="str">
        <f t="shared" ref="AF408" si="496">IF(AD408="","",WEEKNUM(AD408))</f>
        <v/>
      </c>
      <c r="AH408" s="84" t="str">
        <f t="shared" si="455"/>
        <v>PL_350_CR_350_AD_350_Jira_1954_</v>
      </c>
      <c r="AI408" s="84" t="str">
        <f t="shared" si="456"/>
        <v>PL_350_CR_350_AD_350_Jira_1954_</v>
      </c>
      <c r="AJ408" s="84" t="str">
        <f>IF(Z408&lt;&gt;"Done","",(_xlfn.CONCAT("PL_",DigitasUKAdOp_26Team[[#This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09" spans="1:36" ht="15.75" customHeight="1" x14ac:dyDescent="0.3">
      <c r="A409" s="85" t="str">
        <f t="shared" si="490"/>
        <v>Apr : Thursday</v>
      </c>
      <c r="B409" s="86">
        <v>46135</v>
      </c>
      <c r="C409" s="87" t="s">
        <v>349</v>
      </c>
      <c r="D409" s="88" t="s">
        <v>699</v>
      </c>
      <c r="E409" s="87" t="s">
        <v>428</v>
      </c>
      <c r="F409" s="88" t="s">
        <v>450</v>
      </c>
      <c r="G409" s="88" t="s">
        <v>700</v>
      </c>
      <c r="H409" s="87" t="s">
        <v>443</v>
      </c>
      <c r="I409" s="87" t="s">
        <v>431</v>
      </c>
      <c r="J409" s="88">
        <v>0</v>
      </c>
      <c r="K409" s="88">
        <v>0</v>
      </c>
      <c r="L409" s="88">
        <v>0</v>
      </c>
      <c r="M409" s="89">
        <v>46135</v>
      </c>
      <c r="N409" s="88">
        <v>1</v>
      </c>
      <c r="O409" s="90" t="s">
        <v>432</v>
      </c>
      <c r="Q409" s="91">
        <f t="shared" si="491"/>
        <v>17</v>
      </c>
      <c r="R409" s="91" t="str">
        <f t="shared" ref="R409" si="497">IF(B409="","",TEXT(B409,"MMM"))</f>
        <v>Apr</v>
      </c>
      <c r="S409" s="92" t="str">
        <f t="shared" ref="S409" si="498">IF(B409="","",TEXT(B409,"DDDD"))</f>
        <v>Thursday</v>
      </c>
      <c r="T409" s="93" t="s">
        <v>431</v>
      </c>
      <c r="U409" s="94" t="s">
        <v>444</v>
      </c>
      <c r="W409" s="95">
        <v>0</v>
      </c>
      <c r="X409" s="96"/>
      <c r="Y409" s="97">
        <f t="shared" si="494"/>
        <v>46135</v>
      </c>
      <c r="Z409" s="98" t="str">
        <f>SUBSTITUTE('Digitas UK Task 26'!$O409, "Complet", "Not Requir")</f>
        <v>Not Required</v>
      </c>
      <c r="AA409" s="98"/>
      <c r="AB409" s="99"/>
      <c r="AH409" s="84" t="str">
        <f t="shared" si="455"/>
        <v>PL_0_CR_0_AD_0_Jira_0_</v>
      </c>
      <c r="AI409" s="84" t="str">
        <f t="shared" si="456"/>
        <v/>
      </c>
      <c r="AJ409" s="84" t="str">
        <f>IF(Z409&lt;&gt;"Done","",(_xlfn.CONCAT("PL_",DigitasUKAdOp_26Team[[#This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10" spans="1:36" ht="15.75" customHeight="1" x14ac:dyDescent="0.3">
      <c r="A410" s="85" t="str">
        <f t="shared" ref="A410" si="499">IF(B410="","",TEXT(B410,"MMM : DDDD"))</f>
        <v>Apr : Thursday</v>
      </c>
      <c r="B410" s="86">
        <v>46135</v>
      </c>
      <c r="C410" s="87" t="s">
        <v>349</v>
      </c>
      <c r="D410" s="88" t="s">
        <v>699</v>
      </c>
      <c r="E410" s="87" t="s">
        <v>428</v>
      </c>
      <c r="F410" s="88" t="s">
        <v>450</v>
      </c>
      <c r="G410" s="88" t="s">
        <v>700</v>
      </c>
      <c r="H410" s="87" t="s">
        <v>443</v>
      </c>
      <c r="I410" s="87" t="s">
        <v>237</v>
      </c>
      <c r="J410" s="88">
        <v>0</v>
      </c>
      <c r="K410" s="88">
        <v>0</v>
      </c>
      <c r="L410" s="88">
        <v>0</v>
      </c>
      <c r="M410" s="89">
        <v>46135</v>
      </c>
      <c r="N410" s="88">
        <v>1</v>
      </c>
      <c r="O410" s="90" t="s">
        <v>432</v>
      </c>
      <c r="Q410" s="91">
        <f t="shared" ref="Q410" si="500">IF(B410="","",WEEKNUM(B410))</f>
        <v>17</v>
      </c>
      <c r="R410" s="91" t="str">
        <f t="shared" ref="R410" si="501">IF(B410="","",TEXT(B410,"MMM"))</f>
        <v>Apr</v>
      </c>
      <c r="S410" s="92" t="str">
        <f t="shared" ref="S410" si="502">IF(B410="","",TEXT(B410,"DDDD"))</f>
        <v>Thursday</v>
      </c>
      <c r="T410" s="93" t="s">
        <v>237</v>
      </c>
      <c r="U410" s="94" t="s">
        <v>444</v>
      </c>
      <c r="W410" s="95">
        <v>0</v>
      </c>
      <c r="X410" s="96"/>
      <c r="Y410" s="97">
        <f t="shared" si="494"/>
        <v>46135</v>
      </c>
      <c r="Z410" s="98" t="str">
        <f>SUBSTITUTE('Digitas UK Task 26'!$O410, "Complet", "Not Requir")</f>
        <v>Not Required</v>
      </c>
      <c r="AA410" s="98"/>
      <c r="AB410" s="99"/>
      <c r="AH410" s="84" t="str">
        <f t="shared" si="455"/>
        <v>PL_0_CR_0_AD_0_Jira_0_</v>
      </c>
      <c r="AI410" s="84" t="str">
        <f t="shared" si="456"/>
        <v/>
      </c>
      <c r="AJ410" s="84" t="str">
        <f>IF(Z410&lt;&gt;"Done","",(_xlfn.CONCAT("PL_",DigitasUKAdOp_26Team[[#This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11" spans="1:36" ht="15.75" customHeight="1" x14ac:dyDescent="0.35">
      <c r="A411" s="85" t="str">
        <f t="shared" ref="A411" si="503">IF(B411="","",TEXT(B411,"MMM : DDDD"))</f>
        <v>Apr : Friday</v>
      </c>
      <c r="B411" s="86">
        <v>46136</v>
      </c>
      <c r="C411" s="87" t="s">
        <v>355</v>
      </c>
      <c r="D411" s="88" t="s">
        <v>514</v>
      </c>
      <c r="E411" s="87" t="s">
        <v>428</v>
      </c>
      <c r="F411" s="159" t="s">
        <v>701</v>
      </c>
      <c r="G411" s="151" t="s">
        <v>702</v>
      </c>
      <c r="H411" s="87" t="s">
        <v>269</v>
      </c>
      <c r="I411" s="87" t="s">
        <v>246</v>
      </c>
      <c r="J411" s="88">
        <v>100</v>
      </c>
      <c r="K411" s="88">
        <v>100</v>
      </c>
      <c r="L411" s="88">
        <v>100</v>
      </c>
      <c r="M411" s="89">
        <v>46136</v>
      </c>
      <c r="N411" s="88">
        <v>2</v>
      </c>
      <c r="O411" s="90" t="s">
        <v>432</v>
      </c>
      <c r="Q411" s="91">
        <f t="shared" ref="Q411" si="504">IF(B411="","",WEEKNUM(B411))</f>
        <v>17</v>
      </c>
      <c r="R411" s="91" t="str">
        <f t="shared" ref="R411" si="505">IF(B411="","",TEXT(B411,"MMM"))</f>
        <v>Apr</v>
      </c>
      <c r="S411" s="92" t="str">
        <f t="shared" ref="S411" si="506">IF(B411="","",TEXT(B411,"DDDD"))</f>
        <v>Friday</v>
      </c>
      <c r="T411" s="93" t="s">
        <v>250</v>
      </c>
      <c r="U411" s="94" t="s">
        <v>433</v>
      </c>
      <c r="W411" s="95">
        <v>1</v>
      </c>
      <c r="X411" s="96"/>
      <c r="Y411" s="97">
        <f t="shared" ref="Y411" si="507">IF(M411="","",M411)</f>
        <v>46136</v>
      </c>
      <c r="Z411" s="98" t="str">
        <f>SUBSTITUTE('Digitas UK Task 26'!$O411, "Complet", "Not Requir")</f>
        <v>Not Required</v>
      </c>
      <c r="AA411" s="98" t="str">
        <f t="shared" ref="AA411" si="508">IF(G411="","",G411)</f>
        <v>https://jira.publicismedia.com/browse/TAAGPNG-1956</v>
      </c>
      <c r="AB411" s="99"/>
      <c r="AF411" s="84" t="str">
        <f t="shared" ref="AF411" si="509">IF(AD411="","",WEEKNUM(AD411))</f>
        <v/>
      </c>
      <c r="AH411" s="84" t="str">
        <f t="shared" si="455"/>
        <v>PL_100_CR_100_AD_100_Jira_1956_</v>
      </c>
      <c r="AI411" s="84" t="str">
        <f t="shared" si="456"/>
        <v>PL_100_CR_100_AD_100_Jira_1956_</v>
      </c>
      <c r="AJ411" s="84" t="str">
        <f>IF(Z411&lt;&gt;"Done","",(_xlfn.CONCAT("PL_",DigitasUKAdOp_26Team[[#This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12" spans="1:36" ht="15.75" customHeight="1" x14ac:dyDescent="0.3">
      <c r="A412" s="85" t="str">
        <f t="shared" si="414"/>
        <v>Apr : Monday</v>
      </c>
      <c r="B412" s="86">
        <v>46139</v>
      </c>
      <c r="C412" s="87" t="s">
        <v>334</v>
      </c>
      <c r="D412" s="88" t="s">
        <v>465</v>
      </c>
      <c r="E412" s="87" t="s">
        <v>428</v>
      </c>
      <c r="F412" s="88" t="s">
        <v>469</v>
      </c>
      <c r="G412" s="88" t="s">
        <v>703</v>
      </c>
      <c r="H412" s="87" t="s">
        <v>269</v>
      </c>
      <c r="I412" s="87" t="s">
        <v>250</v>
      </c>
      <c r="J412" s="88">
        <v>50</v>
      </c>
      <c r="K412" s="88">
        <v>50</v>
      </c>
      <c r="L412" s="88">
        <v>50</v>
      </c>
      <c r="M412" s="89">
        <v>46139</v>
      </c>
      <c r="N412" s="88">
        <v>2</v>
      </c>
      <c r="O412" s="90" t="s">
        <v>432</v>
      </c>
      <c r="P412" s="88" t="s">
        <v>704</v>
      </c>
      <c r="Q412" s="91">
        <f t="shared" si="459"/>
        <v>18</v>
      </c>
      <c r="R412" s="91" t="str">
        <f t="shared" si="482"/>
        <v>Apr</v>
      </c>
      <c r="S412" s="92" t="str">
        <f t="shared" si="460"/>
        <v>Monday</v>
      </c>
      <c r="T412" s="93" t="s">
        <v>237</v>
      </c>
      <c r="U412" s="94" t="s">
        <v>433</v>
      </c>
      <c r="W412" s="95">
        <v>1</v>
      </c>
      <c r="X412" s="96"/>
      <c r="Y412" s="97">
        <f t="shared" si="418"/>
        <v>46139</v>
      </c>
      <c r="Z412" s="98" t="str">
        <f>SUBSTITUTE('Digitas UK Task 26'!$O412, "Complet", "Not Requir")</f>
        <v>Not Required</v>
      </c>
      <c r="AA412" s="98" t="str">
        <f t="shared" si="416"/>
        <v>Klaviyo EMEA - Global Brands - FR - DV360 - Trafficking Request</v>
      </c>
      <c r="AB412" s="99"/>
      <c r="AF412" s="84" t="str">
        <f t="shared" si="481"/>
        <v/>
      </c>
      <c r="AH412" s="84" t="str">
        <f t="shared" si="455"/>
        <v>PL_50_CR_50_AD_50_Jira_0_</v>
      </c>
      <c r="AI412" s="84" t="str">
        <f t="shared" si="456"/>
        <v>PL_50_CR_50_AD_50_Jira_0_</v>
      </c>
      <c r="AJ412" s="84" t="str">
        <f>IF(Z412&lt;&gt;"Done","",(_xlfn.CONCAT("PL_",DigitasUKAdOp_26Team[[#This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13" spans="1:36" ht="15.75" customHeight="1" x14ac:dyDescent="0.3">
      <c r="A413" s="85" t="str">
        <f t="shared" si="414"/>
        <v>Apr : Monday</v>
      </c>
      <c r="B413" s="86">
        <v>46139</v>
      </c>
      <c r="C413" s="87" t="s">
        <v>334</v>
      </c>
      <c r="D413" s="88" t="s">
        <v>598</v>
      </c>
      <c r="E413" s="87" t="s">
        <v>428</v>
      </c>
      <c r="F413" s="88" t="s">
        <v>466</v>
      </c>
      <c r="G413" s="88" t="s">
        <v>705</v>
      </c>
      <c r="H413" s="87" t="s">
        <v>269</v>
      </c>
      <c r="I413" s="87" t="s">
        <v>237</v>
      </c>
      <c r="J413" s="88">
        <v>30</v>
      </c>
      <c r="K413" s="88">
        <v>30</v>
      </c>
      <c r="L413" s="88">
        <v>30</v>
      </c>
      <c r="M413" s="89">
        <v>46139</v>
      </c>
      <c r="N413" s="88">
        <v>1</v>
      </c>
      <c r="O413" s="90" t="s">
        <v>432</v>
      </c>
      <c r="Q413" s="91">
        <f t="shared" si="459"/>
        <v>18</v>
      </c>
      <c r="R413" s="91" t="str">
        <f t="shared" si="482"/>
        <v>Apr</v>
      </c>
      <c r="S413" s="92" t="str">
        <f t="shared" si="460"/>
        <v>Monday</v>
      </c>
      <c r="T413" s="93" t="s">
        <v>250</v>
      </c>
      <c r="U413" s="94" t="s">
        <v>433</v>
      </c>
      <c r="W413" s="95">
        <v>0.5</v>
      </c>
      <c r="X413" s="96"/>
      <c r="Y413" s="97">
        <f t="shared" si="418"/>
        <v>46139</v>
      </c>
      <c r="Z413" s="98" t="str">
        <f>SUBSTITUTE('Digitas UK Task 26'!$O413, "Complet", "Not Requir")</f>
        <v>Not Required</v>
      </c>
      <c r="AA413" s="98" t="str">
        <f t="shared" si="416"/>
        <v>Klaviyo EMEA - URL Update Request - Multiple Creatives - Display - Q1 2026</v>
      </c>
      <c r="AB413" s="99"/>
      <c r="AF413" s="84" t="str">
        <f t="shared" si="481"/>
        <v/>
      </c>
      <c r="AH413" s="84" t="str">
        <f t="shared" si="455"/>
        <v>PL_30_CR_30_AD_30_Jira_0_</v>
      </c>
      <c r="AI413" s="84" t="str">
        <f t="shared" si="456"/>
        <v>PL_30_CR_30_AD_30_Jira_0_</v>
      </c>
      <c r="AJ413" s="84" t="str">
        <f>IF(Z413&lt;&gt;"Done","",(_xlfn.CONCAT("PL_",DigitasUKAdOp_26Team[[#This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14" spans="1:36" ht="15.75" customHeight="1" x14ac:dyDescent="0.3">
      <c r="A414" s="85" t="str">
        <f t="shared" si="414"/>
        <v>Apr : Monday</v>
      </c>
      <c r="B414" s="86">
        <v>46139</v>
      </c>
      <c r="C414" s="87" t="s">
        <v>334</v>
      </c>
      <c r="D414" s="88" t="s">
        <v>598</v>
      </c>
      <c r="E414" s="87" t="s">
        <v>428</v>
      </c>
      <c r="F414" s="88" t="s">
        <v>471</v>
      </c>
      <c r="G414" s="88" t="s">
        <v>705</v>
      </c>
      <c r="H414" s="87" t="s">
        <v>269</v>
      </c>
      <c r="I414" s="87" t="s">
        <v>237</v>
      </c>
      <c r="J414" s="88">
        <v>40</v>
      </c>
      <c r="K414" s="88">
        <v>40</v>
      </c>
      <c r="L414" s="88">
        <v>40</v>
      </c>
      <c r="M414" s="89">
        <v>46139</v>
      </c>
      <c r="N414" s="88">
        <v>1</v>
      </c>
      <c r="O414" s="90" t="s">
        <v>432</v>
      </c>
      <c r="Q414" s="91">
        <f t="shared" si="459"/>
        <v>18</v>
      </c>
      <c r="R414" s="91" t="str">
        <f t="shared" si="482"/>
        <v>Apr</v>
      </c>
      <c r="S414" s="92" t="str">
        <f t="shared" si="460"/>
        <v>Monday</v>
      </c>
      <c r="T414" s="93" t="s">
        <v>250</v>
      </c>
      <c r="U414" s="94" t="s">
        <v>433</v>
      </c>
      <c r="W414" s="95">
        <v>0.5</v>
      </c>
      <c r="X414" s="96"/>
      <c r="Y414" s="97">
        <f t="shared" si="418"/>
        <v>46139</v>
      </c>
      <c r="Z414" s="98" t="str">
        <f>SUBSTITUTE('Digitas UK Task 26'!$O414, "Complet", "Not Requir")</f>
        <v>Not Required</v>
      </c>
      <c r="AA414" s="98" t="str">
        <f t="shared" si="416"/>
        <v>Klaviyo EMEA - URL Update Request - Multiple Creatives - Display - Q1 2026</v>
      </c>
      <c r="AB414" s="99"/>
      <c r="AF414" s="84" t="str">
        <f t="shared" si="481"/>
        <v/>
      </c>
      <c r="AH414" s="84" t="str">
        <f t="shared" si="455"/>
        <v>PL_40_CR_40_AD_40_Jira_0_</v>
      </c>
      <c r="AI414" s="84" t="str">
        <f t="shared" si="456"/>
        <v>PL_40_CR_40_AD_40_Jira_0_</v>
      </c>
      <c r="AJ414" s="84" t="str">
        <f>IF(Z414&lt;&gt;"Done","",(_xlfn.CONCAT("PL_",DigitasUKAdOp_26Team[[#This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15" spans="1:36" ht="15.75" customHeight="1" x14ac:dyDescent="0.3">
      <c r="A415" s="85" t="str">
        <f t="shared" ref="A415:A440" si="510">IF(B415="","",TEXT(B415,"MMM : DDDD"))</f>
        <v>Apr : Monday</v>
      </c>
      <c r="B415" s="86">
        <v>46139</v>
      </c>
      <c r="C415" s="87" t="s">
        <v>334</v>
      </c>
      <c r="D415" s="88" t="s">
        <v>598</v>
      </c>
      <c r="E415" s="87" t="s">
        <v>428</v>
      </c>
      <c r="F415" s="88" t="s">
        <v>498</v>
      </c>
      <c r="G415" s="88" t="s">
        <v>706</v>
      </c>
      <c r="H415" s="87" t="s">
        <v>269</v>
      </c>
      <c r="I415" s="87" t="s">
        <v>246</v>
      </c>
      <c r="J415" s="88">
        <v>40</v>
      </c>
      <c r="K415" s="88">
        <v>40</v>
      </c>
      <c r="L415" s="88">
        <v>40</v>
      </c>
      <c r="M415" s="89">
        <v>46139</v>
      </c>
      <c r="N415" s="88">
        <v>1</v>
      </c>
      <c r="O415" s="90" t="s">
        <v>432</v>
      </c>
      <c r="Q415" s="91">
        <f t="shared" si="459"/>
        <v>18</v>
      </c>
      <c r="R415" s="91" t="str">
        <f t="shared" si="482"/>
        <v>Apr</v>
      </c>
      <c r="S415" s="92" t="str">
        <f t="shared" si="460"/>
        <v>Monday</v>
      </c>
      <c r="T415" s="93" t="s">
        <v>250</v>
      </c>
      <c r="U415" s="94" t="s">
        <v>433</v>
      </c>
      <c r="W415" s="95">
        <v>0.5</v>
      </c>
      <c r="X415" s="96"/>
      <c r="Y415" s="97">
        <f t="shared" si="418"/>
        <v>46139</v>
      </c>
      <c r="Z415" s="98" t="str">
        <f>SUBSTITUTE('Digitas UK Task 26'!$O415, "Complet", "Not Requir")</f>
        <v>Not Required</v>
      </c>
      <c r="AA415" s="98" t="str">
        <f t="shared" ref="AA415:AA484" si="511">IF(G415="","",G415)</f>
        <v>Klaviyo EMEA - Placement Name &amp; URL Update Request - Omnichannel Video German Updated - Q1 2026</v>
      </c>
      <c r="AB415" s="99"/>
      <c r="AF415" s="84" t="str">
        <f t="shared" si="481"/>
        <v/>
      </c>
      <c r="AH415" s="84" t="str">
        <f t="shared" si="455"/>
        <v>PL_40_CR_40_AD_40_Jira_0_</v>
      </c>
      <c r="AI415" s="84" t="str">
        <f t="shared" si="456"/>
        <v>PL_40_CR_40_AD_40_Jira_0_</v>
      </c>
      <c r="AJ415" s="84" t="str">
        <f>IF(Z415&lt;&gt;"Done","",(_xlfn.CONCAT("PL_",DigitasUKAdOp_26Team[[#This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16" spans="1:36" ht="15.75" customHeight="1" x14ac:dyDescent="0.3">
      <c r="A416" s="85" t="str">
        <f t="shared" ref="A416" si="512">IF(B416="","",TEXT(B416,"MMM : DDDD"))</f>
        <v>Apr : Monday</v>
      </c>
      <c r="B416" s="86">
        <v>46139</v>
      </c>
      <c r="C416" s="87" t="s">
        <v>334</v>
      </c>
      <c r="D416" s="88" t="s">
        <v>598</v>
      </c>
      <c r="E416" s="87" t="s">
        <v>428</v>
      </c>
      <c r="F416" s="88" t="s">
        <v>466</v>
      </c>
      <c r="G416" s="88" t="s">
        <v>705</v>
      </c>
      <c r="H416" s="87" t="s">
        <v>443</v>
      </c>
      <c r="I416" s="87" t="s">
        <v>237</v>
      </c>
      <c r="J416" s="88">
        <v>0</v>
      </c>
      <c r="K416" s="88">
        <v>0</v>
      </c>
      <c r="L416" s="88">
        <v>0</v>
      </c>
      <c r="M416" s="89">
        <v>46139</v>
      </c>
      <c r="N416" s="88">
        <v>1</v>
      </c>
      <c r="O416" s="90" t="s">
        <v>432</v>
      </c>
      <c r="Q416" s="91">
        <f t="shared" si="459"/>
        <v>18</v>
      </c>
      <c r="R416" s="91" t="str">
        <f t="shared" si="482"/>
        <v>Apr</v>
      </c>
      <c r="S416" s="92" t="str">
        <f t="shared" si="460"/>
        <v>Monday</v>
      </c>
      <c r="T416" s="93" t="s">
        <v>237</v>
      </c>
      <c r="U416" s="94" t="s">
        <v>444</v>
      </c>
      <c r="W416" s="95">
        <v>0</v>
      </c>
      <c r="X416" s="96"/>
      <c r="Y416" s="97">
        <f t="shared" si="418"/>
        <v>46139</v>
      </c>
      <c r="Z416" s="98" t="str">
        <f>SUBSTITUTE('Digitas UK Task 26'!$O416, "Complet", "Not Requir")</f>
        <v>Not Required</v>
      </c>
      <c r="AA416" s="98" t="str">
        <f t="shared" ref="AA416" si="513">IF(G416="","",G416)</f>
        <v>Klaviyo EMEA - URL Update Request - Multiple Creatives - Display - Q1 2026</v>
      </c>
      <c r="AB416" s="99"/>
      <c r="AF416" s="84" t="str">
        <f t="shared" si="481"/>
        <v/>
      </c>
      <c r="AH416" s="84" t="str">
        <f t="shared" si="455"/>
        <v>PL_0_CR_0_AD_0_Jira_0_</v>
      </c>
      <c r="AI416" s="84" t="str">
        <f t="shared" si="456"/>
        <v/>
      </c>
      <c r="AJ416" s="84" t="str">
        <f>IF(Z416&lt;&gt;"Done","",(_xlfn.CONCAT("PL_",DigitasUKAdOp_26Team[[#This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17" spans="1:36" ht="15.75" customHeight="1" x14ac:dyDescent="0.3">
      <c r="A417" s="85" t="str">
        <f t="shared" ref="A417" si="514">IF(B417="","",TEXT(B417,"MMM : DDDD"))</f>
        <v>Apr : Monday</v>
      </c>
      <c r="B417" s="86">
        <v>46139</v>
      </c>
      <c r="C417" s="87" t="s">
        <v>334</v>
      </c>
      <c r="D417" s="88" t="s">
        <v>465</v>
      </c>
      <c r="E417" s="87" t="s">
        <v>428</v>
      </c>
      <c r="F417" s="88" t="s">
        <v>707</v>
      </c>
      <c r="G417" s="88" t="s">
        <v>708</v>
      </c>
      <c r="H417" s="87" t="s">
        <v>269</v>
      </c>
      <c r="I417" s="87" t="s">
        <v>431</v>
      </c>
      <c r="J417" s="88">
        <v>10</v>
      </c>
      <c r="K417" s="88">
        <v>10</v>
      </c>
      <c r="L417" s="88">
        <v>10</v>
      </c>
      <c r="M417" s="89">
        <v>46139</v>
      </c>
      <c r="N417" s="88">
        <v>1</v>
      </c>
      <c r="O417" s="90" t="s">
        <v>432</v>
      </c>
      <c r="Q417" s="91">
        <f t="shared" si="459"/>
        <v>18</v>
      </c>
      <c r="R417" s="91" t="str">
        <f t="shared" si="482"/>
        <v>Apr</v>
      </c>
      <c r="S417" s="92" t="str">
        <f t="shared" si="460"/>
        <v>Monday</v>
      </c>
      <c r="T417" s="93" t="s">
        <v>237</v>
      </c>
      <c r="U417" s="94" t="s">
        <v>433</v>
      </c>
      <c r="W417" s="95">
        <v>0.5</v>
      </c>
      <c r="X417" s="96"/>
      <c r="Y417" s="97">
        <f t="shared" si="418"/>
        <v>46139</v>
      </c>
      <c r="Z417" s="98" t="str">
        <f>SUBSTITUTE('Digitas UK Task 26'!$O417, "Complet", "Not Requir")</f>
        <v>Not Required</v>
      </c>
      <c r="AA417" s="98" t="str">
        <f t="shared" si="511"/>
        <v xml:space="preserve">Klaviyo EMEA - Octave - UKI - 1x1 - Trafficking Request </v>
      </c>
      <c r="AB417" s="99"/>
      <c r="AF417" s="84" t="str">
        <f t="shared" si="481"/>
        <v/>
      </c>
      <c r="AH417" s="84" t="str">
        <f t="shared" si="455"/>
        <v>PL_10_CR_10_AD_10_Jira_0_</v>
      </c>
      <c r="AI417" s="84" t="str">
        <f t="shared" si="456"/>
        <v>PL_10_CR_10_AD_10_Jira_0_</v>
      </c>
      <c r="AJ417" s="84" t="str">
        <f>IF(Z417&lt;&gt;"Done","",(_xlfn.CONCAT("PL_",DigitasUKAdOp_26Team[[#This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18" spans="1:36" ht="15.75" customHeight="1" x14ac:dyDescent="0.3">
      <c r="A418" s="85" t="str">
        <f t="shared" si="510"/>
        <v>Apr : Monday</v>
      </c>
      <c r="B418" s="86">
        <v>46139</v>
      </c>
      <c r="C418" s="87" t="s">
        <v>334</v>
      </c>
      <c r="D418" s="88" t="s">
        <v>465</v>
      </c>
      <c r="E418" s="87" t="s">
        <v>428</v>
      </c>
      <c r="F418" s="88" t="s">
        <v>469</v>
      </c>
      <c r="G418" s="88" t="s">
        <v>703</v>
      </c>
      <c r="H418" s="87" t="s">
        <v>443</v>
      </c>
      <c r="I418" s="87" t="s">
        <v>250</v>
      </c>
      <c r="J418" s="88">
        <v>0</v>
      </c>
      <c r="K418" s="88">
        <v>0</v>
      </c>
      <c r="L418" s="88">
        <v>0</v>
      </c>
      <c r="M418" s="89">
        <v>46139</v>
      </c>
      <c r="N418" s="88">
        <v>1</v>
      </c>
      <c r="O418" s="90" t="s">
        <v>432</v>
      </c>
      <c r="Q418" s="91">
        <f t="shared" si="459"/>
        <v>18</v>
      </c>
      <c r="R418" s="91" t="str">
        <f t="shared" si="482"/>
        <v>Apr</v>
      </c>
      <c r="S418" s="92" t="str">
        <f t="shared" si="460"/>
        <v>Monday</v>
      </c>
      <c r="T418" s="93" t="s">
        <v>250</v>
      </c>
      <c r="U418" s="94" t="s">
        <v>444</v>
      </c>
      <c r="W418" s="95">
        <v>0</v>
      </c>
      <c r="X418" s="96"/>
      <c r="Y418" s="97">
        <f t="shared" si="418"/>
        <v>46139</v>
      </c>
      <c r="Z418" s="98" t="str">
        <f>SUBSTITUTE('Digitas UK Task 26'!$O418, "Complet", "Not Requir")</f>
        <v>Not Required</v>
      </c>
      <c r="AA418" s="98" t="str">
        <f t="shared" si="511"/>
        <v>Klaviyo EMEA - Global Brands - FR - DV360 - Trafficking Request</v>
      </c>
      <c r="AB418" s="99"/>
      <c r="AF418" s="84" t="str">
        <f t="shared" si="481"/>
        <v/>
      </c>
      <c r="AH418" s="84" t="str">
        <f t="shared" si="455"/>
        <v>PL_0_CR_0_AD_0_Jira_0_</v>
      </c>
      <c r="AI418" s="84" t="str">
        <f t="shared" si="456"/>
        <v/>
      </c>
      <c r="AJ418" s="84" t="str">
        <f>IF(Z418&lt;&gt;"Done","",(_xlfn.CONCAT("PL_",DigitasUKAdOp_26Team[[#This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19" spans="1:36" ht="15.75" customHeight="1" x14ac:dyDescent="0.3">
      <c r="A419" s="85" t="str">
        <f t="shared" si="510"/>
        <v>Apr : Monday</v>
      </c>
      <c r="B419" s="86">
        <v>46139</v>
      </c>
      <c r="C419" s="87" t="s">
        <v>334</v>
      </c>
      <c r="D419" s="88" t="s">
        <v>598</v>
      </c>
      <c r="E419" s="87" t="s">
        <v>428</v>
      </c>
      <c r="F419" s="88" t="s">
        <v>471</v>
      </c>
      <c r="G419" s="88" t="s">
        <v>705</v>
      </c>
      <c r="H419" s="87" t="s">
        <v>443</v>
      </c>
      <c r="I419" s="87" t="s">
        <v>237</v>
      </c>
      <c r="J419" s="88">
        <v>0</v>
      </c>
      <c r="K419" s="88">
        <v>0</v>
      </c>
      <c r="L419" s="88">
        <v>0</v>
      </c>
      <c r="M419" s="89">
        <v>46139</v>
      </c>
      <c r="N419" s="88">
        <v>1</v>
      </c>
      <c r="O419" s="90" t="s">
        <v>432</v>
      </c>
      <c r="Q419" s="91">
        <f t="shared" ref="Q419" si="515">IF(B419="","",WEEKNUM(B419))</f>
        <v>18</v>
      </c>
      <c r="R419" s="91" t="str">
        <f t="shared" ref="R419" si="516">IF(B419="","",TEXT(B419,"MMM"))</f>
        <v>Apr</v>
      </c>
      <c r="S419" s="92" t="str">
        <f t="shared" ref="S419" si="517">IF(B419="","",TEXT(B419,"DDDD"))</f>
        <v>Monday</v>
      </c>
      <c r="T419" s="93" t="s">
        <v>237</v>
      </c>
      <c r="U419" s="94" t="s">
        <v>444</v>
      </c>
      <c r="W419" s="95">
        <v>0</v>
      </c>
      <c r="X419" s="96"/>
      <c r="Y419" s="97">
        <f t="shared" ref="Y419" si="518">IF(M419="","",M419)</f>
        <v>46139</v>
      </c>
      <c r="Z419" s="98" t="str">
        <f>SUBSTITUTE('Digitas UK Task 26'!$O419, "Complet", "Not Requir")</f>
        <v>Not Required</v>
      </c>
      <c r="AA419" s="98" t="str">
        <f t="shared" si="511"/>
        <v>Klaviyo EMEA - URL Update Request - Multiple Creatives - Display - Q1 2026</v>
      </c>
      <c r="AB419" s="99"/>
      <c r="AF419" s="84" t="str">
        <f t="shared" ref="AF419" si="519">IF(AD419="","",WEEKNUM(AD419))</f>
        <v/>
      </c>
      <c r="AH419" s="84" t="str">
        <f t="shared" si="455"/>
        <v>PL_0_CR_0_AD_0_Jira_0_</v>
      </c>
      <c r="AI419" s="84" t="str">
        <f t="shared" si="456"/>
        <v/>
      </c>
      <c r="AJ419" s="84" t="str">
        <f>IF(Z419&lt;&gt;"Done","",(_xlfn.CONCAT("PL_",DigitasUKAdOp_26Team[[#This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20" spans="1:36" ht="15.75" customHeight="1" x14ac:dyDescent="0.3">
      <c r="A420" s="85" t="str">
        <f t="shared" si="510"/>
        <v>Apr : Tuesday</v>
      </c>
      <c r="B420" s="86">
        <v>46140</v>
      </c>
      <c r="C420" s="87" t="s">
        <v>334</v>
      </c>
      <c r="D420" s="88" t="s">
        <v>598</v>
      </c>
      <c r="E420" s="87" t="s">
        <v>428</v>
      </c>
      <c r="F420" s="88" t="s">
        <v>498</v>
      </c>
      <c r="G420" s="88" t="s">
        <v>709</v>
      </c>
      <c r="H420" s="87" t="s">
        <v>269</v>
      </c>
      <c r="I420" s="87" t="s">
        <v>431</v>
      </c>
      <c r="J420" s="88">
        <v>2</v>
      </c>
      <c r="K420" s="88">
        <v>2</v>
      </c>
      <c r="L420" s="88">
        <v>2</v>
      </c>
      <c r="M420" s="89">
        <v>46139</v>
      </c>
      <c r="N420" s="88">
        <v>0.5</v>
      </c>
      <c r="O420" s="90" t="s">
        <v>432</v>
      </c>
      <c r="Q420" s="91">
        <f t="shared" si="459"/>
        <v>18</v>
      </c>
      <c r="R420" s="91" t="str">
        <f t="shared" si="482"/>
        <v>Apr</v>
      </c>
      <c r="S420" s="92" t="str">
        <f t="shared" si="460"/>
        <v>Tuesday</v>
      </c>
      <c r="T420" s="93" t="s">
        <v>250</v>
      </c>
      <c r="U420" s="94" t="s">
        <v>433</v>
      </c>
      <c r="W420" s="95">
        <v>0.25</v>
      </c>
      <c r="X420" s="96"/>
      <c r="Y420" s="97">
        <f t="shared" ref="Y420:Y488" si="520">IF(M420="","",M420)</f>
        <v>46139</v>
      </c>
      <c r="Z420" s="98" t="str">
        <f>SUBSTITUTE('Digitas UK Task 26'!$O420, "Complet", "Not Requir")</f>
        <v>Not Required</v>
      </c>
      <c r="AA420" s="98" t="str">
        <f t="shared" si="511"/>
        <v>Klaviyo EMEA - Creative Asset Update Request - Multiple Creatives - Display - Q1 2026</v>
      </c>
      <c r="AB420" s="99"/>
      <c r="AF420" s="84" t="str">
        <f t="shared" si="481"/>
        <v/>
      </c>
      <c r="AH420" s="84" t="str">
        <f t="shared" si="455"/>
        <v>PL_2_CR_2_AD_2_Jira_0_</v>
      </c>
      <c r="AI420" s="84" t="str">
        <f t="shared" si="456"/>
        <v>PL_2_CR_2_AD_2_Jira_0_</v>
      </c>
      <c r="AJ420" s="84" t="str">
        <f>IF(Z420&lt;&gt;"Done","",(_xlfn.CONCAT("PL_",DigitasUKAdOp_26Team[[#This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21" spans="1:36" ht="15.75" customHeight="1" x14ac:dyDescent="0.3">
      <c r="A421" s="85" t="str">
        <f t="shared" ref="A421:A422" si="521">IF(B421="","",TEXT(B421,"MMM : DDDD"))</f>
        <v>Apr : Tuesday</v>
      </c>
      <c r="B421" s="86">
        <v>46140</v>
      </c>
      <c r="C421" s="87" t="s">
        <v>334</v>
      </c>
      <c r="D421" s="88" t="s">
        <v>598</v>
      </c>
      <c r="E421" s="87" t="s">
        <v>428</v>
      </c>
      <c r="F421" s="88" t="s">
        <v>466</v>
      </c>
      <c r="G421" s="88" t="s">
        <v>709</v>
      </c>
      <c r="H421" s="87" t="s">
        <v>269</v>
      </c>
      <c r="I421" s="87" t="s">
        <v>250</v>
      </c>
      <c r="J421" s="88">
        <v>15</v>
      </c>
      <c r="K421" s="88">
        <v>15</v>
      </c>
      <c r="L421" s="88">
        <v>15</v>
      </c>
      <c r="M421" s="89">
        <v>46139</v>
      </c>
      <c r="N421" s="88">
        <v>1</v>
      </c>
      <c r="O421" s="90" t="s">
        <v>432</v>
      </c>
      <c r="Q421" s="91">
        <f t="shared" si="459"/>
        <v>18</v>
      </c>
      <c r="R421" s="91" t="str">
        <f t="shared" si="482"/>
        <v>Apr</v>
      </c>
      <c r="S421" s="92" t="str">
        <f t="shared" si="460"/>
        <v>Tuesday</v>
      </c>
      <c r="T421" s="93" t="s">
        <v>237</v>
      </c>
      <c r="U421" s="94" t="s">
        <v>433</v>
      </c>
      <c r="V421" s="95" t="s">
        <v>710</v>
      </c>
      <c r="W421" s="95">
        <v>0.5</v>
      </c>
      <c r="X421" s="96"/>
      <c r="Y421" s="97">
        <f t="shared" si="520"/>
        <v>46139</v>
      </c>
      <c r="Z421" s="98" t="str">
        <f>SUBSTITUTE('Digitas UK Task 26'!$O421, "Complet", "Not Requir")</f>
        <v>Not Required</v>
      </c>
      <c r="AA421" s="98" t="str">
        <f t="shared" si="511"/>
        <v>Klaviyo EMEA - Creative Asset Update Request - Multiple Creatives - Display - Q1 2026</v>
      </c>
      <c r="AB421" s="99"/>
      <c r="AF421" s="84" t="str">
        <f t="shared" si="481"/>
        <v/>
      </c>
      <c r="AH421" s="84" t="str">
        <f t="shared" si="455"/>
        <v>PL_15_CR_15_AD_15_Jira_0_</v>
      </c>
      <c r="AI421" s="84" t="str">
        <f t="shared" si="456"/>
        <v>PL_15_CR_15_AD_15_Jira_0_</v>
      </c>
      <c r="AJ421" s="84" t="str">
        <f>IF(Z421&lt;&gt;"Done","",(_xlfn.CONCAT("PL_",DigitasUKAdOp_26Team[[#This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22" spans="1:36" ht="15.75" customHeight="1" x14ac:dyDescent="0.3">
      <c r="A422" s="85" t="str">
        <f t="shared" si="521"/>
        <v>Apr : Tuesday</v>
      </c>
      <c r="B422" s="86">
        <v>46140</v>
      </c>
      <c r="C422" s="87" t="s">
        <v>334</v>
      </c>
      <c r="D422" s="88" t="s">
        <v>598</v>
      </c>
      <c r="E422" s="87" t="s">
        <v>428</v>
      </c>
      <c r="F422" s="88" t="s">
        <v>471</v>
      </c>
      <c r="G422" s="88" t="s">
        <v>709</v>
      </c>
      <c r="H422" s="87" t="s">
        <v>269</v>
      </c>
      <c r="I422" s="87" t="s">
        <v>237</v>
      </c>
      <c r="J422" s="88">
        <v>20</v>
      </c>
      <c r="K422" s="88">
        <v>20</v>
      </c>
      <c r="L422" s="88">
        <v>20</v>
      </c>
      <c r="M422" s="89">
        <v>46139</v>
      </c>
      <c r="N422" s="88">
        <v>1</v>
      </c>
      <c r="O422" s="90" t="s">
        <v>432</v>
      </c>
      <c r="Q422" s="91">
        <f t="shared" si="459"/>
        <v>18</v>
      </c>
      <c r="R422" s="91" t="str">
        <f t="shared" si="482"/>
        <v>Apr</v>
      </c>
      <c r="S422" s="92" t="str">
        <f t="shared" si="460"/>
        <v>Tuesday</v>
      </c>
      <c r="T422" s="93" t="s">
        <v>250</v>
      </c>
      <c r="U422" s="94" t="s">
        <v>433</v>
      </c>
      <c r="V422" s="95" t="s">
        <v>710</v>
      </c>
      <c r="W422" s="95">
        <v>0.5</v>
      </c>
      <c r="X422" s="96"/>
      <c r="Y422" s="97">
        <f t="shared" si="520"/>
        <v>46139</v>
      </c>
      <c r="Z422" s="98" t="str">
        <f>SUBSTITUTE('Digitas UK Task 26'!$O422, "Complet", "Not Requir")</f>
        <v>Not Required</v>
      </c>
      <c r="AA422" s="98" t="str">
        <f t="shared" si="511"/>
        <v>Klaviyo EMEA - Creative Asset Update Request - Multiple Creatives - Display - Q1 2026</v>
      </c>
      <c r="AB422" s="99"/>
      <c r="AF422" s="84" t="str">
        <f t="shared" si="481"/>
        <v/>
      </c>
      <c r="AH422" s="84" t="str">
        <f t="shared" si="455"/>
        <v>PL_20_CR_20_AD_20_Jira_0_</v>
      </c>
      <c r="AI422" s="84" t="str">
        <f t="shared" si="456"/>
        <v>PL_20_CR_20_AD_20_Jira_0_</v>
      </c>
      <c r="AJ422" s="84" t="str">
        <f>IF(Z422&lt;&gt;"Done","",(_xlfn.CONCAT("PL_",DigitasUKAdOp_26Team[[#This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23" spans="1:36" ht="15.75" customHeight="1" x14ac:dyDescent="0.3">
      <c r="A423" s="85" t="str">
        <f t="shared" ref="A423" si="522">IF(B423="","",TEXT(B423,"MMM : DDDD"))</f>
        <v>Apr : Tuesday</v>
      </c>
      <c r="B423" s="86">
        <v>46140</v>
      </c>
      <c r="C423" s="87" t="s">
        <v>334</v>
      </c>
      <c r="D423" s="88" t="s">
        <v>598</v>
      </c>
      <c r="E423" s="87" t="s">
        <v>428</v>
      </c>
      <c r="F423" s="88" t="s">
        <v>466</v>
      </c>
      <c r="G423" s="88" t="s">
        <v>709</v>
      </c>
      <c r="H423" s="87" t="s">
        <v>443</v>
      </c>
      <c r="I423" s="87" t="s">
        <v>250</v>
      </c>
      <c r="J423" s="88">
        <v>0</v>
      </c>
      <c r="K423" s="88">
        <v>0</v>
      </c>
      <c r="L423" s="88">
        <v>0</v>
      </c>
      <c r="M423" s="89">
        <v>46139</v>
      </c>
      <c r="N423" s="88">
        <v>0.5</v>
      </c>
      <c r="O423" s="90" t="s">
        <v>432</v>
      </c>
      <c r="Q423" s="91">
        <f t="shared" si="459"/>
        <v>18</v>
      </c>
      <c r="R423" s="91" t="str">
        <f t="shared" si="482"/>
        <v>Apr</v>
      </c>
      <c r="S423" s="92" t="str">
        <f t="shared" si="460"/>
        <v>Tuesday</v>
      </c>
      <c r="T423" s="93" t="s">
        <v>250</v>
      </c>
      <c r="U423" s="94" t="s">
        <v>444</v>
      </c>
      <c r="W423" s="95">
        <v>0</v>
      </c>
      <c r="X423" s="96"/>
      <c r="Y423" s="97">
        <f t="shared" si="520"/>
        <v>46139</v>
      </c>
      <c r="Z423" s="98" t="str">
        <f>SUBSTITUTE('Digitas UK Task 26'!$O423, "Complet", "Not Requir")</f>
        <v>Not Required</v>
      </c>
      <c r="AA423" s="98" t="str">
        <f t="shared" si="511"/>
        <v>Klaviyo EMEA - Creative Asset Update Request - Multiple Creatives - Display - Q1 2026</v>
      </c>
      <c r="AB423" s="99"/>
      <c r="AF423" s="84" t="str">
        <f t="shared" si="481"/>
        <v/>
      </c>
      <c r="AH423" s="84" t="str">
        <f t="shared" si="455"/>
        <v>PL_0_CR_0_AD_0_Jira_0_</v>
      </c>
      <c r="AI423" s="84" t="str">
        <f t="shared" si="456"/>
        <v/>
      </c>
      <c r="AJ423" s="84" t="str">
        <f>IF(Z423&lt;&gt;"Done","",(_xlfn.CONCAT("PL_",DigitasUKAdOp_26Team[[#This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24" spans="1:36" ht="15.75" customHeight="1" x14ac:dyDescent="0.3">
      <c r="A424" s="85" t="str">
        <f t="shared" ref="A424:A425" si="523">IF(B424="","",TEXT(B424,"MMM : DDDD"))</f>
        <v>Apr : Tuesday</v>
      </c>
      <c r="B424" s="86">
        <v>46140</v>
      </c>
      <c r="C424" s="87" t="s">
        <v>334</v>
      </c>
      <c r="D424" s="88" t="s">
        <v>598</v>
      </c>
      <c r="E424" s="87" t="s">
        <v>428</v>
      </c>
      <c r="F424" s="88" t="s">
        <v>471</v>
      </c>
      <c r="G424" s="88" t="s">
        <v>709</v>
      </c>
      <c r="H424" s="87" t="s">
        <v>443</v>
      </c>
      <c r="I424" s="87" t="s">
        <v>237</v>
      </c>
      <c r="J424" s="88">
        <v>0</v>
      </c>
      <c r="K424" s="88">
        <v>0</v>
      </c>
      <c r="L424" s="88">
        <v>0</v>
      </c>
      <c r="M424" s="89">
        <v>46139</v>
      </c>
      <c r="N424" s="88">
        <v>1</v>
      </c>
      <c r="O424" s="90" t="s">
        <v>432</v>
      </c>
      <c r="Q424" s="91">
        <f t="shared" ref="Q424:Q425" si="524">IF(B424="","",WEEKNUM(B424))</f>
        <v>18</v>
      </c>
      <c r="R424" s="91" t="str">
        <f t="shared" ref="R424:R425" si="525">IF(B424="","",TEXT(B424,"MMM"))</f>
        <v>Apr</v>
      </c>
      <c r="S424" s="92" t="str">
        <f t="shared" ref="S424:S425" si="526">IF(B424="","",TEXT(B424,"DDDD"))</f>
        <v>Tuesday</v>
      </c>
      <c r="T424" s="93" t="s">
        <v>237</v>
      </c>
      <c r="U424" s="94" t="s">
        <v>444</v>
      </c>
      <c r="W424" s="95">
        <v>0</v>
      </c>
      <c r="X424" s="96"/>
      <c r="Y424" s="97">
        <f t="shared" ref="Y424:Y425" si="527">IF(M424="","",M424)</f>
        <v>46139</v>
      </c>
      <c r="Z424" s="98" t="str">
        <f>SUBSTITUTE('Digitas UK Task 26'!$O424, "Complet", "Not Requir")</f>
        <v>Not Required</v>
      </c>
      <c r="AA424" s="98" t="str">
        <f t="shared" ref="AA424" si="528">IF(G424="","",G424)</f>
        <v>Klaviyo EMEA - Creative Asset Update Request - Multiple Creatives - Display - Q1 2026</v>
      </c>
      <c r="AB424" s="99"/>
      <c r="AF424" s="84" t="str">
        <f t="shared" ref="AF424" si="529">IF(AD424="","",WEEKNUM(AD424))</f>
        <v/>
      </c>
      <c r="AH424" s="84" t="str">
        <f t="shared" si="455"/>
        <v>PL_0_CR_0_AD_0_Jira_0_</v>
      </c>
      <c r="AI424" s="84" t="str">
        <f t="shared" si="456"/>
        <v/>
      </c>
      <c r="AJ424" s="84" t="str">
        <f>IF(Z424&lt;&gt;"Done","",(_xlfn.CONCAT("PL_",DigitasUKAdOp_26Team[[#This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25" spans="1:36" ht="15.75" customHeight="1" x14ac:dyDescent="0.3">
      <c r="A425" s="85" t="str">
        <f t="shared" si="523"/>
        <v>Apr : Tuesday</v>
      </c>
      <c r="B425" s="86">
        <v>46140</v>
      </c>
      <c r="C425" s="87" t="s">
        <v>349</v>
      </c>
      <c r="D425" s="88" t="s">
        <v>699</v>
      </c>
      <c r="E425" s="87" t="s">
        <v>428</v>
      </c>
      <c r="F425" s="88" t="s">
        <v>450</v>
      </c>
      <c r="G425" s="88" t="s">
        <v>711</v>
      </c>
      <c r="H425" s="87" t="s">
        <v>443</v>
      </c>
      <c r="I425" s="87" t="s">
        <v>237</v>
      </c>
      <c r="J425" s="88">
        <v>0</v>
      </c>
      <c r="K425" s="88">
        <v>0</v>
      </c>
      <c r="L425" s="88">
        <v>0</v>
      </c>
      <c r="M425" s="89">
        <v>46135</v>
      </c>
      <c r="N425" s="88">
        <v>0.5</v>
      </c>
      <c r="O425" s="90" t="s">
        <v>432</v>
      </c>
      <c r="Q425" s="91">
        <f t="shared" si="524"/>
        <v>18</v>
      </c>
      <c r="R425" s="91" t="str">
        <f t="shared" si="525"/>
        <v>Apr</v>
      </c>
      <c r="S425" s="92" t="str">
        <f t="shared" si="526"/>
        <v>Tuesday</v>
      </c>
      <c r="T425" s="93" t="s">
        <v>237</v>
      </c>
      <c r="U425" s="94" t="s">
        <v>444</v>
      </c>
      <c r="W425" s="95">
        <v>0</v>
      </c>
      <c r="X425" s="96"/>
      <c r="Y425" s="97">
        <f t="shared" si="527"/>
        <v>46135</v>
      </c>
      <c r="Z425" s="98" t="str">
        <f>SUBSTITUTE('Digitas UK Task 26'!$O425, "Complet", "Not Requir")</f>
        <v>Not Required</v>
      </c>
      <c r="AA425" s="98"/>
      <c r="AB425" s="99"/>
      <c r="AH425" s="84" t="str">
        <f t="shared" si="455"/>
        <v>PL_0_CR_0_AD_0_Jira_0_</v>
      </c>
      <c r="AI425" s="84" t="str">
        <f t="shared" si="456"/>
        <v/>
      </c>
      <c r="AJ425" s="84" t="str">
        <f>IF(Z425&lt;&gt;"Done","",(_xlfn.CONCAT("PL_",DigitasUKAdOp_26Team[[#This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26" spans="1:36" ht="15.75" customHeight="1" x14ac:dyDescent="0.3">
      <c r="A426" s="85" t="str">
        <f t="shared" ref="A426" si="530">IF(B426="","",TEXT(B426,"MMM : DDDD"))</f>
        <v>Apr : Tuesday</v>
      </c>
      <c r="B426" s="86">
        <v>46140</v>
      </c>
      <c r="C426" s="87" t="s">
        <v>349</v>
      </c>
      <c r="D426" s="88" t="s">
        <v>699</v>
      </c>
      <c r="E426" s="87" t="s">
        <v>428</v>
      </c>
      <c r="F426" s="88" t="s">
        <v>450</v>
      </c>
      <c r="G426" s="88" t="s">
        <v>711</v>
      </c>
      <c r="H426" s="87" t="s">
        <v>443</v>
      </c>
      <c r="I426" s="87" t="s">
        <v>431</v>
      </c>
      <c r="J426" s="88">
        <v>0</v>
      </c>
      <c r="K426" s="88">
        <v>0</v>
      </c>
      <c r="L426" s="88">
        <v>0</v>
      </c>
      <c r="M426" s="89">
        <v>46135</v>
      </c>
      <c r="N426" s="88">
        <v>0.5</v>
      </c>
      <c r="O426" s="90" t="s">
        <v>432</v>
      </c>
      <c r="Q426" s="91">
        <f t="shared" ref="Q426" si="531">IF(B426="","",WEEKNUM(B426))</f>
        <v>18</v>
      </c>
      <c r="R426" s="91" t="str">
        <f t="shared" ref="R426" si="532">IF(B426="","",TEXT(B426,"MMM"))</f>
        <v>Apr</v>
      </c>
      <c r="S426" s="92" t="str">
        <f t="shared" ref="S426" si="533">IF(B426="","",TEXT(B426,"DDDD"))</f>
        <v>Tuesday</v>
      </c>
      <c r="T426" s="93" t="s">
        <v>431</v>
      </c>
      <c r="U426" s="94" t="s">
        <v>444</v>
      </c>
      <c r="W426" s="95">
        <v>0</v>
      </c>
      <c r="X426" s="96"/>
      <c r="Y426" s="97"/>
      <c r="Z426" s="98"/>
      <c r="AA426" s="98"/>
      <c r="AB426" s="99"/>
    </row>
    <row r="427" spans="1:36" ht="15.75" customHeight="1" x14ac:dyDescent="0.3">
      <c r="A427" s="85" t="str">
        <f t="shared" ref="A427" si="534">IF(B427="","",TEXT(B427,"MMM : DDDD"))</f>
        <v>Apr : Tuesday</v>
      </c>
      <c r="B427" s="86">
        <v>46140</v>
      </c>
      <c r="C427" s="87" t="s">
        <v>349</v>
      </c>
      <c r="D427" s="88" t="s">
        <v>699</v>
      </c>
      <c r="E427" s="87" t="s">
        <v>428</v>
      </c>
      <c r="F427" s="88" t="s">
        <v>450</v>
      </c>
      <c r="G427" s="88" t="s">
        <v>711</v>
      </c>
      <c r="H427" s="87" t="s">
        <v>443</v>
      </c>
      <c r="I427" s="87" t="s">
        <v>431</v>
      </c>
      <c r="J427" s="88">
        <v>0</v>
      </c>
      <c r="K427" s="88">
        <v>0</v>
      </c>
      <c r="L427" s="88">
        <v>0</v>
      </c>
      <c r="M427" s="89">
        <v>46135</v>
      </c>
      <c r="N427" s="88">
        <v>0.5</v>
      </c>
      <c r="O427" s="90" t="s">
        <v>432</v>
      </c>
      <c r="Q427" s="91">
        <f t="shared" ref="Q427" si="535">IF(B427="","",WEEKNUM(B427))</f>
        <v>18</v>
      </c>
      <c r="R427" s="91" t="str">
        <f t="shared" ref="R427" si="536">IF(B427="","",TEXT(B427,"MMM"))</f>
        <v>Apr</v>
      </c>
      <c r="S427" s="92" t="str">
        <f t="shared" ref="S427" si="537">IF(B427="","",TEXT(B427,"DDDD"))</f>
        <v>Tuesday</v>
      </c>
      <c r="T427" s="93" t="s">
        <v>250</v>
      </c>
      <c r="U427" s="94" t="s">
        <v>444</v>
      </c>
      <c r="W427" s="95">
        <v>0</v>
      </c>
      <c r="X427" s="96"/>
      <c r="Y427" s="97"/>
      <c r="Z427" s="98"/>
      <c r="AA427" s="98"/>
      <c r="AB427" s="99"/>
    </row>
    <row r="428" spans="1:36" ht="15.75" customHeight="1" x14ac:dyDescent="0.3">
      <c r="A428" s="85" t="str">
        <f t="shared" si="510"/>
        <v>Apr : Wednesday</v>
      </c>
      <c r="B428" s="86">
        <v>46141</v>
      </c>
      <c r="C428" s="87" t="s">
        <v>334</v>
      </c>
      <c r="D428" s="88" t="s">
        <v>598</v>
      </c>
      <c r="E428" s="87" t="s">
        <v>428</v>
      </c>
      <c r="F428" s="88" t="s">
        <v>498</v>
      </c>
      <c r="G428" s="88" t="s">
        <v>712</v>
      </c>
      <c r="H428" s="87" t="s">
        <v>269</v>
      </c>
      <c r="I428" s="87" t="s">
        <v>237</v>
      </c>
      <c r="J428" s="88">
        <v>12</v>
      </c>
      <c r="K428" s="88">
        <v>12</v>
      </c>
      <c r="L428" s="88">
        <v>12</v>
      </c>
      <c r="M428" s="89">
        <v>46141</v>
      </c>
      <c r="N428" s="88">
        <v>1</v>
      </c>
      <c r="O428" s="90" t="s">
        <v>432</v>
      </c>
      <c r="Q428" s="91">
        <f t="shared" si="459"/>
        <v>18</v>
      </c>
      <c r="R428" s="91" t="str">
        <f t="shared" si="482"/>
        <v>Apr</v>
      </c>
      <c r="S428" s="92" t="str">
        <f t="shared" si="460"/>
        <v>Wednesday</v>
      </c>
      <c r="T428" s="93" t="s">
        <v>246</v>
      </c>
      <c r="U428" s="94" t="s">
        <v>433</v>
      </c>
      <c r="W428" s="95">
        <v>0.5</v>
      </c>
      <c r="X428" s="96"/>
      <c r="Y428" s="97">
        <f t="shared" si="520"/>
        <v>46141</v>
      </c>
      <c r="Z428" s="98" t="str">
        <f>SUBSTITUTE('Digitas UK Task 26'!$O428, "Complet", "Not Requir")</f>
        <v>Not Required</v>
      </c>
      <c r="AA428" s="98" t="str">
        <f t="shared" si="511"/>
        <v>Klaviyo EMEA - Global Brands - DACH - DV360 - Trafficking Request</v>
      </c>
      <c r="AB428" s="99"/>
      <c r="AF428" s="84" t="str">
        <f t="shared" si="481"/>
        <v/>
      </c>
      <c r="AH428" s="84" t="str">
        <f>IF(B428="","",_xlfn.CONCAT("PL_",J428,"_CR_",K428,"_AD_",L428,"_Jira_",IF(AND(C428="P&amp;G",ISNUMBER(SEARCH("TAAGPNG-",G428))),MID(G428,SEARCH("TAAGPNG-",G428)+8,LEN(G428)-SEARCH("TAAGPNG-",G428)-7),"0"),"_"))</f>
        <v>PL_12_CR_12_AD_12_Jira_0_</v>
      </c>
      <c r="AI428" s="84" t="str">
        <f>IF(U428&lt;&gt;"Done","",_xlfn.CONCAT("PL_",J428,"_CR_",K428,"_AD_",L428,"_Jira_",IF(AND(C428="P&amp;G",ISNUMBER(SEARCH("TAAGPNG-",G428))),MID(G428,SEARCH("TAAGPNG-",G428)+8,LEN(G428)-SEARCH("TAAGPNG-",G428)-7),"0"),"_"))</f>
        <v>PL_12_CR_12_AD_12_Jira_0_</v>
      </c>
      <c r="AJ428" s="84" t="str">
        <f>IF(Z428&lt;&gt;"Done","",(_xlfn.CONCAT("PL_",DigitasUKAdOp_26Team[[#This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29" spans="1:36" ht="15.75" customHeight="1" x14ac:dyDescent="0.35">
      <c r="A429" s="85" t="str">
        <f t="shared" si="510"/>
        <v>Apr : Wednesday</v>
      </c>
      <c r="B429" s="86">
        <v>46141</v>
      </c>
      <c r="C429" s="87" t="s">
        <v>355</v>
      </c>
      <c r="D429" s="88" t="s">
        <v>514</v>
      </c>
      <c r="E429" s="87" t="s">
        <v>428</v>
      </c>
      <c r="F429" s="159" t="s">
        <v>713</v>
      </c>
      <c r="G429" s="151" t="s">
        <v>714</v>
      </c>
      <c r="H429" s="87" t="s">
        <v>269</v>
      </c>
      <c r="I429" s="87" t="s">
        <v>246</v>
      </c>
      <c r="J429" s="88">
        <v>50</v>
      </c>
      <c r="K429" s="88">
        <v>50</v>
      </c>
      <c r="L429" s="88">
        <v>50</v>
      </c>
      <c r="M429" s="89">
        <v>46141</v>
      </c>
      <c r="N429" s="88">
        <v>2</v>
      </c>
      <c r="O429" s="90" t="s">
        <v>432</v>
      </c>
      <c r="Q429" s="91">
        <f t="shared" si="459"/>
        <v>18</v>
      </c>
      <c r="R429" s="91" t="str">
        <f t="shared" si="482"/>
        <v>Apr</v>
      </c>
      <c r="S429" s="92" t="str">
        <f t="shared" si="460"/>
        <v>Wednesday</v>
      </c>
      <c r="T429" s="93" t="s">
        <v>250</v>
      </c>
      <c r="U429" s="94" t="s">
        <v>433</v>
      </c>
      <c r="W429" s="95">
        <v>1</v>
      </c>
      <c r="X429" s="96"/>
      <c r="Y429" s="97">
        <f t="shared" si="520"/>
        <v>46141</v>
      </c>
      <c r="Z429" s="98" t="str">
        <f>SUBSTITUTE('Digitas UK Task 26'!$O429, "Complet", "Not Requir")</f>
        <v>Not Required</v>
      </c>
      <c r="AA429" s="98" t="str">
        <f t="shared" si="511"/>
        <v>https://jira.publicismedia.com/browse/TAAGPNG-1958</v>
      </c>
      <c r="AB429" s="99"/>
      <c r="AF429" s="84" t="str">
        <f t="shared" si="481"/>
        <v/>
      </c>
      <c r="AH429" s="84" t="str">
        <f>IF(B429="","",_xlfn.CONCAT("PL_",J429,"_CR_",K429,"_AD_",L429,"_Jira_",IF(AND(C429="P&amp;G",ISNUMBER(SEARCH("TAAGPNG-",G429))),MID(G429,SEARCH("TAAGPNG-",G429)+8,LEN(G429)-SEARCH("TAAGPNG-",G429)-7),"0"),"_"))</f>
        <v>PL_50_CR_50_AD_50_Jira_1958_</v>
      </c>
      <c r="AI429" s="84" t="str">
        <f>IF(U429&lt;&gt;"Done","",_xlfn.CONCAT("PL_",J429,"_CR_",K429,"_AD_",L429,"_Jira_",IF(AND(C429="P&amp;G",ISNUMBER(SEARCH("TAAGPNG-",G429))),MID(G429,SEARCH("TAAGPNG-",G429)+8,LEN(G429)-SEARCH("TAAGPNG-",G429)-7),"0"),"_"))</f>
        <v>PL_50_CR_50_AD_50_Jira_1958_</v>
      </c>
      <c r="AJ429" s="84" t="str">
        <f>IF(Z429&lt;&gt;"Done","",(_xlfn.CONCAT("PL_",DigitasUKAdOp_26Team[[#This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30" spans="1:36" ht="15.75" customHeight="1" x14ac:dyDescent="0.35">
      <c r="A430" s="85" t="str">
        <f t="shared" ref="A430:A432" si="538">IF(B430="","",TEXT(B430,"MMM : DDDD"))</f>
        <v>Apr : Wednesday</v>
      </c>
      <c r="B430" s="86">
        <v>46141</v>
      </c>
      <c r="C430" s="87" t="s">
        <v>355</v>
      </c>
      <c r="D430" s="88" t="s">
        <v>514</v>
      </c>
      <c r="E430" s="87" t="s">
        <v>428</v>
      </c>
      <c r="F430" s="159" t="s">
        <v>713</v>
      </c>
      <c r="G430" s="151" t="s">
        <v>714</v>
      </c>
      <c r="H430" s="87" t="s">
        <v>443</v>
      </c>
      <c r="I430" s="87" t="s">
        <v>246</v>
      </c>
      <c r="J430" s="88">
        <v>0</v>
      </c>
      <c r="K430" s="88">
        <v>0</v>
      </c>
      <c r="L430" s="88">
        <v>0</v>
      </c>
      <c r="M430" s="89">
        <v>46141</v>
      </c>
      <c r="N430" s="88">
        <v>0.5</v>
      </c>
      <c r="O430" s="90" t="s">
        <v>432</v>
      </c>
      <c r="Q430" s="91">
        <f t="shared" ref="Q430:Q432" si="539">IF(B430="","",WEEKNUM(B430))</f>
        <v>18</v>
      </c>
      <c r="R430" s="91" t="str">
        <f t="shared" ref="R430:R432" si="540">IF(B430="","",TEXT(B430,"MMM"))</f>
        <v>Apr</v>
      </c>
      <c r="S430" s="92" t="str">
        <f t="shared" ref="S430:S432" si="541">IF(B430="","",TEXT(B430,"DDDD"))</f>
        <v>Wednesday</v>
      </c>
      <c r="T430" s="93" t="s">
        <v>246</v>
      </c>
      <c r="U430" s="94" t="s">
        <v>444</v>
      </c>
      <c r="W430" s="95">
        <v>0</v>
      </c>
      <c r="X430" s="96"/>
      <c r="Y430" s="97">
        <f t="shared" ref="Y430:Y432" si="542">IF(M430="","",M430)</f>
        <v>46141</v>
      </c>
      <c r="Z430" s="98" t="str">
        <f>SUBSTITUTE('Digitas UK Task 26'!$O430, "Complet", "Not Requir")</f>
        <v>Not Required</v>
      </c>
      <c r="AA430" s="98" t="str">
        <f t="shared" ref="AA430:AA432" si="543">IF(G430="","",G430)</f>
        <v>https://jira.publicismedia.com/browse/TAAGPNG-1958</v>
      </c>
      <c r="AB430" s="99"/>
      <c r="AF430" s="84" t="str">
        <f t="shared" ref="AF430:AF432" si="544">IF(AD430="","",WEEKNUM(AD430))</f>
        <v/>
      </c>
      <c r="AH430" s="84" t="str">
        <f>IF(B430="","",_xlfn.CONCAT("PL_",J430,"_CR_",K430,"_AD_",L430,"_Jira_",IF(AND(C430="P&amp;G",ISNUMBER(SEARCH("TAAGPNG-",G430))),MID(G430,SEARCH("TAAGPNG-",G430)+8,LEN(G430)-SEARCH("TAAGPNG-",G430)-7),"0"),"_"))</f>
        <v>PL_0_CR_0_AD_0_Jira_1958_</v>
      </c>
      <c r="AI430" s="84" t="str">
        <f t="shared" ref="AI430:AI435" si="545">IF(U430&lt;&gt;"Done","",_xlfn.CONCAT("PL_",J430,"_CR_",K430,"_AD_",L430,"_Jira_",IF(AND(C430="P&amp;G",ISNUMBER(SEARCH("TAAGPNG-",G430))),MID(G430,SEARCH("TAAGPNG-",G430)+8,LEN(G430)-SEARCH("TAAGPNG-",G430)-7),"0"),"_"))</f>
        <v/>
      </c>
      <c r="AJ430" s="84" t="str">
        <f>IF(Z430&lt;&gt;"Done","",(_xlfn.CONCAT("PL_",DigitasUKAdOp_26Team[[#This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31" spans="1:36" ht="15.75" customHeight="1" x14ac:dyDescent="0.3">
      <c r="A431" s="85" t="str">
        <f t="shared" si="538"/>
        <v>Apr : Wednesday</v>
      </c>
      <c r="B431" s="86">
        <v>46141</v>
      </c>
      <c r="C431" s="87" t="s">
        <v>334</v>
      </c>
      <c r="D431" s="88" t="s">
        <v>598</v>
      </c>
      <c r="E431" s="87" t="s">
        <v>428</v>
      </c>
      <c r="F431" s="88" t="s">
        <v>498</v>
      </c>
      <c r="G431" s="88" t="s">
        <v>712</v>
      </c>
      <c r="H431" s="87" t="s">
        <v>443</v>
      </c>
      <c r="I431" s="87" t="s">
        <v>237</v>
      </c>
      <c r="J431" s="88">
        <v>0</v>
      </c>
      <c r="K431" s="88">
        <v>0</v>
      </c>
      <c r="L431" s="88">
        <v>0</v>
      </c>
      <c r="M431" s="89">
        <v>46139</v>
      </c>
      <c r="N431" s="88">
        <v>1</v>
      </c>
      <c r="O431" s="90" t="s">
        <v>432</v>
      </c>
      <c r="Q431" s="91">
        <f t="shared" si="539"/>
        <v>18</v>
      </c>
      <c r="R431" s="91" t="str">
        <f t="shared" si="540"/>
        <v>Apr</v>
      </c>
      <c r="S431" s="92" t="str">
        <f t="shared" si="541"/>
        <v>Wednesday</v>
      </c>
      <c r="T431" s="93" t="s">
        <v>237</v>
      </c>
      <c r="U431" s="94" t="s">
        <v>444</v>
      </c>
      <c r="W431" s="95">
        <v>0</v>
      </c>
      <c r="X431" s="96"/>
      <c r="Y431" s="97">
        <f t="shared" si="542"/>
        <v>46139</v>
      </c>
      <c r="Z431" s="98" t="str">
        <f>SUBSTITUTE('Digitas UK Task 26'!$O431, "Complet", "Not Requir")</f>
        <v>Not Required</v>
      </c>
      <c r="AA431" s="98" t="str">
        <f t="shared" si="543"/>
        <v>Klaviyo EMEA - Global Brands - DACH - DV360 - Trafficking Request</v>
      </c>
      <c r="AB431" s="99"/>
      <c r="AF431" s="84" t="str">
        <f t="shared" si="544"/>
        <v/>
      </c>
      <c r="AH431" s="84" t="str">
        <f>IF(B431="","",_xlfn.CONCAT("PL_",J431,"_CR_",K431,"_AD_",L431,"_Jira_",IF(AND(C431="P&amp;G",ISNUMBER(SEARCH("TAAGPNG-",G431))),MID(G431,SEARCH("TAAGPNG-",G431)+8,LEN(G431)-SEARCH("TAAGPNG-",G431)-7),"0"),"_"))</f>
        <v>PL_0_CR_0_AD_0_Jira_0_</v>
      </c>
      <c r="AI431" s="84" t="str">
        <f t="shared" si="545"/>
        <v/>
      </c>
      <c r="AJ431" s="84" t="str">
        <f>IF(Z431&lt;&gt;"Done","",(_xlfn.CONCAT("PL_",DigitasUKAdOp_26Team[[#This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32" spans="1:36" ht="15.75" customHeight="1" x14ac:dyDescent="0.35">
      <c r="A432" s="85" t="str">
        <f t="shared" si="538"/>
        <v>Apr : Wednesday</v>
      </c>
      <c r="B432" s="86">
        <v>46141</v>
      </c>
      <c r="C432" s="87" t="s">
        <v>355</v>
      </c>
      <c r="D432" s="88" t="s">
        <v>514</v>
      </c>
      <c r="E432" s="87" t="s">
        <v>428</v>
      </c>
      <c r="F432" s="159" t="s">
        <v>696</v>
      </c>
      <c r="G432" s="151" t="s">
        <v>697</v>
      </c>
      <c r="H432" s="87" t="s">
        <v>269</v>
      </c>
      <c r="I432" s="87" t="s">
        <v>246</v>
      </c>
      <c r="J432" s="88">
        <v>20</v>
      </c>
      <c r="K432" s="88">
        <v>20</v>
      </c>
      <c r="L432" s="88">
        <v>20</v>
      </c>
      <c r="M432" s="89">
        <v>46141</v>
      </c>
      <c r="N432" s="88">
        <v>1</v>
      </c>
      <c r="O432" s="90" t="s">
        <v>432</v>
      </c>
      <c r="Q432" s="91">
        <f t="shared" si="539"/>
        <v>18</v>
      </c>
      <c r="R432" s="91" t="str">
        <f t="shared" si="540"/>
        <v>Apr</v>
      </c>
      <c r="S432" s="92" t="str">
        <f t="shared" si="541"/>
        <v>Wednesday</v>
      </c>
      <c r="T432" s="93" t="s">
        <v>250</v>
      </c>
      <c r="U432" s="94" t="s">
        <v>433</v>
      </c>
      <c r="W432" s="95">
        <v>0.5</v>
      </c>
      <c r="X432" s="96"/>
      <c r="Y432" s="97">
        <f t="shared" si="542"/>
        <v>46141</v>
      </c>
      <c r="Z432" s="98" t="str">
        <f>SUBSTITUTE('Digitas UK Task 26'!$O432, "Complet", "Not Requir")</f>
        <v>Not Required</v>
      </c>
      <c r="AA432" s="98" t="str">
        <f t="shared" si="543"/>
        <v>https://jira.publicismedia.com/browse/TAAGPNG-1954</v>
      </c>
      <c r="AB432" s="99"/>
      <c r="AF432" s="84" t="str">
        <f t="shared" si="544"/>
        <v/>
      </c>
      <c r="AI432" s="84" t="str">
        <f t="shared" si="545"/>
        <v>PL_20_CR_20_AD_20_Jira_1954_</v>
      </c>
    </row>
    <row r="433" spans="1:36" ht="15.75" customHeight="1" x14ac:dyDescent="0.3">
      <c r="A433" s="85" t="str">
        <f t="shared" si="510"/>
        <v>Apr : Wednesday</v>
      </c>
      <c r="B433" s="86">
        <v>46141</v>
      </c>
      <c r="C433" s="87" t="s">
        <v>43</v>
      </c>
      <c r="D433" s="88" t="s">
        <v>481</v>
      </c>
      <c r="E433" s="87" t="s">
        <v>428</v>
      </c>
      <c r="F433" s="88" t="s">
        <v>450</v>
      </c>
      <c r="G433" s="88" t="s">
        <v>715</v>
      </c>
      <c r="H433" s="87" t="s">
        <v>244</v>
      </c>
      <c r="I433" s="87" t="s">
        <v>237</v>
      </c>
      <c r="J433" s="88">
        <v>20</v>
      </c>
      <c r="K433" s="88">
        <v>20</v>
      </c>
      <c r="L433" s="88">
        <v>20</v>
      </c>
      <c r="M433" s="89">
        <v>46142</v>
      </c>
      <c r="N433" s="88">
        <v>2</v>
      </c>
      <c r="O433" s="90" t="s">
        <v>432</v>
      </c>
      <c r="Q433" s="91">
        <f t="shared" si="459"/>
        <v>18</v>
      </c>
      <c r="R433" s="91" t="str">
        <f t="shared" si="482"/>
        <v>Apr</v>
      </c>
      <c r="S433" s="92" t="str">
        <f t="shared" si="460"/>
        <v>Wednesday</v>
      </c>
      <c r="T433" s="93" t="s">
        <v>246</v>
      </c>
      <c r="U433" s="94" t="s">
        <v>433</v>
      </c>
      <c r="W433" s="95">
        <v>1</v>
      </c>
      <c r="X433" s="96"/>
      <c r="Y433" s="97">
        <f t="shared" si="520"/>
        <v>46142</v>
      </c>
      <c r="Z433" s="98" t="str">
        <f>SUBSTITUTE('Digitas UK Task 26'!$O433, "Complet", "Not Requir")</f>
        <v>Not Required</v>
      </c>
      <c r="AA433" s="98" t="str">
        <f t="shared" si="511"/>
        <v>Crocs - S2 - local classics - trafficking</v>
      </c>
      <c r="AB433" s="99"/>
      <c r="AF433" s="84" t="str">
        <f t="shared" si="481"/>
        <v/>
      </c>
      <c r="AH433" s="84" t="str">
        <f t="shared" ref="AH433:AH496" si="546">IF(B433="","",_xlfn.CONCAT("PL_",J433,"_CR_",K433,"_AD_",L433,"_Jira_",IF(AND(C433="P&amp;G",ISNUMBER(SEARCH("TAAGPNG-",G433))),MID(G433,SEARCH("TAAGPNG-",G433)+8,LEN(G433)-SEARCH("TAAGPNG-",G433)-7),"0"),"_"))</f>
        <v>PL_20_CR_20_AD_20_Jira_0_</v>
      </c>
      <c r="AI433" s="84" t="str">
        <f t="shared" si="545"/>
        <v>PL_20_CR_20_AD_20_Jira_0_</v>
      </c>
      <c r="AJ433" s="84" t="str">
        <f>IF(Z433&lt;&gt;"Done","",(_xlfn.CONCAT("PL_",DigitasUKAdOp_26Team[[#This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34" spans="1:36" ht="15.75" customHeight="1" x14ac:dyDescent="0.3">
      <c r="A434" s="85" t="str">
        <f t="shared" ref="A434" si="547">IF(B434="","",TEXT(B434,"MMM : DDDD"))</f>
        <v>Apr : Wednesday</v>
      </c>
      <c r="B434" s="86">
        <v>46141</v>
      </c>
      <c r="C434" s="87" t="s">
        <v>43</v>
      </c>
      <c r="D434" s="88" t="s">
        <v>481</v>
      </c>
      <c r="E434" s="87" t="s">
        <v>428</v>
      </c>
      <c r="F434" s="88" t="s">
        <v>450</v>
      </c>
      <c r="G434" s="88" t="s">
        <v>715</v>
      </c>
      <c r="H434" s="87" t="s">
        <v>443</v>
      </c>
      <c r="I434" s="87" t="s">
        <v>237</v>
      </c>
      <c r="J434" s="88">
        <v>0</v>
      </c>
      <c r="K434" s="88">
        <v>0</v>
      </c>
      <c r="L434" s="88">
        <v>0</v>
      </c>
      <c r="M434" s="89">
        <v>46142</v>
      </c>
      <c r="N434" s="88">
        <v>1.5</v>
      </c>
      <c r="O434" s="90" t="s">
        <v>432</v>
      </c>
      <c r="Q434" s="91">
        <f t="shared" ref="Q434" si="548">IF(B434="","",WEEKNUM(B434))</f>
        <v>18</v>
      </c>
      <c r="R434" s="91" t="str">
        <f t="shared" ref="R434" si="549">IF(B434="","",TEXT(B434,"MMM"))</f>
        <v>Apr</v>
      </c>
      <c r="S434" s="92" t="str">
        <f t="shared" ref="S434" si="550">IF(B434="","",TEXT(B434,"DDDD"))</f>
        <v>Wednesday</v>
      </c>
      <c r="T434" s="93" t="s">
        <v>237</v>
      </c>
      <c r="U434" s="94" t="s">
        <v>444</v>
      </c>
      <c r="W434" s="95">
        <v>0</v>
      </c>
      <c r="X434" s="96"/>
      <c r="Y434" s="97">
        <f t="shared" ref="Y434" si="551">IF(M434="","",M434)</f>
        <v>46142</v>
      </c>
      <c r="Z434" s="98" t="str">
        <f>SUBSTITUTE('Digitas UK Task 26'!$O434, "Complet", "Not Requir")</f>
        <v>Not Required</v>
      </c>
      <c r="AA434" s="98" t="str">
        <f t="shared" ref="AA434" si="552">IF(G434="","",G434)</f>
        <v>Crocs - S2 - local classics - trafficking</v>
      </c>
      <c r="AB434" s="99"/>
      <c r="AF434" s="84" t="str">
        <f t="shared" ref="AF434" si="553">IF(AD434="","",WEEKNUM(AD434))</f>
        <v/>
      </c>
      <c r="AH434" s="84" t="str">
        <f t="shared" si="546"/>
        <v>PL_0_CR_0_AD_0_Jira_0_</v>
      </c>
      <c r="AI434" s="84" t="str">
        <f t="shared" si="545"/>
        <v/>
      </c>
      <c r="AJ434" s="84" t="str">
        <f>IF(Z434&lt;&gt;"Done","",(_xlfn.CONCAT("PL_",DigitasUKAdOp_26Team[[#This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35" spans="1:36" ht="15.75" customHeight="1" x14ac:dyDescent="0.3">
      <c r="A435" s="85" t="str">
        <f t="shared" si="510"/>
        <v>Apr : Thursday</v>
      </c>
      <c r="B435" s="86">
        <v>46142</v>
      </c>
      <c r="C435" s="87" t="s">
        <v>325</v>
      </c>
      <c r="D435" s="88" t="s">
        <v>491</v>
      </c>
      <c r="E435" s="87" t="s">
        <v>428</v>
      </c>
      <c r="F435" s="88" t="s">
        <v>716</v>
      </c>
      <c r="G435" s="88" t="s">
        <v>717</v>
      </c>
      <c r="H435" s="87" t="s">
        <v>269</v>
      </c>
      <c r="I435" s="87" t="s">
        <v>250</v>
      </c>
      <c r="J435" s="88">
        <v>1</v>
      </c>
      <c r="K435" s="88">
        <v>1</v>
      </c>
      <c r="L435" s="88">
        <v>1</v>
      </c>
      <c r="M435" s="89">
        <v>46142</v>
      </c>
      <c r="N435" s="88">
        <v>0.25</v>
      </c>
      <c r="O435" s="90" t="s">
        <v>432</v>
      </c>
      <c r="Q435" s="91">
        <f t="shared" si="459"/>
        <v>18</v>
      </c>
      <c r="R435" s="91" t="str">
        <f t="shared" si="482"/>
        <v>Apr</v>
      </c>
      <c r="S435" s="92" t="str">
        <f t="shared" si="460"/>
        <v>Thursday</v>
      </c>
      <c r="T435" s="93" t="s">
        <v>237</v>
      </c>
      <c r="U435" s="94" t="s">
        <v>433</v>
      </c>
      <c r="W435" s="95">
        <v>0.25</v>
      </c>
      <c r="X435" s="96"/>
      <c r="Y435" s="97">
        <f t="shared" si="520"/>
        <v>46142</v>
      </c>
      <c r="Z435" s="98" t="str">
        <f>SUBSTITUTE('Digitas UK Task 26'!$O435, "Complet", "Not Requir")</f>
        <v>Not Required</v>
      </c>
      <c r="AA435" s="98" t="str">
        <f t="shared" si="511"/>
        <v xml:space="preserve">Trafficking Request - TEQ Q2 </v>
      </c>
      <c r="AB435" s="99"/>
      <c r="AF435" s="84" t="str">
        <f t="shared" si="481"/>
        <v/>
      </c>
      <c r="AH435" s="84" t="str">
        <f t="shared" si="546"/>
        <v>PL_1_CR_1_AD_1_Jira_0_</v>
      </c>
      <c r="AI435" s="84" t="str">
        <f t="shared" si="545"/>
        <v>PL_1_CR_1_AD_1_Jira_0_</v>
      </c>
      <c r="AJ435" s="84" t="str">
        <f>IF(Z435&lt;&gt;"Done","",(_xlfn.CONCAT("PL_",DigitasUKAdOp_26Team[[#This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36" spans="1:36" ht="15.75" customHeight="1" x14ac:dyDescent="0.3">
      <c r="A436" s="85" t="str">
        <f t="shared" ref="A436:A437" si="554">IF(B436="","",TEXT(B436,"MMM : DDDD"))</f>
        <v>Apr : Thursday</v>
      </c>
      <c r="B436" s="86">
        <v>46142</v>
      </c>
      <c r="C436" s="87" t="s">
        <v>43</v>
      </c>
      <c r="D436" s="88" t="s">
        <v>481</v>
      </c>
      <c r="E436" s="87" t="s">
        <v>428</v>
      </c>
      <c r="F436" s="88" t="s">
        <v>450</v>
      </c>
      <c r="G436" s="88" t="s">
        <v>715</v>
      </c>
      <c r="H436" s="87" t="s">
        <v>244</v>
      </c>
      <c r="I436" s="87" t="s">
        <v>237</v>
      </c>
      <c r="J436" s="88">
        <v>20</v>
      </c>
      <c r="K436" s="88">
        <v>20</v>
      </c>
      <c r="L436" s="88">
        <v>20</v>
      </c>
      <c r="M436" s="89">
        <v>46142</v>
      </c>
      <c r="N436" s="88">
        <v>3</v>
      </c>
      <c r="O436" s="90" t="s">
        <v>432</v>
      </c>
      <c r="Q436" s="91">
        <f t="shared" ref="Q436:Q437" si="555">IF(B436="","",WEEKNUM(B436))</f>
        <v>18</v>
      </c>
      <c r="R436" s="91" t="str">
        <f t="shared" ref="R436:R437" si="556">IF(B436="","",TEXT(B436,"MMM"))</f>
        <v>Apr</v>
      </c>
      <c r="S436" s="92" t="str">
        <f t="shared" ref="S436:S437" si="557">IF(B436="","",TEXT(B436,"DDDD"))</f>
        <v>Thursday</v>
      </c>
      <c r="T436" s="93" t="s">
        <v>246</v>
      </c>
      <c r="U436" s="94" t="s">
        <v>433</v>
      </c>
      <c r="W436" s="95">
        <v>1.5</v>
      </c>
      <c r="X436" s="96"/>
      <c r="Y436" s="97">
        <f t="shared" ref="Y436:Y437" si="558">IF(M436="","",M436)</f>
        <v>46142</v>
      </c>
      <c r="Z436" s="98" t="str">
        <f>SUBSTITUTE('Digitas UK Task 26'!$O436, "Complet", "Not Requir")</f>
        <v>Not Required</v>
      </c>
      <c r="AA436" s="98" t="str">
        <f t="shared" ref="AA436:AA437" si="559">IF(G436="","",G436)</f>
        <v>Crocs - S2 - local classics - trafficking</v>
      </c>
      <c r="AB436" s="99"/>
      <c r="AF436" s="84" t="str">
        <f t="shared" ref="AF436:AF437" si="560">IF(AD436="","",WEEKNUM(AD436))</f>
        <v/>
      </c>
      <c r="AH436" s="84" t="str">
        <f t="shared" si="546"/>
        <v>PL_20_CR_20_AD_20_Jira_0_</v>
      </c>
      <c r="AI436" s="84" t="str">
        <f t="shared" ref="AI436:AI437" si="561">IF(U436&lt;&gt;"Done","",_xlfn.CONCAT("PL_",J436,"_CR_",K436,"_AD_",L436,"_Jira_",IF(AND(C436="P&amp;G",ISNUMBER(SEARCH("TAAGPNG-",G436))),MID(G436,SEARCH("TAAGPNG-",G436)+8,LEN(G436)-SEARCH("TAAGPNG-",G436)-7),"0"),"_"))</f>
        <v>PL_20_CR_20_AD_20_Jira_0_</v>
      </c>
      <c r="AJ436" s="84" t="str">
        <f>IF(Z436&lt;&gt;"Done","",(_xlfn.CONCAT("PL_",DigitasUKAdOp_26Team[[#This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37" spans="1:36" ht="15.75" customHeight="1" x14ac:dyDescent="0.3">
      <c r="A437" s="85" t="str">
        <f t="shared" si="554"/>
        <v>Apr : Thursday</v>
      </c>
      <c r="B437" s="86">
        <v>46142</v>
      </c>
      <c r="C437" s="87" t="s">
        <v>43</v>
      </c>
      <c r="D437" s="88" t="s">
        <v>481</v>
      </c>
      <c r="E437" s="87" t="s">
        <v>428</v>
      </c>
      <c r="F437" s="88" t="s">
        <v>450</v>
      </c>
      <c r="G437" s="88" t="s">
        <v>715</v>
      </c>
      <c r="H437" s="87" t="s">
        <v>443</v>
      </c>
      <c r="I437" s="87" t="s">
        <v>237</v>
      </c>
      <c r="J437" s="88">
        <v>0</v>
      </c>
      <c r="K437" s="88">
        <v>0</v>
      </c>
      <c r="L437" s="88">
        <v>0</v>
      </c>
      <c r="M437" s="89">
        <v>46142</v>
      </c>
      <c r="N437" s="88">
        <v>1.5</v>
      </c>
      <c r="O437" s="90" t="s">
        <v>432</v>
      </c>
      <c r="Q437" s="91">
        <f t="shared" si="555"/>
        <v>18</v>
      </c>
      <c r="R437" s="91" t="str">
        <f t="shared" si="556"/>
        <v>Apr</v>
      </c>
      <c r="S437" s="92" t="str">
        <f t="shared" si="557"/>
        <v>Thursday</v>
      </c>
      <c r="T437" s="93" t="s">
        <v>237</v>
      </c>
      <c r="U437" s="94" t="s">
        <v>444</v>
      </c>
      <c r="W437" s="95">
        <v>0</v>
      </c>
      <c r="X437" s="96"/>
      <c r="Y437" s="97">
        <f t="shared" si="558"/>
        <v>46142</v>
      </c>
      <c r="Z437" s="98" t="str">
        <f>SUBSTITUTE('Digitas UK Task 26'!$O437, "Complet", "Not Requir")</f>
        <v>Not Required</v>
      </c>
      <c r="AA437" s="98" t="str">
        <f t="shared" si="559"/>
        <v>Crocs - S2 - local classics - trafficking</v>
      </c>
      <c r="AB437" s="99"/>
      <c r="AF437" s="84" t="str">
        <f t="shared" si="560"/>
        <v/>
      </c>
      <c r="AH437" s="84" t="str">
        <f t="shared" si="546"/>
        <v>PL_0_CR_0_AD_0_Jira_0_</v>
      </c>
      <c r="AI437" s="84" t="str">
        <f t="shared" si="561"/>
        <v/>
      </c>
      <c r="AJ437" s="84" t="str">
        <f>IF(Z437&lt;&gt;"Done","",(_xlfn.CONCAT("PL_",DigitasUKAdOp_26Team[[#This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38" spans="1:36" ht="15.75" customHeight="1" x14ac:dyDescent="0.3">
      <c r="A438" s="85" t="str">
        <f t="shared" ref="A438" si="562">IF(B438="","",TEXT(B438,"MMM : DDDD"))</f>
        <v>May : Friday</v>
      </c>
      <c r="B438" s="86">
        <v>46143</v>
      </c>
      <c r="C438" s="87" t="s">
        <v>43</v>
      </c>
      <c r="D438" s="88" t="s">
        <v>481</v>
      </c>
      <c r="E438" s="87" t="s">
        <v>428</v>
      </c>
      <c r="F438" s="88" t="s">
        <v>450</v>
      </c>
      <c r="G438" s="88" t="s">
        <v>715</v>
      </c>
      <c r="H438" s="87" t="s">
        <v>443</v>
      </c>
      <c r="I438" s="87" t="s">
        <v>237</v>
      </c>
      <c r="J438" s="88">
        <v>0</v>
      </c>
      <c r="K438" s="88">
        <v>0</v>
      </c>
      <c r="L438" s="88">
        <v>0</v>
      </c>
      <c r="M438" s="89">
        <v>46142</v>
      </c>
      <c r="N438" s="88">
        <v>1</v>
      </c>
      <c r="O438" s="90" t="s">
        <v>432</v>
      </c>
      <c r="Q438" s="91">
        <f t="shared" ref="Q438" si="563">IF(B438="","",WEEKNUM(B438))</f>
        <v>18</v>
      </c>
      <c r="R438" s="91" t="str">
        <f t="shared" ref="R438" si="564">IF(B438="","",TEXT(B438,"MMM"))</f>
        <v>May</v>
      </c>
      <c r="S438" s="92" t="str">
        <f t="shared" ref="S438" si="565">IF(B438="","",TEXT(B438,"DDDD"))</f>
        <v>Friday</v>
      </c>
      <c r="T438" s="93" t="s">
        <v>237</v>
      </c>
      <c r="U438" s="94" t="s">
        <v>444</v>
      </c>
      <c r="W438" s="95">
        <v>0</v>
      </c>
      <c r="X438" s="96"/>
      <c r="Y438" s="97">
        <f t="shared" ref="Y438" si="566">IF(M438="","",M438)</f>
        <v>46142</v>
      </c>
      <c r="Z438" s="98" t="str">
        <f>SUBSTITUTE('Digitas UK Task 26'!$O438, "Complet", "Not Requir")</f>
        <v>Not Required</v>
      </c>
      <c r="AA438" s="98" t="str">
        <f t="shared" ref="AA438" si="567">IF(G438="","",G438)</f>
        <v>Crocs - S2 - local classics - trafficking</v>
      </c>
      <c r="AB438" s="99"/>
      <c r="AF438" s="84" t="str">
        <f t="shared" ref="AF438" si="568">IF(AD438="","",WEEKNUM(AD438))</f>
        <v/>
      </c>
      <c r="AH438" s="84" t="str">
        <f t="shared" si="546"/>
        <v>PL_0_CR_0_AD_0_Jira_0_</v>
      </c>
      <c r="AI438" s="84" t="str">
        <f t="shared" ref="AI438" si="569">IF(U438&lt;&gt;"Done","",_xlfn.CONCAT("PL_",J438,"_CR_",K438,"_AD_",L438,"_Jira_",IF(AND(C438="P&amp;G",ISNUMBER(SEARCH("TAAGPNG-",G438))),MID(G438,SEARCH("TAAGPNG-",G438)+8,LEN(G438)-SEARCH("TAAGPNG-",G438)-7),"0"),"_"))</f>
        <v/>
      </c>
      <c r="AJ438" s="84" t="str">
        <f>IF(Z438&lt;&gt;"Done","",(_xlfn.CONCAT("PL_",DigitasUKAdOp_26Team[[#This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39" spans="1:36" ht="15.75" customHeight="1" x14ac:dyDescent="0.3">
      <c r="A439" s="85" t="str">
        <f t="shared" si="510"/>
        <v>May : Monday</v>
      </c>
      <c r="B439" s="86">
        <v>46146</v>
      </c>
      <c r="C439" s="87" t="s">
        <v>43</v>
      </c>
      <c r="D439" s="88" t="s">
        <v>481</v>
      </c>
      <c r="E439" s="87" t="s">
        <v>428</v>
      </c>
      <c r="F439" s="88" t="s">
        <v>718</v>
      </c>
      <c r="G439" s="88" t="s">
        <v>715</v>
      </c>
      <c r="H439" s="87" t="s">
        <v>269</v>
      </c>
      <c r="I439" s="87" t="s">
        <v>431</v>
      </c>
      <c r="J439" s="88">
        <v>1</v>
      </c>
      <c r="K439" s="88">
        <v>1</v>
      </c>
      <c r="L439" s="88">
        <v>1</v>
      </c>
      <c r="M439" s="89">
        <v>46146</v>
      </c>
      <c r="N439" s="88">
        <v>0.5</v>
      </c>
      <c r="O439" s="90" t="s">
        <v>432</v>
      </c>
      <c r="Q439" s="91">
        <f t="shared" si="459"/>
        <v>19</v>
      </c>
      <c r="R439" s="91" t="str">
        <f t="shared" si="482"/>
        <v>May</v>
      </c>
      <c r="S439" s="92" t="str">
        <f t="shared" si="460"/>
        <v>Monday</v>
      </c>
      <c r="T439" s="93" t="s">
        <v>237</v>
      </c>
      <c r="U439" s="94" t="s">
        <v>433</v>
      </c>
      <c r="W439" s="95">
        <v>0.25</v>
      </c>
      <c r="X439" s="96"/>
      <c r="Y439" s="97">
        <f t="shared" si="520"/>
        <v>46146</v>
      </c>
      <c r="Z439" s="98" t="str">
        <f>SUBSTITUTE('Digitas UK Task 26'!$O439, "Complet", "Not Requir")</f>
        <v>Not Required</v>
      </c>
      <c r="AA439" s="98" t="str">
        <f t="shared" si="511"/>
        <v>Crocs - S2 - local classics - trafficking</v>
      </c>
      <c r="AB439" s="99"/>
      <c r="AF439" s="84" t="str">
        <f t="shared" si="481"/>
        <v/>
      </c>
      <c r="AH439" s="84" t="str">
        <f t="shared" si="546"/>
        <v>PL_1_CR_1_AD_1_Jira_0_</v>
      </c>
      <c r="AI439" s="84" t="str">
        <f t="shared" ref="AI439:AI502" si="570">IF(U439&lt;&gt;"Done","",_xlfn.CONCAT("PL_",J439,"_CR_",K439,"_AD_",L439,"_Jira_",IF(AND(C439="P&amp;G",ISNUMBER(SEARCH("TAAGPNG-",G439))),MID(G439,SEARCH("TAAGPNG-",G439)+8,LEN(G439)-SEARCH("TAAGPNG-",G439)-7),"0"),"_"))</f>
        <v>PL_1_CR_1_AD_1_Jira_0_</v>
      </c>
      <c r="AJ439" s="84" t="str">
        <f>IF(Z439&lt;&gt;"Done","",(_xlfn.CONCAT("PL_",DigitasUKAdOp_26Team[[#This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40" spans="1:36" ht="15.75" customHeight="1" x14ac:dyDescent="0.3">
      <c r="A440" s="85" t="str">
        <f t="shared" si="510"/>
        <v>May : Monday</v>
      </c>
      <c r="B440" s="86">
        <v>46146</v>
      </c>
      <c r="C440" s="87" t="s">
        <v>43</v>
      </c>
      <c r="D440" s="88" t="s">
        <v>481</v>
      </c>
      <c r="E440" s="87" t="s">
        <v>428</v>
      </c>
      <c r="F440" s="88" t="s">
        <v>719</v>
      </c>
      <c r="G440" s="88" t="s">
        <v>715</v>
      </c>
      <c r="H440" s="87" t="s">
        <v>269</v>
      </c>
      <c r="I440" s="87" t="s">
        <v>431</v>
      </c>
      <c r="J440" s="88">
        <v>1</v>
      </c>
      <c r="K440" s="88">
        <v>1</v>
      </c>
      <c r="L440" s="88">
        <v>1</v>
      </c>
      <c r="M440" s="89">
        <v>46146</v>
      </c>
      <c r="N440" s="88">
        <v>0.5</v>
      </c>
      <c r="O440" s="90" t="s">
        <v>432</v>
      </c>
      <c r="Q440" s="91">
        <f t="shared" si="459"/>
        <v>19</v>
      </c>
      <c r="R440" s="91" t="str">
        <f t="shared" si="482"/>
        <v>May</v>
      </c>
      <c r="S440" s="92" t="str">
        <f t="shared" si="460"/>
        <v>Monday</v>
      </c>
      <c r="T440" s="93" t="s">
        <v>237</v>
      </c>
      <c r="U440" s="94" t="s">
        <v>433</v>
      </c>
      <c r="W440" s="95">
        <v>0.25</v>
      </c>
      <c r="X440" s="96"/>
      <c r="Y440" s="97">
        <f t="shared" si="520"/>
        <v>46146</v>
      </c>
      <c r="Z440" s="98" t="str">
        <f>SUBSTITUTE('Digitas UK Task 26'!$O440, "Complet", "Not Requir")</f>
        <v>Not Required</v>
      </c>
      <c r="AA440" s="98" t="str">
        <f t="shared" si="511"/>
        <v>Crocs - S2 - local classics - trafficking</v>
      </c>
      <c r="AB440" s="99"/>
      <c r="AF440" s="84" t="str">
        <f t="shared" si="481"/>
        <v/>
      </c>
      <c r="AH440" s="84" t="str">
        <f t="shared" si="546"/>
        <v>PL_1_CR_1_AD_1_Jira_0_</v>
      </c>
      <c r="AI440" s="84" t="str">
        <f t="shared" si="570"/>
        <v>PL_1_CR_1_AD_1_Jira_0_</v>
      </c>
      <c r="AJ440" s="84" t="str">
        <f>IF(Z440&lt;&gt;"Done","",(_xlfn.CONCAT("PL_",DigitasUKAdOp_26Team[[#This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41" spans="1:36" ht="15.75" customHeight="1" x14ac:dyDescent="0.3">
      <c r="A441" s="85" t="str">
        <f t="shared" ref="A441" si="571">IF(B441="","",TEXT(B441,"MMM : DDDD"))</f>
        <v>May : Monday</v>
      </c>
      <c r="B441" s="86">
        <v>46146</v>
      </c>
      <c r="C441" s="87" t="s">
        <v>43</v>
      </c>
      <c r="D441" s="88" t="s">
        <v>481</v>
      </c>
      <c r="E441" s="87" t="s">
        <v>428</v>
      </c>
      <c r="F441" s="88" t="s">
        <v>450</v>
      </c>
      <c r="G441" s="88" t="s">
        <v>715</v>
      </c>
      <c r="H441" s="87" t="s">
        <v>443</v>
      </c>
      <c r="I441" s="87" t="s">
        <v>250</v>
      </c>
      <c r="J441" s="88">
        <v>0</v>
      </c>
      <c r="K441" s="88">
        <v>0</v>
      </c>
      <c r="L441" s="88">
        <v>0</v>
      </c>
      <c r="M441" s="89">
        <v>46146</v>
      </c>
      <c r="N441" s="88">
        <v>0.5</v>
      </c>
      <c r="O441" s="90" t="s">
        <v>432</v>
      </c>
      <c r="P441" s="88" t="s">
        <v>720</v>
      </c>
      <c r="Q441" s="91">
        <f t="shared" si="459"/>
        <v>19</v>
      </c>
      <c r="R441" s="91" t="str">
        <f t="shared" si="482"/>
        <v>May</v>
      </c>
      <c r="S441" s="92" t="str">
        <f t="shared" si="460"/>
        <v>Monday</v>
      </c>
      <c r="T441" s="93" t="s">
        <v>250</v>
      </c>
      <c r="U441" s="94" t="s">
        <v>444</v>
      </c>
      <c r="W441" s="95">
        <v>0</v>
      </c>
      <c r="X441" s="96"/>
      <c r="Y441" s="97">
        <f t="shared" si="520"/>
        <v>46146</v>
      </c>
      <c r="Z441" s="98" t="str">
        <f>SUBSTITUTE('Digitas UK Task 26'!$O441, "Complet", "Not Requir")</f>
        <v>Not Required</v>
      </c>
      <c r="AA441" s="98" t="str">
        <f t="shared" si="511"/>
        <v>Crocs - S2 - local classics - trafficking</v>
      </c>
      <c r="AB441" s="99"/>
      <c r="AF441" s="84" t="str">
        <f t="shared" si="481"/>
        <v/>
      </c>
      <c r="AH441" s="84" t="str">
        <f t="shared" si="546"/>
        <v>PL_0_CR_0_AD_0_Jira_0_</v>
      </c>
      <c r="AI441" s="84" t="str">
        <f t="shared" si="570"/>
        <v/>
      </c>
      <c r="AJ441" s="84" t="str">
        <f>IF(Z441&lt;&gt;"Done","",(_xlfn.CONCAT("PL_",DigitasUKAdOp_26Team[[#This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42" spans="1:36" ht="15.75" customHeight="1" x14ac:dyDescent="0.3">
      <c r="A442" s="160" t="s">
        <v>734</v>
      </c>
      <c r="B442" s="161">
        <v>46146</v>
      </c>
      <c r="C442" s="162" t="s">
        <v>43</v>
      </c>
      <c r="D442" s="163" t="s">
        <v>481</v>
      </c>
      <c r="E442" s="163" t="s">
        <v>428</v>
      </c>
      <c r="F442" s="163" t="s">
        <v>450</v>
      </c>
      <c r="G442" s="163" t="s">
        <v>715</v>
      </c>
      <c r="H442" s="163" t="s">
        <v>443</v>
      </c>
      <c r="I442" s="163" t="s">
        <v>250</v>
      </c>
      <c r="J442" s="163">
        <v>0</v>
      </c>
      <c r="K442" s="163">
        <v>0</v>
      </c>
      <c r="L442" s="163">
        <v>0</v>
      </c>
      <c r="M442" s="161">
        <v>46146</v>
      </c>
      <c r="N442" s="163">
        <v>0.5</v>
      </c>
      <c r="O442" s="164" t="s">
        <v>432</v>
      </c>
      <c r="P442" s="163" t="s">
        <v>720</v>
      </c>
      <c r="Q442" s="165">
        <v>19</v>
      </c>
      <c r="R442" s="165" t="s">
        <v>735</v>
      </c>
      <c r="S442" s="165" t="s">
        <v>736</v>
      </c>
      <c r="T442" s="166" t="s">
        <v>250</v>
      </c>
      <c r="U442" s="167" t="s">
        <v>444</v>
      </c>
      <c r="V442" s="166"/>
      <c r="W442" s="166">
        <v>0</v>
      </c>
      <c r="X442" s="96"/>
      <c r="Y442" s="97">
        <f t="shared" si="520"/>
        <v>46146</v>
      </c>
      <c r="Z442" s="98" t="str">
        <f>SUBSTITUTE('Digitas UK Task 26'!$O442, "Complet", "Not Requir")</f>
        <v>Not Required</v>
      </c>
      <c r="AA442" s="98" t="str">
        <f t="shared" si="511"/>
        <v>Crocs - S2 - local classics - trafficking</v>
      </c>
      <c r="AB442" s="99"/>
      <c r="AF442" s="84" t="str">
        <f t="shared" si="481"/>
        <v/>
      </c>
      <c r="AH442" s="84" t="str">
        <f t="shared" si="546"/>
        <v>PL_0_CR_0_AD_0_Jira_0_</v>
      </c>
      <c r="AI442" s="84" t="str">
        <f t="shared" si="570"/>
        <v/>
      </c>
      <c r="AJ442" s="84" t="str">
        <f>IF(Z442&lt;&gt;"Done","",(_xlfn.CONCAT("PL_",DigitasUKAdOp_26Team[[#This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43" spans="1:36" ht="15.75" customHeight="1" x14ac:dyDescent="0.3">
      <c r="A443" s="85" t="s">
        <v>737</v>
      </c>
      <c r="B443" s="86">
        <v>46147</v>
      </c>
      <c r="C443" s="87" t="s">
        <v>325</v>
      </c>
      <c r="D443" s="88" t="s">
        <v>491</v>
      </c>
      <c r="E443" s="87" t="s">
        <v>428</v>
      </c>
      <c r="F443" s="88" t="s">
        <v>738</v>
      </c>
      <c r="G443" s="88" t="s">
        <v>739</v>
      </c>
      <c r="H443" s="87" t="s">
        <v>269</v>
      </c>
      <c r="I443" s="87" t="s">
        <v>250</v>
      </c>
      <c r="J443" s="88">
        <v>288</v>
      </c>
      <c r="K443" s="88">
        <v>288</v>
      </c>
      <c r="L443" s="88">
        <v>288</v>
      </c>
      <c r="M443" s="89">
        <v>46147</v>
      </c>
      <c r="N443" s="88">
        <v>6</v>
      </c>
      <c r="O443" s="90" t="s">
        <v>432</v>
      </c>
      <c r="Q443" s="91">
        <v>19</v>
      </c>
      <c r="R443" s="91" t="s">
        <v>735</v>
      </c>
      <c r="S443" s="92" t="s">
        <v>740</v>
      </c>
      <c r="T443" s="93" t="s">
        <v>237</v>
      </c>
      <c r="U443" s="94" t="s">
        <v>433</v>
      </c>
      <c r="V443" s="95" t="s">
        <v>741</v>
      </c>
      <c r="W443" s="95">
        <v>5</v>
      </c>
      <c r="X443" s="96"/>
      <c r="Y443" s="97">
        <f t="shared" si="520"/>
        <v>46147</v>
      </c>
      <c r="Z443" s="98" t="str">
        <f>SUBSTITUTE('Digitas UK Task 26'!$O443, "Complet", "Not Requir")</f>
        <v>Not Required</v>
      </c>
      <c r="AA443" s="98" t="str">
        <f t="shared" si="511"/>
        <v xml:space="preserve">Trafficking Request - Summer Sale FY26 </v>
      </c>
      <c r="AB443" s="99"/>
      <c r="AF443" s="84" t="str">
        <f t="shared" si="481"/>
        <v/>
      </c>
      <c r="AH443" s="84" t="str">
        <f t="shared" si="546"/>
        <v>PL_288_CR_288_AD_288_Jira_0_</v>
      </c>
      <c r="AI443" s="84" t="str">
        <f t="shared" si="570"/>
        <v>PL_288_CR_288_AD_288_Jira_0_</v>
      </c>
      <c r="AJ443" s="84" t="str">
        <f>IF(Z443&lt;&gt;"Done","",(_xlfn.CONCAT("PL_",DigitasUKAdOp_26Team[[#This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44" spans="1:36" ht="15.75" customHeight="1" x14ac:dyDescent="0.3">
      <c r="A444" s="85" t="s">
        <v>737</v>
      </c>
      <c r="B444" s="86">
        <v>46147</v>
      </c>
      <c r="C444" s="87" t="s">
        <v>318</v>
      </c>
      <c r="D444" s="88" t="s">
        <v>435</v>
      </c>
      <c r="E444" s="87" t="s">
        <v>428</v>
      </c>
      <c r="F444" s="88" t="s">
        <v>742</v>
      </c>
      <c r="G444" s="88" t="s">
        <v>743</v>
      </c>
      <c r="H444" s="87" t="s">
        <v>269</v>
      </c>
      <c r="I444" s="87" t="s">
        <v>431</v>
      </c>
      <c r="J444" s="88">
        <v>4</v>
      </c>
      <c r="K444" s="88">
        <v>4</v>
      </c>
      <c r="L444" s="88">
        <v>4</v>
      </c>
      <c r="M444" s="89">
        <v>46147</v>
      </c>
      <c r="N444" s="88">
        <v>0.5</v>
      </c>
      <c r="O444" s="90" t="s">
        <v>432</v>
      </c>
      <c r="Q444" s="91">
        <v>19</v>
      </c>
      <c r="R444" s="91" t="s">
        <v>735</v>
      </c>
      <c r="S444" s="92" t="s">
        <v>740</v>
      </c>
      <c r="T444" s="93" t="s">
        <v>237</v>
      </c>
      <c r="U444" s="94" t="s">
        <v>433</v>
      </c>
      <c r="W444" s="95">
        <v>0.25</v>
      </c>
      <c r="X444" s="96"/>
      <c r="Y444" s="97">
        <f t="shared" si="520"/>
        <v>46147</v>
      </c>
      <c r="Z444" s="98" t="str">
        <f>SUBSTITUTE('Digitas UK Task 26'!$O444, "Complet", "Not Requir")</f>
        <v>Not Required</v>
      </c>
      <c r="AA444" s="98" t="str">
        <f t="shared" si="511"/>
        <v>WELLA | FY26Q4 RTU UK | TAG REQUEST</v>
      </c>
      <c r="AB444" s="99"/>
      <c r="AF444" s="84" t="str">
        <f t="shared" si="481"/>
        <v/>
      </c>
      <c r="AH444" s="84" t="str">
        <f t="shared" si="546"/>
        <v>PL_4_CR_4_AD_4_Jira_0_</v>
      </c>
      <c r="AI444" s="84" t="str">
        <f t="shared" si="570"/>
        <v>PL_4_CR_4_AD_4_Jira_0_</v>
      </c>
      <c r="AJ444" s="84" t="str">
        <f>IF(Z444&lt;&gt;"Done","",(_xlfn.CONCAT("PL_",DigitasUKAdOp_26Team[[#This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45" spans="1:36" ht="15.75" customHeight="1" x14ac:dyDescent="0.3">
      <c r="A445" s="85" t="s">
        <v>737</v>
      </c>
      <c r="B445" s="86">
        <v>46147</v>
      </c>
      <c r="C445" s="87" t="s">
        <v>318</v>
      </c>
      <c r="D445" s="88" t="s">
        <v>435</v>
      </c>
      <c r="E445" s="87" t="s">
        <v>428</v>
      </c>
      <c r="F445" s="88" t="s">
        <v>744</v>
      </c>
      <c r="G445" s="88" t="s">
        <v>743</v>
      </c>
      <c r="H445" s="87" t="s">
        <v>269</v>
      </c>
      <c r="I445" s="87" t="s">
        <v>431</v>
      </c>
      <c r="J445" s="88">
        <v>4</v>
      </c>
      <c r="K445" s="88">
        <v>4</v>
      </c>
      <c r="L445" s="88">
        <v>4</v>
      </c>
      <c r="M445" s="89">
        <v>46147</v>
      </c>
      <c r="N445" s="88">
        <v>0.5</v>
      </c>
      <c r="O445" s="90" t="s">
        <v>432</v>
      </c>
      <c r="Q445" s="91">
        <v>19</v>
      </c>
      <c r="R445" s="91" t="s">
        <v>735</v>
      </c>
      <c r="S445" s="92" t="s">
        <v>740</v>
      </c>
      <c r="T445" s="93" t="s">
        <v>237</v>
      </c>
      <c r="U445" s="94" t="s">
        <v>433</v>
      </c>
      <c r="W445" s="95">
        <v>0.25</v>
      </c>
      <c r="X445" s="96"/>
      <c r="Y445" s="97">
        <f t="shared" si="520"/>
        <v>46147</v>
      </c>
      <c r="Z445" s="98" t="str">
        <f>SUBSTITUTE('Digitas UK Task 26'!$O445, "Complet", "Not Requir")</f>
        <v>Not Required</v>
      </c>
      <c r="AA445" s="98" t="str">
        <f t="shared" si="511"/>
        <v>WELLA | FY26Q4 RTU UK | TAG REQUEST</v>
      </c>
      <c r="AB445" s="99"/>
      <c r="AF445" s="84" t="str">
        <f t="shared" si="481"/>
        <v/>
      </c>
      <c r="AH445" s="84" t="str">
        <f t="shared" si="546"/>
        <v>PL_4_CR_4_AD_4_Jira_0_</v>
      </c>
      <c r="AI445" s="84" t="str">
        <f t="shared" si="570"/>
        <v>PL_4_CR_4_AD_4_Jira_0_</v>
      </c>
      <c r="AJ445" s="84" t="str">
        <f>IF(Z445&lt;&gt;"Done","",(_xlfn.CONCAT("PL_",DigitasUKAdOp_26Team[[#This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46" spans="1:36" ht="15.75" customHeight="1" x14ac:dyDescent="0.3">
      <c r="A446" s="85" t="s">
        <v>737</v>
      </c>
      <c r="B446" s="86">
        <v>46147</v>
      </c>
      <c r="C446" s="87" t="s">
        <v>325</v>
      </c>
      <c r="D446" s="88" t="s">
        <v>491</v>
      </c>
      <c r="E446" s="87" t="s">
        <v>428</v>
      </c>
      <c r="F446" s="88" t="s">
        <v>738</v>
      </c>
      <c r="G446" s="88" t="s">
        <v>739</v>
      </c>
      <c r="H446" s="87" t="s">
        <v>443</v>
      </c>
      <c r="I446" s="87" t="s">
        <v>250</v>
      </c>
      <c r="J446" s="88">
        <v>0</v>
      </c>
      <c r="K446" s="88">
        <v>0</v>
      </c>
      <c r="L446" s="88">
        <v>0</v>
      </c>
      <c r="M446" s="89">
        <v>46147</v>
      </c>
      <c r="N446" s="88">
        <v>1</v>
      </c>
      <c r="O446" s="90" t="s">
        <v>432</v>
      </c>
      <c r="Q446" s="91">
        <v>19</v>
      </c>
      <c r="R446" s="91" t="s">
        <v>735</v>
      </c>
      <c r="S446" s="92" t="s">
        <v>740</v>
      </c>
      <c r="T446" s="93" t="s">
        <v>250</v>
      </c>
      <c r="U446" s="94" t="s">
        <v>444</v>
      </c>
      <c r="W446" s="95">
        <v>0</v>
      </c>
      <c r="X446" s="96"/>
      <c r="Y446" s="97">
        <f t="shared" si="520"/>
        <v>46147</v>
      </c>
      <c r="Z446" s="98" t="str">
        <f>SUBSTITUTE('Digitas UK Task 26'!$O446, "Complet", "Not Requir")</f>
        <v>Not Required</v>
      </c>
      <c r="AA446" s="98" t="str">
        <f t="shared" si="511"/>
        <v xml:space="preserve">Trafficking Request - Summer Sale FY26 </v>
      </c>
      <c r="AB446" s="99"/>
      <c r="AF446" s="84" t="str">
        <f t="shared" si="481"/>
        <v/>
      </c>
      <c r="AH446" s="84" t="str">
        <f t="shared" si="546"/>
        <v>PL_0_CR_0_AD_0_Jira_0_</v>
      </c>
      <c r="AI446" s="84" t="str">
        <f t="shared" si="570"/>
        <v/>
      </c>
      <c r="AJ446" s="84" t="str">
        <f>IF(Z446&lt;&gt;"Done","",(_xlfn.CONCAT("PL_",DigitasUKAdOp_26Team[[#This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47" spans="1:36" ht="15.75" customHeight="1" x14ac:dyDescent="0.3">
      <c r="A447" s="85" t="s">
        <v>745</v>
      </c>
      <c r="B447" s="86">
        <v>46148</v>
      </c>
      <c r="C447" s="87" t="s">
        <v>318</v>
      </c>
      <c r="D447" s="88" t="s">
        <v>435</v>
      </c>
      <c r="E447" s="87" t="s">
        <v>428</v>
      </c>
      <c r="F447" s="88" t="s">
        <v>746</v>
      </c>
      <c r="G447" s="88" t="s">
        <v>747</v>
      </c>
      <c r="H447" s="87" t="s">
        <v>269</v>
      </c>
      <c r="I447" s="87" t="s">
        <v>431</v>
      </c>
      <c r="J447" s="88">
        <v>6</v>
      </c>
      <c r="K447" s="88">
        <v>6</v>
      </c>
      <c r="L447" s="88">
        <v>6</v>
      </c>
      <c r="M447" s="89">
        <v>46148</v>
      </c>
      <c r="N447" s="88">
        <v>0.5</v>
      </c>
      <c r="O447" s="90" t="s">
        <v>432</v>
      </c>
      <c r="Q447" s="91">
        <v>19</v>
      </c>
      <c r="R447" s="91" t="s">
        <v>735</v>
      </c>
      <c r="S447" s="92" t="s">
        <v>748</v>
      </c>
      <c r="T447" s="93" t="s">
        <v>250</v>
      </c>
      <c r="U447" s="94" t="s">
        <v>433</v>
      </c>
      <c r="W447" s="95">
        <v>0.25</v>
      </c>
      <c r="X447" s="96"/>
      <c r="Y447" s="97">
        <f t="shared" si="520"/>
        <v>46148</v>
      </c>
      <c r="Z447" s="98" t="str">
        <f>SUBSTITUTE('Digitas UK Task 26'!$O447, "Complet", "Not Requir")</f>
        <v>Not Required</v>
      </c>
      <c r="AA447" s="98" t="str">
        <f t="shared" si="511"/>
        <v>RE: WELLA | FY26Q4 RTU UK | TAG REQUEST</v>
      </c>
      <c r="AB447" s="99"/>
      <c r="AF447" s="84" t="str">
        <f t="shared" si="481"/>
        <v/>
      </c>
      <c r="AH447" s="84" t="str">
        <f t="shared" si="546"/>
        <v>PL_6_CR_6_AD_6_Jira_0_</v>
      </c>
      <c r="AI447" s="84" t="str">
        <f t="shared" si="570"/>
        <v>PL_6_CR_6_AD_6_Jira_0_</v>
      </c>
      <c r="AJ447" s="84" t="str">
        <f>IF(Z447&lt;&gt;"Done","",(_xlfn.CONCAT("PL_",DigitasUKAdOp_26Team[[#This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48" spans="1:36" ht="15.75" customHeight="1" x14ac:dyDescent="0.3">
      <c r="A448" s="85" t="s">
        <v>749</v>
      </c>
      <c r="B448" s="86">
        <v>46149</v>
      </c>
      <c r="C448" s="87" t="s">
        <v>43</v>
      </c>
      <c r="D448" s="88" t="s">
        <v>481</v>
      </c>
      <c r="E448" s="87" t="s">
        <v>428</v>
      </c>
      <c r="F448" s="88" t="s">
        <v>450</v>
      </c>
      <c r="G448" s="88" t="s">
        <v>750</v>
      </c>
      <c r="H448" s="87" t="s">
        <v>244</v>
      </c>
      <c r="I448" s="87" t="s">
        <v>237</v>
      </c>
      <c r="J448" s="88">
        <v>20</v>
      </c>
      <c r="K448" s="88">
        <v>20</v>
      </c>
      <c r="L448" s="88">
        <v>20</v>
      </c>
      <c r="M448" s="89">
        <v>46153</v>
      </c>
      <c r="N448" s="88">
        <v>3</v>
      </c>
      <c r="O448" s="90" t="s">
        <v>432</v>
      </c>
      <c r="P448" s="88" t="s">
        <v>493</v>
      </c>
      <c r="Q448" s="91">
        <v>19</v>
      </c>
      <c r="R448" s="91" t="s">
        <v>735</v>
      </c>
      <c r="S448" s="92" t="s">
        <v>751</v>
      </c>
      <c r="T448" s="93" t="s">
        <v>250</v>
      </c>
      <c r="U448" s="94" t="s">
        <v>433</v>
      </c>
      <c r="V448" s="95" t="s">
        <v>752</v>
      </c>
      <c r="W448" s="95">
        <v>2</v>
      </c>
      <c r="X448" s="96"/>
      <c r="Y448" s="97">
        <f t="shared" si="520"/>
        <v>46153</v>
      </c>
      <c r="Z448" s="98" t="str">
        <f>SUBSTITUTE('Digitas UK Task 26'!$O448, "Complet", "Not Requir")</f>
        <v>Not Required</v>
      </c>
      <c r="AA448" s="98" t="str">
        <f t="shared" si="511"/>
        <v>Crocs - S2 - C&amp;J iterations campaign trafficking</v>
      </c>
      <c r="AB448" s="99"/>
      <c r="AF448" s="84" t="str">
        <f t="shared" si="481"/>
        <v/>
      </c>
      <c r="AH448" s="84" t="str">
        <f t="shared" si="546"/>
        <v>PL_20_CR_20_AD_20_Jira_0_</v>
      </c>
      <c r="AI448" s="84" t="str">
        <f t="shared" si="570"/>
        <v>PL_20_CR_20_AD_20_Jira_0_</v>
      </c>
      <c r="AJ448" s="84" t="str">
        <f>IF(Z448&lt;&gt;"Done","",(_xlfn.CONCAT("PL_",DigitasUKAdOp_26Team[[#This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49" spans="1:36" ht="15.75" customHeight="1" x14ac:dyDescent="0.3">
      <c r="A449" s="85" t="s">
        <v>749</v>
      </c>
      <c r="B449" s="86">
        <v>46149</v>
      </c>
      <c r="C449" s="87" t="s">
        <v>334</v>
      </c>
      <c r="D449" s="88" t="s">
        <v>496</v>
      </c>
      <c r="E449" s="87" t="s">
        <v>428</v>
      </c>
      <c r="F449" s="88" t="s">
        <v>753</v>
      </c>
      <c r="G449" s="88" t="s">
        <v>754</v>
      </c>
      <c r="H449" s="87" t="s">
        <v>269</v>
      </c>
      <c r="I449" s="87" t="s">
        <v>250</v>
      </c>
      <c r="J449" s="88">
        <v>10</v>
      </c>
      <c r="K449" s="88">
        <v>10</v>
      </c>
      <c r="L449" s="88">
        <v>10</v>
      </c>
      <c r="M449" s="89">
        <v>46149</v>
      </c>
      <c r="N449" s="88">
        <v>0.5</v>
      </c>
      <c r="O449" s="90" t="s">
        <v>432</v>
      </c>
      <c r="Q449" s="91">
        <v>19</v>
      </c>
      <c r="R449" s="91" t="s">
        <v>735</v>
      </c>
      <c r="S449" s="92" t="s">
        <v>751</v>
      </c>
      <c r="T449" s="93" t="s">
        <v>237</v>
      </c>
      <c r="U449" s="94" t="s">
        <v>433</v>
      </c>
      <c r="W449" s="95">
        <v>0.5</v>
      </c>
      <c r="X449" s="96"/>
      <c r="Y449" s="97">
        <f t="shared" si="520"/>
        <v>46149</v>
      </c>
      <c r="Z449" s="98" t="str">
        <f>SUBSTITUTE('Digitas UK Task 26'!$O449, "Complet", "Not Requir")</f>
        <v>Not Required</v>
      </c>
      <c r="AA449" s="98" t="str">
        <f t="shared" si="511"/>
        <v>Klaviyo EMEA - Brand - FR - YT - Trafficking Request</v>
      </c>
      <c r="AB449" s="99"/>
      <c r="AF449" s="84" t="str">
        <f t="shared" si="481"/>
        <v/>
      </c>
      <c r="AH449" s="84" t="str">
        <f t="shared" si="546"/>
        <v>PL_10_CR_10_AD_10_Jira_0_</v>
      </c>
      <c r="AI449" s="84" t="str">
        <f t="shared" si="570"/>
        <v>PL_10_CR_10_AD_10_Jira_0_</v>
      </c>
      <c r="AJ449" s="84" t="str">
        <f>IF(Z449&lt;&gt;"Done","",(_xlfn.CONCAT("PL_",DigitasUKAdOp_26Team[[#This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50" spans="1:36" ht="15.75" customHeight="1" x14ac:dyDescent="0.3">
      <c r="A450" s="85" t="s">
        <v>749</v>
      </c>
      <c r="B450" s="86">
        <v>46149</v>
      </c>
      <c r="C450" s="87" t="s">
        <v>334</v>
      </c>
      <c r="D450" s="88" t="s">
        <v>496</v>
      </c>
      <c r="E450" s="87" t="s">
        <v>428</v>
      </c>
      <c r="F450" s="88" t="s">
        <v>707</v>
      </c>
      <c r="G450" s="88" t="s">
        <v>755</v>
      </c>
      <c r="H450" s="87" t="s">
        <v>269</v>
      </c>
      <c r="I450" s="87" t="s">
        <v>431</v>
      </c>
      <c r="J450" s="88">
        <v>18</v>
      </c>
      <c r="K450" s="88">
        <v>18</v>
      </c>
      <c r="L450" s="88">
        <v>18</v>
      </c>
      <c r="M450" s="89">
        <v>46149</v>
      </c>
      <c r="N450" s="88">
        <v>1</v>
      </c>
      <c r="O450" s="90" t="s">
        <v>432</v>
      </c>
      <c r="Q450" s="91">
        <v>19</v>
      </c>
      <c r="R450" s="91" t="s">
        <v>735</v>
      </c>
      <c r="S450" s="92" t="s">
        <v>751</v>
      </c>
      <c r="T450" s="93" t="s">
        <v>237</v>
      </c>
      <c r="U450" s="94" t="s">
        <v>433</v>
      </c>
      <c r="V450" s="95" t="s">
        <v>756</v>
      </c>
      <c r="W450" s="95">
        <v>1</v>
      </c>
      <c r="X450" s="96"/>
      <c r="Y450" s="97">
        <f t="shared" si="520"/>
        <v>46149</v>
      </c>
      <c r="Z450" s="98" t="str">
        <f>SUBSTITUTE('Digitas UK Task 26'!$O450, "Complet", "Not Requir")</f>
        <v>Not Required</v>
      </c>
      <c r="AA450" s="98" t="str">
        <f t="shared" si="511"/>
        <v>Klaviyo EMEA - Brand - UKI - YT - Trafficking Request</v>
      </c>
      <c r="AB450" s="99"/>
      <c r="AF450" s="84" t="str">
        <f t="shared" si="481"/>
        <v/>
      </c>
      <c r="AH450" s="84" t="str">
        <f t="shared" si="546"/>
        <v>PL_18_CR_18_AD_18_Jira_0_</v>
      </c>
      <c r="AI450" s="84" t="str">
        <f t="shared" si="570"/>
        <v>PL_18_CR_18_AD_18_Jira_0_</v>
      </c>
      <c r="AJ450" s="84" t="str">
        <f>IF(Z450&lt;&gt;"Done","",(_xlfn.CONCAT("PL_",DigitasUKAdOp_26Team[[#This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51" spans="1:36" ht="15.75" customHeight="1" x14ac:dyDescent="0.3">
      <c r="A451" s="85" t="s">
        <v>749</v>
      </c>
      <c r="B451" s="86">
        <v>46149</v>
      </c>
      <c r="C451" s="87" t="s">
        <v>334</v>
      </c>
      <c r="D451" s="88" t="s">
        <v>496</v>
      </c>
      <c r="E451" s="87" t="s">
        <v>428</v>
      </c>
      <c r="F451" s="88" t="s">
        <v>707</v>
      </c>
      <c r="G451" s="88" t="s">
        <v>755</v>
      </c>
      <c r="H451" s="87" t="s">
        <v>443</v>
      </c>
      <c r="I451" s="87" t="s">
        <v>431</v>
      </c>
      <c r="J451" s="88">
        <v>0</v>
      </c>
      <c r="K451" s="88">
        <v>0</v>
      </c>
      <c r="L451" s="88">
        <v>0</v>
      </c>
      <c r="M451" s="89">
        <v>46149</v>
      </c>
      <c r="N451" s="88">
        <v>0.5</v>
      </c>
      <c r="O451" s="90" t="s">
        <v>432</v>
      </c>
      <c r="Q451" s="91">
        <v>19</v>
      </c>
      <c r="R451" s="91" t="s">
        <v>735</v>
      </c>
      <c r="S451" s="92" t="s">
        <v>751</v>
      </c>
      <c r="T451" s="93" t="s">
        <v>431</v>
      </c>
      <c r="U451" s="94" t="s">
        <v>444</v>
      </c>
      <c r="W451" s="95">
        <v>0</v>
      </c>
      <c r="X451" s="96"/>
      <c r="Y451" s="97">
        <f t="shared" si="520"/>
        <v>46149</v>
      </c>
      <c r="Z451" s="98" t="str">
        <f>SUBSTITUTE('Digitas UK Task 26'!$O451, "Complet", "Not Requir")</f>
        <v>Not Required</v>
      </c>
      <c r="AA451" s="98" t="str">
        <f t="shared" si="511"/>
        <v>Klaviyo EMEA - Brand - UKI - YT - Trafficking Request</v>
      </c>
      <c r="AB451" s="99"/>
      <c r="AF451" s="84" t="str">
        <f t="shared" si="481"/>
        <v/>
      </c>
      <c r="AH451" s="84" t="str">
        <f t="shared" si="546"/>
        <v>PL_0_CR_0_AD_0_Jira_0_</v>
      </c>
      <c r="AI451" s="84" t="str">
        <f t="shared" si="570"/>
        <v/>
      </c>
      <c r="AJ451" s="84" t="str">
        <f>IF(Z451&lt;&gt;"Done","",(_xlfn.CONCAT("PL_",DigitasUKAdOp_26Team[[#This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52" spans="1:36" ht="15.75" customHeight="1" x14ac:dyDescent="0.3">
      <c r="A452" s="85" t="s">
        <v>749</v>
      </c>
      <c r="B452" s="86">
        <v>46149</v>
      </c>
      <c r="C452" s="87" t="s">
        <v>334</v>
      </c>
      <c r="D452" s="88" t="s">
        <v>496</v>
      </c>
      <c r="E452" s="87" t="s">
        <v>428</v>
      </c>
      <c r="F452" s="88" t="s">
        <v>753</v>
      </c>
      <c r="G452" s="88" t="s">
        <v>754</v>
      </c>
      <c r="H452" s="87" t="s">
        <v>443</v>
      </c>
      <c r="I452" s="87" t="s">
        <v>250</v>
      </c>
      <c r="J452" s="88">
        <v>0</v>
      </c>
      <c r="K452" s="88">
        <v>0</v>
      </c>
      <c r="L452" s="88">
        <v>0</v>
      </c>
      <c r="M452" s="89">
        <v>46149</v>
      </c>
      <c r="N452" s="88">
        <v>1</v>
      </c>
      <c r="O452" s="90" t="s">
        <v>432</v>
      </c>
      <c r="Q452" s="91">
        <v>19</v>
      </c>
      <c r="R452" s="91" t="s">
        <v>735</v>
      </c>
      <c r="S452" s="92" t="s">
        <v>751</v>
      </c>
      <c r="T452" s="93" t="s">
        <v>250</v>
      </c>
      <c r="U452" s="94" t="s">
        <v>444</v>
      </c>
      <c r="W452" s="95">
        <v>0</v>
      </c>
      <c r="X452" s="96"/>
      <c r="Y452" s="97">
        <f t="shared" si="520"/>
        <v>46149</v>
      </c>
      <c r="Z452" s="98" t="str">
        <f>SUBSTITUTE('Digitas UK Task 26'!$O452, "Complet", "Not Requir")</f>
        <v>Not Required</v>
      </c>
      <c r="AA452" s="98" t="str">
        <f t="shared" si="511"/>
        <v>Klaviyo EMEA - Brand - FR - YT - Trafficking Request</v>
      </c>
      <c r="AB452" s="99"/>
      <c r="AF452" s="84" t="str">
        <f t="shared" si="481"/>
        <v/>
      </c>
      <c r="AH452" s="84" t="str">
        <f t="shared" si="546"/>
        <v>PL_0_CR_0_AD_0_Jira_0_</v>
      </c>
      <c r="AI452" s="84" t="str">
        <f t="shared" si="570"/>
        <v/>
      </c>
      <c r="AJ452" s="84" t="str">
        <f>IF(Z452&lt;&gt;"Done","",(_xlfn.CONCAT("PL_",DigitasUKAdOp_26Team[[#This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53" spans="1:36" ht="15.75" customHeight="1" x14ac:dyDescent="0.3">
      <c r="A453" s="85" t="s">
        <v>749</v>
      </c>
      <c r="B453" s="86">
        <v>46149</v>
      </c>
      <c r="C453" s="87" t="s">
        <v>43</v>
      </c>
      <c r="D453" s="88" t="s">
        <v>481</v>
      </c>
      <c r="E453" s="87" t="s">
        <v>428</v>
      </c>
      <c r="F453" s="88" t="s">
        <v>450</v>
      </c>
      <c r="G453" s="88" t="s">
        <v>750</v>
      </c>
      <c r="H453" s="87" t="s">
        <v>443</v>
      </c>
      <c r="I453" s="87" t="s">
        <v>237</v>
      </c>
      <c r="J453" s="88">
        <v>0</v>
      </c>
      <c r="K453" s="88">
        <v>0</v>
      </c>
      <c r="L453" s="88">
        <v>0</v>
      </c>
      <c r="M453" s="89">
        <v>46149</v>
      </c>
      <c r="N453" s="88">
        <v>1.5</v>
      </c>
      <c r="O453" s="90" t="s">
        <v>432</v>
      </c>
      <c r="Q453" s="91">
        <v>19</v>
      </c>
      <c r="R453" s="91" t="s">
        <v>735</v>
      </c>
      <c r="S453" s="92" t="s">
        <v>751</v>
      </c>
      <c r="T453" s="93" t="s">
        <v>237</v>
      </c>
      <c r="U453" s="94" t="s">
        <v>444</v>
      </c>
      <c r="W453" s="95">
        <v>0</v>
      </c>
      <c r="X453" s="96"/>
      <c r="Y453" s="97">
        <f t="shared" si="520"/>
        <v>46149</v>
      </c>
      <c r="Z453" s="98" t="str">
        <f>SUBSTITUTE('Digitas UK Task 26'!$O453, "Complet", "Not Requir")</f>
        <v>Not Required</v>
      </c>
      <c r="AA453" s="98" t="str">
        <f t="shared" si="511"/>
        <v>Crocs - S2 - C&amp;J iterations campaign trafficking</v>
      </c>
      <c r="AB453" s="99"/>
      <c r="AF453" s="84" t="str">
        <f t="shared" si="481"/>
        <v/>
      </c>
      <c r="AH453" s="84" t="str">
        <f t="shared" si="546"/>
        <v>PL_0_CR_0_AD_0_Jira_0_</v>
      </c>
      <c r="AI453" s="84" t="str">
        <f t="shared" si="570"/>
        <v/>
      </c>
      <c r="AJ453" s="84" t="str">
        <f>IF(Z453&lt;&gt;"Done","",(_xlfn.CONCAT("PL_",DigitasUKAdOp_26Team[[#This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54" spans="1:36" ht="15.75" customHeight="1" x14ac:dyDescent="0.3">
      <c r="A454" s="85" t="s">
        <v>757</v>
      </c>
      <c r="B454" s="86">
        <v>46150</v>
      </c>
      <c r="C454" s="87" t="s">
        <v>325</v>
      </c>
      <c r="D454" s="88" t="s">
        <v>758</v>
      </c>
      <c r="E454" s="87" t="s">
        <v>428</v>
      </c>
      <c r="F454" s="88" t="s">
        <v>565</v>
      </c>
      <c r="G454" s="88" t="s">
        <v>759</v>
      </c>
      <c r="H454" s="87" t="s">
        <v>269</v>
      </c>
      <c r="I454" s="87" t="s">
        <v>250</v>
      </c>
      <c r="J454" s="88">
        <v>50</v>
      </c>
      <c r="K454" s="88">
        <v>50</v>
      </c>
      <c r="L454" s="88">
        <v>50</v>
      </c>
      <c r="M454" s="89">
        <v>46150</v>
      </c>
      <c r="N454" s="88">
        <v>2</v>
      </c>
      <c r="O454" s="90" t="s">
        <v>432</v>
      </c>
      <c r="Q454" s="91">
        <v>19</v>
      </c>
      <c r="R454" s="91" t="s">
        <v>735</v>
      </c>
      <c r="S454" s="92" t="s">
        <v>760</v>
      </c>
      <c r="T454" s="93" t="s">
        <v>237</v>
      </c>
      <c r="U454" s="94" t="s">
        <v>433</v>
      </c>
      <c r="W454" s="95">
        <v>1</v>
      </c>
      <c r="X454" s="96"/>
      <c r="Y454" s="97">
        <f t="shared" si="520"/>
        <v>46150</v>
      </c>
      <c r="Z454" s="98" t="str">
        <f>SUBSTITUTE('Digitas UK Task 26'!$O454, "Complet", "Not Requir")</f>
        <v>Not Required</v>
      </c>
      <c r="AA454" s="98" t="str">
        <f t="shared" si="511"/>
        <v>Choose Cathay Trafficking</v>
      </c>
      <c r="AB454" s="99"/>
      <c r="AF454" s="84" t="str">
        <f t="shared" si="481"/>
        <v/>
      </c>
      <c r="AH454" s="84" t="str">
        <f t="shared" si="546"/>
        <v>PL_50_CR_50_AD_50_Jira_0_</v>
      </c>
      <c r="AI454" s="84" t="str">
        <f t="shared" si="570"/>
        <v>PL_50_CR_50_AD_50_Jira_0_</v>
      </c>
      <c r="AJ454" s="84" t="str">
        <f>IF(Z454&lt;&gt;"Done","",(_xlfn.CONCAT("PL_",DigitasUKAdOp_26Team[[#This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55" spans="1:36" ht="15.75" customHeight="1" x14ac:dyDescent="0.3">
      <c r="A455" s="85" t="s">
        <v>757</v>
      </c>
      <c r="B455" s="86">
        <v>46150</v>
      </c>
      <c r="C455" s="87" t="s">
        <v>325</v>
      </c>
      <c r="D455" s="88" t="s">
        <v>758</v>
      </c>
      <c r="E455" s="87" t="s">
        <v>428</v>
      </c>
      <c r="F455" s="88" t="s">
        <v>565</v>
      </c>
      <c r="G455" s="88" t="s">
        <v>759</v>
      </c>
      <c r="H455" s="87" t="s">
        <v>443</v>
      </c>
      <c r="I455" s="87" t="s">
        <v>250</v>
      </c>
      <c r="J455" s="88">
        <v>0</v>
      </c>
      <c r="K455" s="88">
        <v>0</v>
      </c>
      <c r="L455" s="88">
        <v>0</v>
      </c>
      <c r="M455" s="89">
        <v>46150</v>
      </c>
      <c r="N455" s="88">
        <v>0.5</v>
      </c>
      <c r="O455" s="90" t="s">
        <v>432</v>
      </c>
      <c r="Q455" s="91">
        <v>19</v>
      </c>
      <c r="R455" s="91" t="s">
        <v>735</v>
      </c>
      <c r="S455" s="92" t="s">
        <v>760</v>
      </c>
      <c r="T455" s="93" t="s">
        <v>250</v>
      </c>
      <c r="U455" s="94" t="s">
        <v>444</v>
      </c>
      <c r="W455" s="95">
        <v>0</v>
      </c>
      <c r="X455" s="96"/>
      <c r="Y455" s="97">
        <f t="shared" si="520"/>
        <v>46150</v>
      </c>
      <c r="Z455" s="98" t="str">
        <f>SUBSTITUTE('Digitas UK Task 26'!$O455, "Complet", "Not Requir")</f>
        <v>Not Required</v>
      </c>
      <c r="AA455" s="98" t="str">
        <f t="shared" si="511"/>
        <v>Choose Cathay Trafficking</v>
      </c>
      <c r="AB455" s="99"/>
      <c r="AF455" s="84" t="str">
        <f t="shared" si="481"/>
        <v/>
      </c>
      <c r="AH455" s="84" t="str">
        <f t="shared" si="546"/>
        <v>PL_0_CR_0_AD_0_Jira_0_</v>
      </c>
      <c r="AI455" s="84" t="str">
        <f t="shared" si="570"/>
        <v/>
      </c>
      <c r="AJ455" s="84" t="str">
        <f>IF(Z455&lt;&gt;"Done","",(_xlfn.CONCAT("PL_",DigitasUKAdOp_26Team[[#This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56" spans="1:36" ht="15.75" customHeight="1" x14ac:dyDescent="0.3">
      <c r="A456" s="85" t="s">
        <v>757</v>
      </c>
      <c r="B456" s="86">
        <v>46150</v>
      </c>
      <c r="C456" s="87" t="s">
        <v>43</v>
      </c>
      <c r="D456" s="88" t="s">
        <v>481</v>
      </c>
      <c r="E456" s="87" t="s">
        <v>428</v>
      </c>
      <c r="F456" s="88" t="s">
        <v>450</v>
      </c>
      <c r="G456" s="88" t="s">
        <v>750</v>
      </c>
      <c r="H456" s="87" t="s">
        <v>443</v>
      </c>
      <c r="I456" s="87" t="s">
        <v>237</v>
      </c>
      <c r="J456" s="88">
        <v>0</v>
      </c>
      <c r="K456" s="88">
        <v>0</v>
      </c>
      <c r="L456" s="88">
        <v>0</v>
      </c>
      <c r="M456" s="89">
        <v>46149</v>
      </c>
      <c r="N456" s="88">
        <v>1</v>
      </c>
      <c r="O456" s="90" t="s">
        <v>432</v>
      </c>
      <c r="Q456" s="91">
        <v>19</v>
      </c>
      <c r="R456" s="91" t="s">
        <v>735</v>
      </c>
      <c r="S456" s="92" t="s">
        <v>760</v>
      </c>
      <c r="T456" s="93" t="s">
        <v>237</v>
      </c>
      <c r="U456" s="94" t="s">
        <v>444</v>
      </c>
      <c r="W456" s="95">
        <v>0</v>
      </c>
      <c r="X456" s="96"/>
      <c r="Y456" s="97">
        <f t="shared" si="520"/>
        <v>46149</v>
      </c>
      <c r="Z456" s="98" t="str">
        <f>SUBSTITUTE('Digitas UK Task 26'!$O456, "Complet", "Not Requir")</f>
        <v>Not Required</v>
      </c>
      <c r="AA456" s="98" t="str">
        <f t="shared" si="511"/>
        <v>Crocs - S2 - C&amp;J iterations campaign trafficking</v>
      </c>
      <c r="AB456" s="99"/>
      <c r="AF456" s="84" t="str">
        <f t="shared" si="481"/>
        <v/>
      </c>
      <c r="AH456" s="84" t="str">
        <f t="shared" si="546"/>
        <v>PL_0_CR_0_AD_0_Jira_0_</v>
      </c>
      <c r="AI456" s="84" t="str">
        <f t="shared" si="570"/>
        <v/>
      </c>
      <c r="AJ456" s="84" t="str">
        <f>IF(Z456&lt;&gt;"Done","",(_xlfn.CONCAT("PL_",DigitasUKAdOp_26Team[[#This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57" spans="1:36" ht="15.75" customHeight="1" x14ac:dyDescent="0.3">
      <c r="A457" s="85" t="s">
        <v>757</v>
      </c>
      <c r="B457" s="86">
        <v>46150</v>
      </c>
      <c r="C457" s="87" t="s">
        <v>43</v>
      </c>
      <c r="D457" s="88" t="s">
        <v>481</v>
      </c>
      <c r="E457" s="87" t="s">
        <v>428</v>
      </c>
      <c r="F457" s="88" t="s">
        <v>450</v>
      </c>
      <c r="G457" s="88" t="s">
        <v>750</v>
      </c>
      <c r="H457" s="87" t="s">
        <v>244</v>
      </c>
      <c r="I457" s="87" t="s">
        <v>237</v>
      </c>
      <c r="J457" s="88">
        <v>20</v>
      </c>
      <c r="K457" s="88">
        <v>20</v>
      </c>
      <c r="L457" s="88">
        <v>20</v>
      </c>
      <c r="M457" s="89">
        <v>46153</v>
      </c>
      <c r="N457" s="88">
        <v>1</v>
      </c>
      <c r="O457" s="90" t="s">
        <v>432</v>
      </c>
      <c r="P457" s="88" t="s">
        <v>493</v>
      </c>
      <c r="Q457" s="91">
        <v>19</v>
      </c>
      <c r="R457" s="91" t="s">
        <v>735</v>
      </c>
      <c r="S457" s="92" t="s">
        <v>760</v>
      </c>
      <c r="T457" s="93" t="s">
        <v>250</v>
      </c>
      <c r="U457" s="94" t="s">
        <v>433</v>
      </c>
      <c r="W457" s="95">
        <v>0.5</v>
      </c>
      <c r="X457" s="96"/>
      <c r="Y457" s="97">
        <f t="shared" si="520"/>
        <v>46153</v>
      </c>
      <c r="Z457" s="98" t="str">
        <f>SUBSTITUTE('Digitas UK Task 26'!$O457, "Complet", "Not Requir")</f>
        <v>Not Required</v>
      </c>
      <c r="AA457" s="98" t="str">
        <f t="shared" si="511"/>
        <v>Crocs - S2 - C&amp;J iterations campaign trafficking</v>
      </c>
      <c r="AB457" s="99"/>
      <c r="AF457" s="84" t="str">
        <f t="shared" si="481"/>
        <v/>
      </c>
      <c r="AH457" s="84" t="str">
        <f t="shared" si="546"/>
        <v>PL_20_CR_20_AD_20_Jira_0_</v>
      </c>
      <c r="AI457" s="84" t="str">
        <f t="shared" si="570"/>
        <v>PL_20_CR_20_AD_20_Jira_0_</v>
      </c>
      <c r="AJ457" s="84" t="str">
        <f>IF(Z457&lt;&gt;"Done","",(_xlfn.CONCAT("PL_",DigitasUKAdOp_26Team[[#This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58" spans="1:36" ht="15.75" customHeight="1" x14ac:dyDescent="0.3">
      <c r="A458" s="85" t="s">
        <v>734</v>
      </c>
      <c r="B458" s="86">
        <v>46153</v>
      </c>
      <c r="C458" s="87" t="s">
        <v>43</v>
      </c>
      <c r="D458" s="88" t="s">
        <v>481</v>
      </c>
      <c r="E458" s="87" t="s">
        <v>428</v>
      </c>
      <c r="F458" s="88" t="s">
        <v>649</v>
      </c>
      <c r="G458" s="88" t="s">
        <v>750</v>
      </c>
      <c r="H458" s="87" t="s">
        <v>269</v>
      </c>
      <c r="I458" s="87" t="s">
        <v>431</v>
      </c>
      <c r="J458" s="88">
        <v>2</v>
      </c>
      <c r="K458" s="88">
        <v>2</v>
      </c>
      <c r="L458" s="88">
        <v>2</v>
      </c>
      <c r="M458" s="89">
        <v>46153</v>
      </c>
      <c r="N458" s="88">
        <v>0.5</v>
      </c>
      <c r="O458" s="90" t="s">
        <v>432</v>
      </c>
      <c r="Q458" s="91">
        <v>20</v>
      </c>
      <c r="R458" s="91" t="s">
        <v>735</v>
      </c>
      <c r="S458" s="92" t="s">
        <v>736</v>
      </c>
      <c r="T458" s="93" t="s">
        <v>237</v>
      </c>
      <c r="U458" s="94" t="s">
        <v>433</v>
      </c>
      <c r="W458" s="95">
        <v>0.25</v>
      </c>
      <c r="X458" s="96"/>
      <c r="Y458" s="97">
        <f t="shared" si="520"/>
        <v>46153</v>
      </c>
      <c r="Z458" s="98" t="str">
        <f>SUBSTITUTE('Digitas UK Task 26'!$O458, "Complet", "Not Requir")</f>
        <v>Not Required</v>
      </c>
      <c r="AA458" s="98" t="str">
        <f t="shared" si="511"/>
        <v>Crocs - S2 - C&amp;J iterations campaign trafficking</v>
      </c>
      <c r="AB458" s="99"/>
      <c r="AF458" s="84" t="str">
        <f t="shared" si="481"/>
        <v/>
      </c>
      <c r="AH458" s="84" t="str">
        <f t="shared" si="546"/>
        <v>PL_2_CR_2_AD_2_Jira_0_</v>
      </c>
      <c r="AI458" s="84" t="str">
        <f t="shared" si="570"/>
        <v>PL_2_CR_2_AD_2_Jira_0_</v>
      </c>
      <c r="AJ458" s="84" t="str">
        <f>IF(Z458&lt;&gt;"Done","",(_xlfn.CONCAT("PL_",DigitasUKAdOp_26Team[[#This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59" spans="1:36" ht="15.75" customHeight="1" x14ac:dyDescent="0.3">
      <c r="A459" s="85" t="s">
        <v>734</v>
      </c>
      <c r="B459" s="86">
        <v>46153</v>
      </c>
      <c r="C459" s="87" t="s">
        <v>43</v>
      </c>
      <c r="D459" s="88" t="s">
        <v>481</v>
      </c>
      <c r="E459" s="87" t="s">
        <v>428</v>
      </c>
      <c r="F459" s="88" t="s">
        <v>650</v>
      </c>
      <c r="G459" s="88" t="s">
        <v>750</v>
      </c>
      <c r="H459" s="87" t="s">
        <v>269</v>
      </c>
      <c r="I459" s="87" t="s">
        <v>431</v>
      </c>
      <c r="J459" s="88">
        <v>1</v>
      </c>
      <c r="K459" s="88">
        <v>1</v>
      </c>
      <c r="L459" s="88">
        <v>1</v>
      </c>
      <c r="M459" s="89">
        <v>46153</v>
      </c>
      <c r="N459" s="88">
        <v>0.5</v>
      </c>
      <c r="O459" s="90" t="s">
        <v>432</v>
      </c>
      <c r="Q459" s="91">
        <v>20</v>
      </c>
      <c r="R459" s="91" t="s">
        <v>735</v>
      </c>
      <c r="S459" s="92" t="s">
        <v>736</v>
      </c>
      <c r="T459" s="93" t="s">
        <v>237</v>
      </c>
      <c r="U459" s="94" t="s">
        <v>433</v>
      </c>
      <c r="W459" s="95">
        <v>0.25</v>
      </c>
      <c r="X459" s="96"/>
      <c r="Y459" s="97">
        <f t="shared" si="520"/>
        <v>46153</v>
      </c>
      <c r="Z459" s="98" t="str">
        <f>SUBSTITUTE('Digitas UK Task 26'!$O459, "Complet", "Not Requir")</f>
        <v>Not Required</v>
      </c>
      <c r="AA459" s="98" t="str">
        <f t="shared" si="511"/>
        <v>Crocs - S2 - C&amp;J iterations campaign trafficking</v>
      </c>
      <c r="AB459" s="99"/>
      <c r="AF459" s="84" t="str">
        <f t="shared" si="481"/>
        <v/>
      </c>
      <c r="AH459" s="84" t="str">
        <f t="shared" si="546"/>
        <v>PL_1_CR_1_AD_1_Jira_0_</v>
      </c>
      <c r="AI459" s="84" t="str">
        <f t="shared" si="570"/>
        <v>PL_1_CR_1_AD_1_Jira_0_</v>
      </c>
      <c r="AJ459" s="84" t="str">
        <f>IF(Z459&lt;&gt;"Done","",(_xlfn.CONCAT("PL_",DigitasUKAdOp_26Team[[#This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60" spans="1:36" ht="15.75" customHeight="1" x14ac:dyDescent="0.3">
      <c r="A460" s="85" t="s">
        <v>734</v>
      </c>
      <c r="B460" s="86">
        <v>46153</v>
      </c>
      <c r="C460" s="87" t="s">
        <v>43</v>
      </c>
      <c r="D460" s="88" t="s">
        <v>481</v>
      </c>
      <c r="E460" s="87" t="s">
        <v>428</v>
      </c>
      <c r="F460" s="88" t="s">
        <v>651</v>
      </c>
      <c r="G460" s="88" t="s">
        <v>750</v>
      </c>
      <c r="H460" s="87" t="s">
        <v>269</v>
      </c>
      <c r="I460" s="87" t="s">
        <v>431</v>
      </c>
      <c r="J460" s="88">
        <v>1</v>
      </c>
      <c r="K460" s="88">
        <v>1</v>
      </c>
      <c r="L460" s="88">
        <v>1</v>
      </c>
      <c r="M460" s="89">
        <v>46153</v>
      </c>
      <c r="N460" s="88">
        <v>0.5</v>
      </c>
      <c r="O460" s="90" t="s">
        <v>432</v>
      </c>
      <c r="Q460" s="91">
        <v>20</v>
      </c>
      <c r="R460" s="91" t="s">
        <v>735</v>
      </c>
      <c r="S460" s="92" t="s">
        <v>736</v>
      </c>
      <c r="T460" s="93" t="s">
        <v>237</v>
      </c>
      <c r="U460" s="94" t="s">
        <v>433</v>
      </c>
      <c r="W460" s="95">
        <v>0.25</v>
      </c>
      <c r="X460" s="96"/>
      <c r="Y460" s="97">
        <f t="shared" si="520"/>
        <v>46153</v>
      </c>
      <c r="Z460" s="98" t="str">
        <f>SUBSTITUTE('Digitas UK Task 26'!$O460, "Complet", "Not Requir")</f>
        <v>Not Required</v>
      </c>
      <c r="AA460" s="98" t="str">
        <f t="shared" si="511"/>
        <v>Crocs - S2 - C&amp;J iterations campaign trafficking</v>
      </c>
      <c r="AB460" s="99"/>
      <c r="AF460" s="84" t="str">
        <f t="shared" si="481"/>
        <v/>
      </c>
      <c r="AH460" s="84" t="str">
        <f t="shared" si="546"/>
        <v>PL_1_CR_1_AD_1_Jira_0_</v>
      </c>
      <c r="AI460" s="84" t="str">
        <f t="shared" si="570"/>
        <v>PL_1_CR_1_AD_1_Jira_0_</v>
      </c>
      <c r="AJ460" s="84" t="str">
        <f>IF(Z460&lt;&gt;"Done","",(_xlfn.CONCAT("PL_",DigitasUKAdOp_26Team[[#This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61" spans="1:36" ht="15.75" customHeight="1" x14ac:dyDescent="0.3">
      <c r="A461" s="85" t="s">
        <v>734</v>
      </c>
      <c r="B461" s="86">
        <v>46153</v>
      </c>
      <c r="C461" s="87" t="s">
        <v>43</v>
      </c>
      <c r="D461" s="88" t="s">
        <v>481</v>
      </c>
      <c r="E461" s="87" t="s">
        <v>428</v>
      </c>
      <c r="F461" s="88" t="s">
        <v>761</v>
      </c>
      <c r="G461" s="88" t="s">
        <v>750</v>
      </c>
      <c r="H461" s="87" t="s">
        <v>269</v>
      </c>
      <c r="I461" s="87" t="s">
        <v>431</v>
      </c>
      <c r="J461" s="88">
        <v>1</v>
      </c>
      <c r="K461" s="88">
        <v>1</v>
      </c>
      <c r="L461" s="88">
        <v>1</v>
      </c>
      <c r="M461" s="89">
        <v>46153</v>
      </c>
      <c r="N461" s="88">
        <v>0.5</v>
      </c>
      <c r="O461" s="90" t="s">
        <v>432</v>
      </c>
      <c r="Q461" s="91">
        <v>20</v>
      </c>
      <c r="R461" s="91" t="s">
        <v>735</v>
      </c>
      <c r="S461" s="92" t="s">
        <v>736</v>
      </c>
      <c r="T461" s="93" t="s">
        <v>237</v>
      </c>
      <c r="U461" s="94" t="s">
        <v>433</v>
      </c>
      <c r="W461" s="95">
        <v>0.25</v>
      </c>
      <c r="X461" s="96"/>
      <c r="Y461" s="97">
        <f t="shared" si="520"/>
        <v>46153</v>
      </c>
      <c r="Z461" s="98" t="str">
        <f>SUBSTITUTE('Digitas UK Task 26'!$O461, "Complet", "Not Requir")</f>
        <v>Not Required</v>
      </c>
      <c r="AA461" s="98" t="str">
        <f t="shared" si="511"/>
        <v>Crocs - S2 - C&amp;J iterations campaign trafficking</v>
      </c>
      <c r="AB461" s="99"/>
      <c r="AF461" s="84" t="str">
        <f t="shared" si="481"/>
        <v/>
      </c>
      <c r="AH461" s="84" t="str">
        <f t="shared" si="546"/>
        <v>PL_1_CR_1_AD_1_Jira_0_</v>
      </c>
      <c r="AI461" s="84" t="str">
        <f t="shared" si="570"/>
        <v>PL_1_CR_1_AD_1_Jira_0_</v>
      </c>
      <c r="AJ461" s="84" t="str">
        <f>IF(Z461&lt;&gt;"Done","",(_xlfn.CONCAT("PL_",DigitasUKAdOp_26Team[[#This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62" spans="1:36" ht="15.75" customHeight="1" x14ac:dyDescent="0.3">
      <c r="A462" s="85" t="s">
        <v>734</v>
      </c>
      <c r="B462" s="86">
        <v>46153</v>
      </c>
      <c r="C462" s="87" t="s">
        <v>43</v>
      </c>
      <c r="D462" s="88" t="s">
        <v>481</v>
      </c>
      <c r="E462" s="87" t="s">
        <v>428</v>
      </c>
      <c r="F462" s="88" t="s">
        <v>762</v>
      </c>
      <c r="G462" s="88" t="s">
        <v>750</v>
      </c>
      <c r="H462" s="87" t="s">
        <v>269</v>
      </c>
      <c r="I462" s="87" t="s">
        <v>431</v>
      </c>
      <c r="J462" s="88">
        <v>1</v>
      </c>
      <c r="K462" s="88">
        <v>1</v>
      </c>
      <c r="L462" s="88">
        <v>1</v>
      </c>
      <c r="M462" s="89">
        <v>46153</v>
      </c>
      <c r="N462" s="88">
        <v>0.5</v>
      </c>
      <c r="O462" s="90" t="s">
        <v>432</v>
      </c>
      <c r="Q462" s="91">
        <v>20</v>
      </c>
      <c r="R462" s="91" t="s">
        <v>735</v>
      </c>
      <c r="S462" s="92" t="s">
        <v>736</v>
      </c>
      <c r="T462" s="93" t="s">
        <v>237</v>
      </c>
      <c r="U462" s="94" t="s">
        <v>433</v>
      </c>
      <c r="W462" s="95">
        <v>0.25</v>
      </c>
      <c r="X462" s="96"/>
      <c r="Y462" s="97">
        <f t="shared" si="520"/>
        <v>46153</v>
      </c>
      <c r="Z462" s="98" t="str">
        <f>SUBSTITUTE('Digitas UK Task 26'!$O462, "Complet", "Not Requir")</f>
        <v>Not Required</v>
      </c>
      <c r="AA462" s="98" t="str">
        <f t="shared" si="511"/>
        <v>Crocs - S2 - C&amp;J iterations campaign trafficking</v>
      </c>
      <c r="AB462" s="99"/>
      <c r="AF462" s="84" t="str">
        <f t="shared" si="481"/>
        <v/>
      </c>
      <c r="AH462" s="84" t="str">
        <f t="shared" si="546"/>
        <v>PL_1_CR_1_AD_1_Jira_0_</v>
      </c>
      <c r="AI462" s="84" t="str">
        <f t="shared" si="570"/>
        <v>PL_1_CR_1_AD_1_Jira_0_</v>
      </c>
      <c r="AJ462" s="84" t="str">
        <f>IF(Z462&lt;&gt;"Done","",(_xlfn.CONCAT("PL_",DigitasUKAdOp_26Team[[#This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63" spans="1:36" ht="15.75" customHeight="1" x14ac:dyDescent="0.3">
      <c r="A463" s="85" t="s">
        <v>734</v>
      </c>
      <c r="B463" s="86">
        <v>46153</v>
      </c>
      <c r="C463" s="87" t="s">
        <v>43</v>
      </c>
      <c r="D463" s="88" t="s">
        <v>481</v>
      </c>
      <c r="E463" s="87" t="s">
        <v>428</v>
      </c>
      <c r="F463" s="88" t="s">
        <v>450</v>
      </c>
      <c r="G463" s="88" t="s">
        <v>750</v>
      </c>
      <c r="H463" s="87" t="s">
        <v>443</v>
      </c>
      <c r="I463" s="87" t="s">
        <v>250</v>
      </c>
      <c r="J463" s="88">
        <v>0</v>
      </c>
      <c r="K463" s="88">
        <v>0</v>
      </c>
      <c r="L463" s="88">
        <v>0</v>
      </c>
      <c r="M463" s="89">
        <v>46153</v>
      </c>
      <c r="N463" s="88">
        <v>2</v>
      </c>
      <c r="O463" s="90" t="s">
        <v>432</v>
      </c>
      <c r="P463" s="88" t="s">
        <v>763</v>
      </c>
      <c r="Q463" s="91">
        <v>20</v>
      </c>
      <c r="R463" s="91" t="s">
        <v>735</v>
      </c>
      <c r="S463" s="92" t="s">
        <v>736</v>
      </c>
      <c r="T463" s="93" t="s">
        <v>250</v>
      </c>
      <c r="U463" s="94" t="s">
        <v>444</v>
      </c>
      <c r="W463" s="95">
        <v>0</v>
      </c>
      <c r="X463" s="96"/>
      <c r="Y463" s="97">
        <f t="shared" si="520"/>
        <v>46153</v>
      </c>
      <c r="Z463" s="98" t="str">
        <f>SUBSTITUTE('Digitas UK Task 26'!$O463, "Complet", "Not Requir")</f>
        <v>Not Required</v>
      </c>
      <c r="AA463" s="98" t="str">
        <f t="shared" si="511"/>
        <v>Crocs - S2 - C&amp;J iterations campaign trafficking</v>
      </c>
      <c r="AB463" s="99"/>
      <c r="AF463" s="84" t="str">
        <f t="shared" si="481"/>
        <v/>
      </c>
      <c r="AH463" s="84" t="str">
        <f t="shared" si="546"/>
        <v>PL_0_CR_0_AD_0_Jira_0_</v>
      </c>
      <c r="AI463" s="84" t="str">
        <f t="shared" si="570"/>
        <v/>
      </c>
      <c r="AJ463" s="84" t="str">
        <f>IF(Z463&lt;&gt;"Done","",(_xlfn.CONCAT("PL_",DigitasUKAdOp_26Team[[#This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64" spans="1:36" ht="15.75" customHeight="1" x14ac:dyDescent="0.3">
      <c r="A464" s="85" t="s">
        <v>734</v>
      </c>
      <c r="B464" s="86">
        <v>46153</v>
      </c>
      <c r="C464" s="87" t="s">
        <v>43</v>
      </c>
      <c r="D464" s="88" t="s">
        <v>481</v>
      </c>
      <c r="E464" s="87" t="s">
        <v>428</v>
      </c>
      <c r="F464" s="88" t="s">
        <v>450</v>
      </c>
      <c r="G464" s="88" t="s">
        <v>750</v>
      </c>
      <c r="H464" s="87" t="s">
        <v>443</v>
      </c>
      <c r="I464" s="87" t="s">
        <v>237</v>
      </c>
      <c r="J464" s="88">
        <v>0</v>
      </c>
      <c r="K464" s="88">
        <v>0</v>
      </c>
      <c r="L464" s="88">
        <v>0</v>
      </c>
      <c r="M464" s="89">
        <v>46149</v>
      </c>
      <c r="N464" s="88">
        <v>1</v>
      </c>
      <c r="O464" s="90" t="s">
        <v>432</v>
      </c>
      <c r="Q464" s="91">
        <v>20</v>
      </c>
      <c r="R464" s="91" t="s">
        <v>735</v>
      </c>
      <c r="S464" s="92" t="s">
        <v>736</v>
      </c>
      <c r="T464" s="93" t="s">
        <v>237</v>
      </c>
      <c r="U464" s="94" t="s">
        <v>444</v>
      </c>
      <c r="W464" s="95">
        <v>0</v>
      </c>
      <c r="X464" s="96"/>
      <c r="Y464" s="97">
        <f t="shared" si="520"/>
        <v>46149</v>
      </c>
      <c r="Z464" s="98" t="str">
        <f>SUBSTITUTE('Digitas UK Task 26'!$O464, "Complet", "Not Requir")</f>
        <v>Not Required</v>
      </c>
      <c r="AA464" s="98" t="str">
        <f t="shared" si="511"/>
        <v>Crocs - S2 - C&amp;J iterations campaign trafficking</v>
      </c>
      <c r="AB464" s="99"/>
      <c r="AF464" s="84" t="str">
        <f t="shared" si="481"/>
        <v/>
      </c>
      <c r="AH464" s="84" t="str">
        <f t="shared" si="546"/>
        <v>PL_0_CR_0_AD_0_Jira_0_</v>
      </c>
      <c r="AI464" s="84" t="str">
        <f t="shared" si="570"/>
        <v/>
      </c>
      <c r="AJ464" s="84" t="str">
        <f>IF(Z464&lt;&gt;"Done","",(_xlfn.CONCAT("PL_",DigitasUKAdOp_26Team[[#This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65" spans="1:36" ht="15.75" customHeight="1" x14ac:dyDescent="0.3">
      <c r="A465" s="85" t="s">
        <v>734</v>
      </c>
      <c r="B465" s="86">
        <v>46153</v>
      </c>
      <c r="C465" s="87" t="s">
        <v>43</v>
      </c>
      <c r="D465" s="88" t="s">
        <v>481</v>
      </c>
      <c r="E465" s="87" t="s">
        <v>428</v>
      </c>
      <c r="F465" s="88" t="s">
        <v>450</v>
      </c>
      <c r="G465" s="88" t="s">
        <v>750</v>
      </c>
      <c r="H465" s="87" t="s">
        <v>443</v>
      </c>
      <c r="I465" s="87" t="s">
        <v>431</v>
      </c>
      <c r="J465" s="88">
        <v>0</v>
      </c>
      <c r="K465" s="88">
        <v>0</v>
      </c>
      <c r="L465" s="88">
        <v>0</v>
      </c>
      <c r="M465" s="89">
        <v>46149</v>
      </c>
      <c r="N465" s="88">
        <v>1</v>
      </c>
      <c r="O465" s="90" t="s">
        <v>432</v>
      </c>
      <c r="Q465" s="91">
        <v>20</v>
      </c>
      <c r="R465" s="91" t="s">
        <v>735</v>
      </c>
      <c r="S465" s="92" t="s">
        <v>736</v>
      </c>
      <c r="T465" s="93" t="s">
        <v>431</v>
      </c>
      <c r="U465" s="94" t="s">
        <v>444</v>
      </c>
      <c r="W465" s="95">
        <v>0</v>
      </c>
      <c r="X465" s="96"/>
      <c r="Y465" s="97">
        <f t="shared" si="520"/>
        <v>46149</v>
      </c>
      <c r="Z465" s="98" t="str">
        <f>SUBSTITUTE('Digitas UK Task 26'!$O465, "Complet", "Not Requir")</f>
        <v>Not Required</v>
      </c>
      <c r="AA465" s="98" t="str">
        <f t="shared" si="511"/>
        <v>Crocs - S2 - C&amp;J iterations campaign trafficking</v>
      </c>
      <c r="AB465" s="99"/>
      <c r="AF465" s="84" t="str">
        <f t="shared" si="481"/>
        <v/>
      </c>
      <c r="AH465" s="84" t="str">
        <f t="shared" si="546"/>
        <v>PL_0_CR_0_AD_0_Jira_0_</v>
      </c>
      <c r="AI465" s="84" t="str">
        <f t="shared" si="570"/>
        <v/>
      </c>
      <c r="AJ465" s="84" t="str">
        <f>IF(Z465&lt;&gt;"Done","",(_xlfn.CONCAT("PL_",DigitasUKAdOp_26Team[[#This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66" spans="1:36" ht="15.75" customHeight="1" x14ac:dyDescent="0.3">
      <c r="A466" s="85" t="s">
        <v>737</v>
      </c>
      <c r="B466" s="86">
        <v>46154</v>
      </c>
      <c r="C466" s="87" t="s">
        <v>349</v>
      </c>
      <c r="D466" s="88" t="s">
        <v>699</v>
      </c>
      <c r="E466" s="87" t="s">
        <v>428</v>
      </c>
      <c r="F466" s="88" t="s">
        <v>450</v>
      </c>
      <c r="G466" s="88" t="s">
        <v>450</v>
      </c>
      <c r="H466" s="87" t="s">
        <v>443</v>
      </c>
      <c r="I466" s="87" t="s">
        <v>250</v>
      </c>
      <c r="J466" s="88">
        <v>0</v>
      </c>
      <c r="K466" s="88">
        <v>0</v>
      </c>
      <c r="L466" s="88">
        <v>0</v>
      </c>
      <c r="M466" s="89">
        <v>46154</v>
      </c>
      <c r="N466" s="88">
        <v>1.5</v>
      </c>
      <c r="O466" s="90" t="s">
        <v>432</v>
      </c>
      <c r="Q466" s="91">
        <v>20</v>
      </c>
      <c r="R466" s="91" t="s">
        <v>735</v>
      </c>
      <c r="S466" s="92" t="s">
        <v>740</v>
      </c>
      <c r="T466" s="93" t="s">
        <v>250</v>
      </c>
      <c r="U466" s="94" t="s">
        <v>444</v>
      </c>
      <c r="W466" s="95">
        <v>0</v>
      </c>
      <c r="X466" s="96"/>
      <c r="Y466" s="97">
        <f t="shared" si="520"/>
        <v>46154</v>
      </c>
      <c r="Z466" s="98" t="str">
        <f>SUBSTITUTE('Digitas UK Task 26'!$O466, "Complet", "Not Requir")</f>
        <v>Not Required</v>
      </c>
      <c r="AA466" s="98" t="str">
        <f t="shared" si="511"/>
        <v>NA</v>
      </c>
      <c r="AB466" s="99"/>
      <c r="AF466" s="84" t="str">
        <f t="shared" si="481"/>
        <v/>
      </c>
      <c r="AH466" s="84" t="str">
        <f t="shared" si="546"/>
        <v>PL_0_CR_0_AD_0_Jira_0_</v>
      </c>
      <c r="AI466" s="84" t="str">
        <f t="shared" si="570"/>
        <v/>
      </c>
      <c r="AJ466" s="84" t="str">
        <f>IF(Z466&lt;&gt;"Done","",(_xlfn.CONCAT("PL_",DigitasUKAdOp_26Team[[#This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67" spans="1:36" ht="15.75" customHeight="1" x14ac:dyDescent="0.3">
      <c r="A467" s="85" t="s">
        <v>737</v>
      </c>
      <c r="B467" s="86">
        <v>46154</v>
      </c>
      <c r="C467" s="87" t="s">
        <v>349</v>
      </c>
      <c r="D467" s="88" t="s">
        <v>699</v>
      </c>
      <c r="E467" s="87" t="s">
        <v>428</v>
      </c>
      <c r="F467" s="88" t="s">
        <v>450</v>
      </c>
      <c r="G467" s="88" t="s">
        <v>450</v>
      </c>
      <c r="H467" s="87" t="s">
        <v>443</v>
      </c>
      <c r="I467" s="87" t="s">
        <v>237</v>
      </c>
      <c r="J467" s="88">
        <v>0</v>
      </c>
      <c r="K467" s="88">
        <v>0</v>
      </c>
      <c r="L467" s="88">
        <v>0</v>
      </c>
      <c r="M467" s="89">
        <v>46154</v>
      </c>
      <c r="N467" s="88">
        <v>1.5</v>
      </c>
      <c r="O467" s="90" t="s">
        <v>432</v>
      </c>
      <c r="Q467" s="91">
        <v>20</v>
      </c>
      <c r="R467" s="91" t="s">
        <v>735</v>
      </c>
      <c r="S467" s="92" t="s">
        <v>740</v>
      </c>
      <c r="T467" s="93" t="s">
        <v>237</v>
      </c>
      <c r="U467" s="94" t="s">
        <v>444</v>
      </c>
      <c r="W467" s="95">
        <v>0</v>
      </c>
      <c r="X467" s="96"/>
      <c r="Y467" s="97">
        <f t="shared" si="520"/>
        <v>46154</v>
      </c>
      <c r="Z467" s="98" t="str">
        <f>SUBSTITUTE('Digitas UK Task 26'!$O467, "Complet", "Not Requir")</f>
        <v>Not Required</v>
      </c>
      <c r="AA467" s="98" t="str">
        <f t="shared" si="511"/>
        <v>NA</v>
      </c>
      <c r="AB467" s="99"/>
      <c r="AF467" s="84" t="str">
        <f t="shared" si="481"/>
        <v/>
      </c>
      <c r="AH467" s="84" t="str">
        <f t="shared" si="546"/>
        <v>PL_0_CR_0_AD_0_Jira_0_</v>
      </c>
      <c r="AI467" s="84" t="str">
        <f t="shared" si="570"/>
        <v/>
      </c>
      <c r="AJ467" s="84" t="str">
        <f>IF(Z467&lt;&gt;"Done","",(_xlfn.CONCAT("PL_",DigitasUKAdOp_26Team[[#This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68" spans="1:36" ht="15.75" customHeight="1" x14ac:dyDescent="0.3">
      <c r="A468" s="85" t="s">
        <v>745</v>
      </c>
      <c r="B468" s="86">
        <v>46155</v>
      </c>
      <c r="C468" s="87" t="s">
        <v>349</v>
      </c>
      <c r="D468" s="88" t="s">
        <v>699</v>
      </c>
      <c r="E468" s="87" t="s">
        <v>428</v>
      </c>
      <c r="F468" s="88" t="s">
        <v>450</v>
      </c>
      <c r="G468" s="88" t="s">
        <v>764</v>
      </c>
      <c r="H468" s="87" t="s">
        <v>521</v>
      </c>
      <c r="I468" s="87" t="s">
        <v>250</v>
      </c>
      <c r="J468" s="88">
        <v>0</v>
      </c>
      <c r="K468" s="88">
        <v>0</v>
      </c>
      <c r="L468" s="88">
        <v>0</v>
      </c>
      <c r="M468" s="89">
        <v>46155</v>
      </c>
      <c r="N468" s="88">
        <v>3</v>
      </c>
      <c r="O468" s="90" t="s">
        <v>432</v>
      </c>
      <c r="Q468" s="91">
        <v>20</v>
      </c>
      <c r="R468" s="91" t="s">
        <v>735</v>
      </c>
      <c r="S468" s="92" t="s">
        <v>748</v>
      </c>
      <c r="T468" s="93" t="s">
        <v>250</v>
      </c>
      <c r="U468" s="94" t="s">
        <v>444</v>
      </c>
      <c r="W468" s="95">
        <v>0</v>
      </c>
      <c r="X468" s="96"/>
      <c r="Y468" s="97">
        <f t="shared" si="520"/>
        <v>46155</v>
      </c>
      <c r="Z468" s="98" t="str">
        <f>SUBSTITUTE('Digitas UK Task 26'!$O468, "Complet", "Not Requir")</f>
        <v>Not Required</v>
      </c>
      <c r="AA468" s="98" t="str">
        <f t="shared" si="511"/>
        <v>[TAAGVSEU-8134] Social Request: Disney AIB Campaign - Publicis Media - JIRA</v>
      </c>
      <c r="AB468" s="99"/>
      <c r="AF468" s="84" t="str">
        <f t="shared" si="481"/>
        <v/>
      </c>
      <c r="AH468" s="84" t="str">
        <f t="shared" si="546"/>
        <v>PL_0_CR_0_AD_0_Jira_0_</v>
      </c>
      <c r="AI468" s="84" t="str">
        <f t="shared" si="570"/>
        <v/>
      </c>
      <c r="AJ468" s="84" t="str">
        <f>IF(Z468&lt;&gt;"Done","",(_xlfn.CONCAT("PL_",DigitasUKAdOp_26Team[[#This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69" spans="1:36" ht="15.75" customHeight="1" x14ac:dyDescent="0.3">
      <c r="A469" s="85" t="s">
        <v>745</v>
      </c>
      <c r="B469" s="86">
        <v>46155</v>
      </c>
      <c r="C469" s="87" t="s">
        <v>349</v>
      </c>
      <c r="D469" s="88" t="s">
        <v>699</v>
      </c>
      <c r="E469" s="87" t="s">
        <v>428</v>
      </c>
      <c r="F469" s="88" t="s">
        <v>450</v>
      </c>
      <c r="G469" s="88" t="s">
        <v>764</v>
      </c>
      <c r="H469" s="87" t="s">
        <v>521</v>
      </c>
      <c r="I469" s="87" t="s">
        <v>237</v>
      </c>
      <c r="J469" s="88">
        <v>0</v>
      </c>
      <c r="K469" s="88">
        <v>0</v>
      </c>
      <c r="L469" s="88">
        <v>0</v>
      </c>
      <c r="M469" s="89">
        <v>46155</v>
      </c>
      <c r="N469" s="88">
        <v>3</v>
      </c>
      <c r="O469" s="90" t="s">
        <v>432</v>
      </c>
      <c r="Q469" s="91">
        <v>20</v>
      </c>
      <c r="R469" s="91" t="s">
        <v>735</v>
      </c>
      <c r="S469" s="92" t="s">
        <v>748</v>
      </c>
      <c r="T469" s="93" t="s">
        <v>237</v>
      </c>
      <c r="U469" s="94" t="s">
        <v>444</v>
      </c>
      <c r="W469" s="95">
        <v>0</v>
      </c>
      <c r="X469" s="96"/>
      <c r="Y469" s="97">
        <f t="shared" si="520"/>
        <v>46155</v>
      </c>
      <c r="Z469" s="98" t="str">
        <f>SUBSTITUTE('Digitas UK Task 26'!$O469, "Complet", "Not Requir")</f>
        <v>Not Required</v>
      </c>
      <c r="AA469" s="98" t="str">
        <f t="shared" si="511"/>
        <v>[TAAGVSEU-8134] Social Request: Disney AIB Campaign - Publicis Media - JIRA</v>
      </c>
      <c r="AB469" s="99"/>
      <c r="AF469" s="84" t="str">
        <f t="shared" si="481"/>
        <v/>
      </c>
      <c r="AH469" s="84" t="str">
        <f t="shared" si="546"/>
        <v>PL_0_CR_0_AD_0_Jira_0_</v>
      </c>
      <c r="AI469" s="84" t="str">
        <f t="shared" si="570"/>
        <v/>
      </c>
      <c r="AJ469" s="84" t="str">
        <f>IF(Z469&lt;&gt;"Done","",(_xlfn.CONCAT("PL_",DigitasUKAdOp_26Team[[#This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70" spans="1:36" ht="15.75" customHeight="1" x14ac:dyDescent="0.3">
      <c r="A470" s="85" t="s">
        <v>745</v>
      </c>
      <c r="B470" s="86">
        <v>46155</v>
      </c>
      <c r="C470" s="87" t="s">
        <v>349</v>
      </c>
      <c r="D470" s="88" t="s">
        <v>699</v>
      </c>
      <c r="E470" s="87" t="s">
        <v>428</v>
      </c>
      <c r="F470" s="88" t="s">
        <v>450</v>
      </c>
      <c r="G470" s="88" t="s">
        <v>764</v>
      </c>
      <c r="H470" s="87" t="s">
        <v>443</v>
      </c>
      <c r="I470" s="87" t="s">
        <v>250</v>
      </c>
      <c r="J470" s="88">
        <v>0</v>
      </c>
      <c r="K470" s="88">
        <v>0</v>
      </c>
      <c r="L470" s="88">
        <v>0</v>
      </c>
      <c r="M470" s="89">
        <v>46155</v>
      </c>
      <c r="N470" s="88">
        <v>1</v>
      </c>
      <c r="O470" s="90" t="s">
        <v>432</v>
      </c>
      <c r="Q470" s="91">
        <v>20</v>
      </c>
      <c r="R470" s="91" t="s">
        <v>735</v>
      </c>
      <c r="S470" s="92" t="s">
        <v>748</v>
      </c>
      <c r="T470" s="93" t="s">
        <v>250</v>
      </c>
      <c r="U470" s="94" t="s">
        <v>444</v>
      </c>
      <c r="W470" s="95">
        <v>0</v>
      </c>
      <c r="X470" s="96"/>
      <c r="Y470" s="97">
        <f t="shared" si="520"/>
        <v>46155</v>
      </c>
      <c r="Z470" s="98" t="str">
        <f>SUBSTITUTE('Digitas UK Task 26'!$O470, "Complet", "Not Requir")</f>
        <v>Not Required</v>
      </c>
      <c r="AA470" s="98" t="str">
        <f t="shared" si="511"/>
        <v>[TAAGVSEU-8134] Social Request: Disney AIB Campaign - Publicis Media - JIRA</v>
      </c>
      <c r="AB470" s="99"/>
      <c r="AF470" s="84" t="str">
        <f t="shared" si="481"/>
        <v/>
      </c>
      <c r="AH470" s="84" t="str">
        <f t="shared" si="546"/>
        <v>PL_0_CR_0_AD_0_Jira_0_</v>
      </c>
      <c r="AI470" s="84" t="str">
        <f t="shared" si="570"/>
        <v/>
      </c>
      <c r="AJ470" s="84" t="str">
        <f>IF(Z470&lt;&gt;"Done","",(_xlfn.CONCAT("PL_",DigitasUKAdOp_26Team[[#This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71" spans="1:36" ht="15.75" customHeight="1" x14ac:dyDescent="0.3">
      <c r="A471" s="85" t="s">
        <v>745</v>
      </c>
      <c r="B471" s="86">
        <v>46155</v>
      </c>
      <c r="C471" s="87" t="s">
        <v>349</v>
      </c>
      <c r="D471" s="88" t="s">
        <v>699</v>
      </c>
      <c r="E471" s="87" t="s">
        <v>428</v>
      </c>
      <c r="F471" s="88" t="s">
        <v>450</v>
      </c>
      <c r="G471" s="88" t="s">
        <v>764</v>
      </c>
      <c r="H471" s="87" t="s">
        <v>443</v>
      </c>
      <c r="I471" s="87" t="s">
        <v>237</v>
      </c>
      <c r="J471" s="88">
        <v>0</v>
      </c>
      <c r="K471" s="88">
        <v>0</v>
      </c>
      <c r="L471" s="88">
        <v>0</v>
      </c>
      <c r="M471" s="89">
        <v>46155</v>
      </c>
      <c r="N471" s="88">
        <v>1</v>
      </c>
      <c r="O471" s="90" t="s">
        <v>432</v>
      </c>
      <c r="Q471" s="91">
        <v>20</v>
      </c>
      <c r="R471" s="91" t="s">
        <v>735</v>
      </c>
      <c r="S471" s="92" t="s">
        <v>748</v>
      </c>
      <c r="T471" s="93" t="s">
        <v>237</v>
      </c>
      <c r="U471" s="94" t="s">
        <v>444</v>
      </c>
      <c r="W471" s="95">
        <v>0</v>
      </c>
      <c r="X471" s="96"/>
      <c r="Y471" s="97">
        <f t="shared" si="520"/>
        <v>46155</v>
      </c>
      <c r="Z471" s="98" t="str">
        <f>SUBSTITUTE('Digitas UK Task 26'!$O471, "Complet", "Not Requir")</f>
        <v>Not Required</v>
      </c>
      <c r="AA471" s="98" t="str">
        <f t="shared" si="511"/>
        <v>[TAAGVSEU-8134] Social Request: Disney AIB Campaign - Publicis Media - JIRA</v>
      </c>
      <c r="AB471" s="99"/>
      <c r="AF471" s="84" t="str">
        <f t="shared" ref="AF471:AF534" si="572">IF(AD471="","",WEEKNUM(AD471))</f>
        <v/>
      </c>
      <c r="AH471" s="84" t="str">
        <f t="shared" si="546"/>
        <v>PL_0_CR_0_AD_0_Jira_0_</v>
      </c>
      <c r="AI471" s="84" t="str">
        <f t="shared" si="570"/>
        <v/>
      </c>
      <c r="AJ471" s="84" t="str">
        <f>IF(Z471&lt;&gt;"Done","",(_xlfn.CONCAT("PL_",DigitasUKAdOp_26Team[[#This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72" spans="1:36" ht="15.75" customHeight="1" x14ac:dyDescent="0.3">
      <c r="A472" s="85" t="s">
        <v>745</v>
      </c>
      <c r="B472" s="86">
        <v>46155</v>
      </c>
      <c r="C472" s="87" t="s">
        <v>334</v>
      </c>
      <c r="D472" s="88" t="s">
        <v>496</v>
      </c>
      <c r="E472" s="87" t="s">
        <v>428</v>
      </c>
      <c r="F472" s="88" t="s">
        <v>753</v>
      </c>
      <c r="G472" s="88" t="s">
        <v>765</v>
      </c>
      <c r="H472" s="87" t="s">
        <v>269</v>
      </c>
      <c r="I472" s="87" t="s">
        <v>250</v>
      </c>
      <c r="J472" s="88">
        <v>10</v>
      </c>
      <c r="K472" s="88">
        <v>10</v>
      </c>
      <c r="L472" s="88">
        <v>10</v>
      </c>
      <c r="M472" s="89">
        <v>46155</v>
      </c>
      <c r="N472" s="88">
        <v>0.5</v>
      </c>
      <c r="O472" s="90" t="s">
        <v>432</v>
      </c>
      <c r="Q472" s="91">
        <v>20</v>
      </c>
      <c r="R472" s="91" t="s">
        <v>735</v>
      </c>
      <c r="S472" s="92" t="s">
        <v>748</v>
      </c>
      <c r="T472" s="93" t="s">
        <v>237</v>
      </c>
      <c r="U472" s="94" t="s">
        <v>433</v>
      </c>
      <c r="W472" s="95">
        <v>0.5</v>
      </c>
      <c r="X472" s="96"/>
      <c r="Y472" s="97">
        <f t="shared" si="520"/>
        <v>46155</v>
      </c>
      <c r="Z472" s="98" t="str">
        <f>SUBSTITUTE('Digitas UK Task 26'!$O472, "Complet", "Not Requir")</f>
        <v>Not Required</v>
      </c>
      <c r="AA472" s="98" t="str">
        <f t="shared" si="511"/>
        <v>Re: Klaviyo EMEA - Brand - FR - YT - Trafficking Request</v>
      </c>
      <c r="AB472" s="99"/>
      <c r="AF472" s="84" t="str">
        <f t="shared" si="572"/>
        <v/>
      </c>
      <c r="AH472" s="84" t="str">
        <f t="shared" si="546"/>
        <v>PL_10_CR_10_AD_10_Jira_0_</v>
      </c>
      <c r="AI472" s="84" t="str">
        <f t="shared" si="570"/>
        <v>PL_10_CR_10_AD_10_Jira_0_</v>
      </c>
      <c r="AJ472" s="84" t="str">
        <f>IF(Z472&lt;&gt;"Done","",(_xlfn.CONCAT("PL_",DigitasUKAdOp_26Team[[#This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73" spans="1:36" ht="15.75" customHeight="1" x14ac:dyDescent="0.3">
      <c r="A473" s="85" t="s">
        <v>745</v>
      </c>
      <c r="B473" s="86">
        <v>46155</v>
      </c>
      <c r="C473" s="87" t="s">
        <v>334</v>
      </c>
      <c r="D473" s="88" t="s">
        <v>496</v>
      </c>
      <c r="E473" s="87" t="s">
        <v>428</v>
      </c>
      <c r="F473" s="88" t="s">
        <v>753</v>
      </c>
      <c r="G473" s="88" t="s">
        <v>765</v>
      </c>
      <c r="H473" s="87" t="s">
        <v>443</v>
      </c>
      <c r="I473" s="87" t="s">
        <v>250</v>
      </c>
      <c r="J473" s="88">
        <v>0</v>
      </c>
      <c r="K473" s="88">
        <v>0</v>
      </c>
      <c r="L473" s="88">
        <v>0</v>
      </c>
      <c r="M473" s="89">
        <v>46155</v>
      </c>
      <c r="N473" s="88">
        <v>0.5</v>
      </c>
      <c r="O473" s="90" t="s">
        <v>432</v>
      </c>
      <c r="Q473" s="91">
        <v>20</v>
      </c>
      <c r="R473" s="91" t="s">
        <v>735</v>
      </c>
      <c r="S473" s="92" t="s">
        <v>748</v>
      </c>
      <c r="T473" s="93" t="s">
        <v>250</v>
      </c>
      <c r="U473" s="94" t="s">
        <v>444</v>
      </c>
      <c r="W473" s="95">
        <v>0</v>
      </c>
      <c r="X473" s="96"/>
      <c r="Y473" s="97">
        <f t="shared" si="520"/>
        <v>46155</v>
      </c>
      <c r="Z473" s="98" t="str">
        <f>SUBSTITUTE('Digitas UK Task 26'!$O473, "Complet", "Not Requir")</f>
        <v>Not Required</v>
      </c>
      <c r="AA473" s="98" t="str">
        <f t="shared" si="511"/>
        <v>Re: Klaviyo EMEA - Brand - FR - YT - Trafficking Request</v>
      </c>
      <c r="AB473" s="99"/>
      <c r="AF473" s="84" t="str">
        <f t="shared" si="572"/>
        <v/>
      </c>
      <c r="AH473" s="84" t="str">
        <f t="shared" si="546"/>
        <v>PL_0_CR_0_AD_0_Jira_0_</v>
      </c>
      <c r="AI473" s="84" t="str">
        <f t="shared" si="570"/>
        <v/>
      </c>
      <c r="AJ473" s="84" t="str">
        <f>IF(Z473&lt;&gt;"Done","",(_xlfn.CONCAT("PL_",DigitasUKAdOp_26Team[[#This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74" spans="1:36" ht="15.75" customHeight="1" x14ac:dyDescent="0.3">
      <c r="A474" s="85" t="s">
        <v>745</v>
      </c>
      <c r="B474" s="86">
        <v>46155</v>
      </c>
      <c r="C474" s="87" t="s">
        <v>349</v>
      </c>
      <c r="D474" s="88" t="s">
        <v>699</v>
      </c>
      <c r="E474" s="87" t="s">
        <v>428</v>
      </c>
      <c r="F474" s="88" t="s">
        <v>450</v>
      </c>
      <c r="G474" s="88" t="s">
        <v>764</v>
      </c>
      <c r="H474" s="87" t="s">
        <v>443</v>
      </c>
      <c r="I474" s="87" t="s">
        <v>431</v>
      </c>
      <c r="J474" s="88">
        <v>0</v>
      </c>
      <c r="K474" s="88">
        <v>0</v>
      </c>
      <c r="L474" s="88">
        <v>0</v>
      </c>
      <c r="M474" s="89">
        <v>46155</v>
      </c>
      <c r="N474" s="88">
        <v>1.5</v>
      </c>
      <c r="O474" s="90" t="s">
        <v>432</v>
      </c>
      <c r="Q474" s="91">
        <v>20</v>
      </c>
      <c r="R474" s="91" t="s">
        <v>735</v>
      </c>
      <c r="S474" s="92" t="s">
        <v>748</v>
      </c>
      <c r="T474" s="93" t="s">
        <v>431</v>
      </c>
      <c r="U474" s="94" t="s">
        <v>444</v>
      </c>
      <c r="W474" s="95">
        <v>0</v>
      </c>
      <c r="X474" s="96"/>
      <c r="Y474" s="97">
        <f t="shared" si="520"/>
        <v>46155</v>
      </c>
      <c r="Z474" s="98" t="str">
        <f>SUBSTITUTE('Digitas UK Task 26'!$O474, "Complet", "Not Requir")</f>
        <v>Not Required</v>
      </c>
      <c r="AA474" s="98" t="str">
        <f t="shared" si="511"/>
        <v>[TAAGVSEU-8134] Social Request: Disney AIB Campaign - Publicis Media - JIRA</v>
      </c>
      <c r="AB474" s="99"/>
      <c r="AF474" s="84" t="str">
        <f t="shared" si="572"/>
        <v/>
      </c>
      <c r="AH474" s="84" t="str">
        <f t="shared" si="546"/>
        <v>PL_0_CR_0_AD_0_Jira_0_</v>
      </c>
      <c r="AI474" s="84" t="str">
        <f t="shared" si="570"/>
        <v/>
      </c>
      <c r="AJ474" s="84" t="str">
        <f>IF(Z474&lt;&gt;"Done","",(_xlfn.CONCAT("PL_",DigitasUKAdOp_26Team[[#This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75" spans="1:36" ht="15.75" customHeight="1" x14ac:dyDescent="0.3">
      <c r="A475" s="85" t="s">
        <v>749</v>
      </c>
      <c r="B475" s="86">
        <v>46156</v>
      </c>
      <c r="C475" s="87" t="s">
        <v>349</v>
      </c>
      <c r="D475" s="88" t="s">
        <v>699</v>
      </c>
      <c r="E475" s="87" t="s">
        <v>428</v>
      </c>
      <c r="F475" s="88" t="s">
        <v>450</v>
      </c>
      <c r="G475" s="88" t="s">
        <v>764</v>
      </c>
      <c r="H475" s="87" t="s">
        <v>521</v>
      </c>
      <c r="I475" s="87" t="s">
        <v>250</v>
      </c>
      <c r="J475" s="88">
        <v>0</v>
      </c>
      <c r="K475" s="88">
        <v>0</v>
      </c>
      <c r="L475" s="88">
        <v>0</v>
      </c>
      <c r="M475" s="89">
        <v>46156</v>
      </c>
      <c r="N475" s="88">
        <v>4</v>
      </c>
      <c r="O475" s="90" t="s">
        <v>432</v>
      </c>
      <c r="Q475" s="91">
        <v>20</v>
      </c>
      <c r="R475" s="91" t="s">
        <v>735</v>
      </c>
      <c r="S475" s="92" t="s">
        <v>751</v>
      </c>
      <c r="T475" s="93" t="s">
        <v>250</v>
      </c>
      <c r="U475" s="94" t="s">
        <v>444</v>
      </c>
      <c r="W475" s="95">
        <v>0</v>
      </c>
      <c r="X475" s="96"/>
      <c r="Y475" s="97">
        <f t="shared" si="520"/>
        <v>46156</v>
      </c>
      <c r="Z475" s="98" t="str">
        <f>SUBSTITUTE('Digitas UK Task 26'!$O475, "Complet", "Not Requir")</f>
        <v>Not Required</v>
      </c>
      <c r="AA475" s="98" t="str">
        <f t="shared" si="511"/>
        <v>[TAAGVSEU-8134] Social Request: Disney AIB Campaign - Publicis Media - JIRA</v>
      </c>
      <c r="AB475" s="99"/>
      <c r="AF475" s="84" t="str">
        <f t="shared" si="572"/>
        <v/>
      </c>
      <c r="AH475" s="84" t="str">
        <f t="shared" si="546"/>
        <v>PL_0_CR_0_AD_0_Jira_0_</v>
      </c>
      <c r="AI475" s="84" t="str">
        <f t="shared" si="570"/>
        <v/>
      </c>
      <c r="AJ475" s="84" t="str">
        <f>IF(Z475&lt;&gt;"Done","",(_xlfn.CONCAT("PL_",DigitasUKAdOp_26Team[[#This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76" spans="1:36" ht="15.75" customHeight="1" x14ac:dyDescent="0.3">
      <c r="A476" s="85" t="s">
        <v>749</v>
      </c>
      <c r="B476" s="86">
        <v>46156</v>
      </c>
      <c r="C476" s="87" t="s">
        <v>349</v>
      </c>
      <c r="D476" s="88" t="s">
        <v>699</v>
      </c>
      <c r="E476" s="87" t="s">
        <v>428</v>
      </c>
      <c r="F476" s="88" t="s">
        <v>450</v>
      </c>
      <c r="G476" s="88" t="s">
        <v>764</v>
      </c>
      <c r="H476" s="87" t="s">
        <v>521</v>
      </c>
      <c r="I476" s="87" t="s">
        <v>237</v>
      </c>
      <c r="J476" s="88">
        <v>0</v>
      </c>
      <c r="K476" s="88">
        <v>0</v>
      </c>
      <c r="L476" s="88">
        <v>0</v>
      </c>
      <c r="M476" s="89">
        <v>46156</v>
      </c>
      <c r="N476" s="88">
        <v>4</v>
      </c>
      <c r="O476" s="90" t="s">
        <v>432</v>
      </c>
      <c r="Q476" s="91">
        <v>20</v>
      </c>
      <c r="R476" s="91" t="s">
        <v>735</v>
      </c>
      <c r="S476" s="92" t="s">
        <v>751</v>
      </c>
      <c r="T476" s="93" t="s">
        <v>237</v>
      </c>
      <c r="U476" s="94" t="s">
        <v>444</v>
      </c>
      <c r="W476" s="95">
        <v>0</v>
      </c>
      <c r="X476" s="96"/>
      <c r="Y476" s="97">
        <f t="shared" si="520"/>
        <v>46156</v>
      </c>
      <c r="Z476" s="98" t="str">
        <f>SUBSTITUTE('Digitas UK Task 26'!$O476, "Complet", "Not Requir")</f>
        <v>Not Required</v>
      </c>
      <c r="AA476" s="98" t="str">
        <f t="shared" si="511"/>
        <v>[TAAGVSEU-8134] Social Request: Disney AIB Campaign - Publicis Media - JIRA</v>
      </c>
      <c r="AB476" s="99"/>
      <c r="AF476" s="84" t="str">
        <f t="shared" si="572"/>
        <v/>
      </c>
      <c r="AH476" s="84" t="str">
        <f t="shared" si="546"/>
        <v>PL_0_CR_0_AD_0_Jira_0_</v>
      </c>
      <c r="AI476" s="84" t="str">
        <f t="shared" si="570"/>
        <v/>
      </c>
      <c r="AJ476" s="84" t="str">
        <f>IF(Z476&lt;&gt;"Done","",(_xlfn.CONCAT("PL_",DigitasUKAdOp_26Team[[#This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77" spans="1:36" ht="15.75" customHeight="1" x14ac:dyDescent="0.3">
      <c r="A477" s="85" t="s">
        <v>749</v>
      </c>
      <c r="B477" s="86">
        <v>46156</v>
      </c>
      <c r="C477" s="87" t="s">
        <v>349</v>
      </c>
      <c r="D477" s="88" t="s">
        <v>699</v>
      </c>
      <c r="E477" s="87" t="s">
        <v>428</v>
      </c>
      <c r="F477" s="88" t="s">
        <v>450</v>
      </c>
      <c r="G477" s="88" t="s">
        <v>764</v>
      </c>
      <c r="H477" s="87" t="s">
        <v>443</v>
      </c>
      <c r="I477" s="87" t="s">
        <v>250</v>
      </c>
      <c r="J477" s="88">
        <v>0</v>
      </c>
      <c r="K477" s="88">
        <v>0</v>
      </c>
      <c r="L477" s="88">
        <v>0</v>
      </c>
      <c r="M477" s="89">
        <v>46156</v>
      </c>
      <c r="N477" s="88">
        <v>2</v>
      </c>
      <c r="O477" s="90" t="s">
        <v>432</v>
      </c>
      <c r="Q477" s="91">
        <v>20</v>
      </c>
      <c r="R477" s="91" t="s">
        <v>735</v>
      </c>
      <c r="S477" s="92" t="s">
        <v>751</v>
      </c>
      <c r="T477" s="93" t="s">
        <v>250</v>
      </c>
      <c r="U477" s="94" t="s">
        <v>444</v>
      </c>
      <c r="W477" s="95">
        <v>0</v>
      </c>
      <c r="X477" s="96"/>
      <c r="Y477" s="97">
        <f t="shared" si="520"/>
        <v>46156</v>
      </c>
      <c r="Z477" s="98" t="str">
        <f>SUBSTITUTE('Digitas UK Task 26'!$O477, "Complet", "Not Requir")</f>
        <v>Not Required</v>
      </c>
      <c r="AA477" s="98" t="str">
        <f t="shared" si="511"/>
        <v>[TAAGVSEU-8134] Social Request: Disney AIB Campaign - Publicis Media - JIRA</v>
      </c>
      <c r="AB477" s="99"/>
      <c r="AF477" s="84" t="str">
        <f t="shared" si="572"/>
        <v/>
      </c>
      <c r="AH477" s="84" t="str">
        <f t="shared" si="546"/>
        <v>PL_0_CR_0_AD_0_Jira_0_</v>
      </c>
      <c r="AI477" s="84" t="str">
        <f t="shared" si="570"/>
        <v/>
      </c>
      <c r="AJ477" s="84" t="str">
        <f>IF(Z477&lt;&gt;"Done","",(_xlfn.CONCAT("PL_",DigitasUKAdOp_26Team[[#This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78" spans="1:36" ht="15.75" customHeight="1" x14ac:dyDescent="0.3">
      <c r="A478" s="85" t="s">
        <v>749</v>
      </c>
      <c r="B478" s="86">
        <v>46156</v>
      </c>
      <c r="C478" s="87" t="s">
        <v>349</v>
      </c>
      <c r="D478" s="88" t="s">
        <v>699</v>
      </c>
      <c r="E478" s="87" t="s">
        <v>428</v>
      </c>
      <c r="F478" s="88" t="s">
        <v>450</v>
      </c>
      <c r="G478" s="88" t="s">
        <v>764</v>
      </c>
      <c r="H478" s="87" t="s">
        <v>443</v>
      </c>
      <c r="I478" s="87" t="s">
        <v>237</v>
      </c>
      <c r="J478" s="88">
        <v>0</v>
      </c>
      <c r="K478" s="88">
        <v>0</v>
      </c>
      <c r="L478" s="88">
        <v>0</v>
      </c>
      <c r="M478" s="89">
        <v>46156</v>
      </c>
      <c r="N478" s="88">
        <v>2</v>
      </c>
      <c r="O478" s="90" t="s">
        <v>432</v>
      </c>
      <c r="Q478" s="91">
        <v>20</v>
      </c>
      <c r="R478" s="91" t="s">
        <v>735</v>
      </c>
      <c r="S478" s="92" t="s">
        <v>751</v>
      </c>
      <c r="T478" s="93" t="s">
        <v>237</v>
      </c>
      <c r="U478" s="94" t="s">
        <v>444</v>
      </c>
      <c r="W478" s="95">
        <v>0</v>
      </c>
      <c r="X478" s="96"/>
      <c r="Y478" s="97">
        <f t="shared" si="520"/>
        <v>46156</v>
      </c>
      <c r="Z478" s="98" t="str">
        <f>SUBSTITUTE('Digitas UK Task 26'!$O478, "Complet", "Not Requir")</f>
        <v>Not Required</v>
      </c>
      <c r="AA478" s="98" t="str">
        <f t="shared" si="511"/>
        <v>[TAAGVSEU-8134] Social Request: Disney AIB Campaign - Publicis Media - JIRA</v>
      </c>
      <c r="AB478" s="99"/>
      <c r="AF478" s="84" t="str">
        <f t="shared" si="572"/>
        <v/>
      </c>
      <c r="AH478" s="84" t="str">
        <f t="shared" si="546"/>
        <v>PL_0_CR_0_AD_0_Jira_0_</v>
      </c>
      <c r="AI478" s="84" t="str">
        <f t="shared" si="570"/>
        <v/>
      </c>
      <c r="AJ478" s="84" t="str">
        <f>IF(Z478&lt;&gt;"Done","",(_xlfn.CONCAT("PL_",DigitasUKAdOp_26Team[[#This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79" spans="1:36" ht="15.75" customHeight="1" x14ac:dyDescent="0.3">
      <c r="A479" s="85" t="s">
        <v>737</v>
      </c>
      <c r="B479" s="86">
        <v>46161</v>
      </c>
      <c r="C479" s="87" t="s">
        <v>318</v>
      </c>
      <c r="D479" s="88" t="s">
        <v>766</v>
      </c>
      <c r="E479" s="87" t="s">
        <v>428</v>
      </c>
      <c r="F479" s="88" t="s">
        <v>767</v>
      </c>
      <c r="G479" s="88" t="s">
        <v>768</v>
      </c>
      <c r="H479" s="87" t="s">
        <v>269</v>
      </c>
      <c r="I479" s="87" t="s">
        <v>250</v>
      </c>
      <c r="J479" s="88">
        <v>3</v>
      </c>
      <c r="K479" s="88">
        <v>3</v>
      </c>
      <c r="L479" s="88">
        <v>3</v>
      </c>
      <c r="M479" s="89">
        <v>46161</v>
      </c>
      <c r="N479" s="88">
        <v>0.25</v>
      </c>
      <c r="O479" s="90" t="s">
        <v>432</v>
      </c>
      <c r="Q479" s="91">
        <v>21</v>
      </c>
      <c r="R479" s="91" t="s">
        <v>735</v>
      </c>
      <c r="S479" s="92" t="s">
        <v>740</v>
      </c>
      <c r="T479" s="93" t="s">
        <v>237</v>
      </c>
      <c r="U479" s="94" t="s">
        <v>433</v>
      </c>
      <c r="W479" s="95">
        <v>0.25</v>
      </c>
      <c r="X479" s="96"/>
      <c r="Y479" s="97">
        <f t="shared" si="520"/>
        <v>46161</v>
      </c>
      <c r="Z479" s="98" t="str">
        <f>SUBSTITUTE('Digitas UK Task 26'!$O479, "Complet", "Not Requir")</f>
        <v>Not Required</v>
      </c>
      <c r="AA479" s="98" t="str">
        <f t="shared" si="511"/>
        <v>WELLA | FY26-Q4 SALLY SELLOUT | TAG REQUEST</v>
      </c>
      <c r="AB479" s="99"/>
      <c r="AF479" s="84" t="str">
        <f t="shared" si="572"/>
        <v/>
      </c>
      <c r="AH479" s="84" t="str">
        <f t="shared" si="546"/>
        <v>PL_3_CR_3_AD_3_Jira_0_</v>
      </c>
      <c r="AI479" s="84" t="str">
        <f t="shared" si="570"/>
        <v>PL_3_CR_3_AD_3_Jira_0_</v>
      </c>
      <c r="AJ479" s="84" t="str">
        <f>IF(Z479&lt;&gt;"Done","",(_xlfn.CONCAT("PL_",DigitasUKAdOp_26Team[[#This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80" spans="1:36" ht="15.75" customHeight="1" x14ac:dyDescent="0.3">
      <c r="A480" s="85" t="s">
        <v>737</v>
      </c>
      <c r="B480" s="86">
        <v>46161</v>
      </c>
      <c r="C480" s="87" t="s">
        <v>318</v>
      </c>
      <c r="D480" s="88" t="s">
        <v>766</v>
      </c>
      <c r="E480" s="87" t="s">
        <v>428</v>
      </c>
      <c r="F480" s="88" t="s">
        <v>767</v>
      </c>
      <c r="G480" s="88" t="s">
        <v>768</v>
      </c>
      <c r="H480" s="87" t="s">
        <v>443</v>
      </c>
      <c r="I480" s="87" t="s">
        <v>250</v>
      </c>
      <c r="J480" s="88">
        <v>0</v>
      </c>
      <c r="K480" s="88">
        <v>0</v>
      </c>
      <c r="L480" s="88">
        <v>0</v>
      </c>
      <c r="M480" s="89">
        <v>46161</v>
      </c>
      <c r="N480" s="88">
        <v>0.75</v>
      </c>
      <c r="O480" s="90" t="s">
        <v>432</v>
      </c>
      <c r="Q480" s="91">
        <v>21</v>
      </c>
      <c r="R480" s="91" t="s">
        <v>735</v>
      </c>
      <c r="S480" s="92" t="s">
        <v>740</v>
      </c>
      <c r="T480" s="93" t="s">
        <v>250</v>
      </c>
      <c r="U480" s="94" t="s">
        <v>444</v>
      </c>
      <c r="W480" s="95">
        <v>0</v>
      </c>
      <c r="X480" s="96"/>
      <c r="Y480" s="97">
        <f t="shared" si="520"/>
        <v>46161</v>
      </c>
      <c r="Z480" s="98" t="str">
        <f>SUBSTITUTE('Digitas UK Task 26'!$O480, "Complet", "Not Requir")</f>
        <v>Not Required</v>
      </c>
      <c r="AA480" s="98" t="str">
        <f t="shared" si="511"/>
        <v>WELLA | FY26-Q4 SALLY SELLOUT | TAG REQUEST</v>
      </c>
      <c r="AB480" s="99"/>
      <c r="AF480" s="84" t="str">
        <f t="shared" si="572"/>
        <v/>
      </c>
      <c r="AH480" s="84" t="str">
        <f t="shared" si="546"/>
        <v>PL_0_CR_0_AD_0_Jira_0_</v>
      </c>
      <c r="AI480" s="84" t="str">
        <f t="shared" si="570"/>
        <v/>
      </c>
      <c r="AJ480" s="84" t="str">
        <f>IF(Z480&lt;&gt;"Done","",(_xlfn.CONCAT("PL_",DigitasUKAdOp_26Team[[#This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81" spans="1:36" ht="15.75" customHeight="1" x14ac:dyDescent="0.3">
      <c r="A481" s="85" t="s">
        <v>737</v>
      </c>
      <c r="B481" s="86">
        <v>46161</v>
      </c>
      <c r="C481" s="87" t="s">
        <v>334</v>
      </c>
      <c r="D481" s="88" t="s">
        <v>465</v>
      </c>
      <c r="E481" s="87" t="s">
        <v>428</v>
      </c>
      <c r="F481" s="88" t="s">
        <v>707</v>
      </c>
      <c r="G481" s="88" t="s">
        <v>769</v>
      </c>
      <c r="H481" s="87" t="s">
        <v>269</v>
      </c>
      <c r="I481" s="87" t="s">
        <v>431</v>
      </c>
      <c r="J481" s="88">
        <v>9</v>
      </c>
      <c r="K481" s="88">
        <v>9</v>
      </c>
      <c r="L481" s="88">
        <v>9</v>
      </c>
      <c r="M481" s="89">
        <v>46161</v>
      </c>
      <c r="N481" s="88">
        <v>0.5</v>
      </c>
      <c r="O481" s="90" t="s">
        <v>432</v>
      </c>
      <c r="Q481" s="91">
        <v>21</v>
      </c>
      <c r="R481" s="91" t="s">
        <v>735</v>
      </c>
      <c r="S481" s="92" t="s">
        <v>740</v>
      </c>
      <c r="T481" s="93" t="s">
        <v>237</v>
      </c>
      <c r="U481" s="94" t="s">
        <v>433</v>
      </c>
      <c r="W481" s="95">
        <v>0.25</v>
      </c>
      <c r="X481" s="96"/>
      <c r="Y481" s="97">
        <f t="shared" si="520"/>
        <v>46161</v>
      </c>
      <c r="Z481" s="98" t="str">
        <f>SUBSTITUTE('Digitas UK Task 26'!$O481, "Complet", "Not Requir")</f>
        <v>Not Required</v>
      </c>
      <c r="AA481" s="98" t="str">
        <f t="shared" si="511"/>
        <v>RE: Klaviyo EMEA - Brand - UKI - YT - Trafficking Request</v>
      </c>
      <c r="AB481" s="99"/>
      <c r="AF481" s="84" t="str">
        <f t="shared" si="572"/>
        <v/>
      </c>
      <c r="AH481" s="84" t="str">
        <f t="shared" si="546"/>
        <v>PL_9_CR_9_AD_9_Jira_0_</v>
      </c>
      <c r="AI481" s="84" t="str">
        <f t="shared" si="570"/>
        <v>PL_9_CR_9_AD_9_Jira_0_</v>
      </c>
      <c r="AJ481" s="84" t="str">
        <f>IF(Z481&lt;&gt;"Done","",(_xlfn.CONCAT("PL_",DigitasUKAdOp_26Team[[#This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82" spans="1:36" ht="15.75" customHeight="1" x14ac:dyDescent="0.3">
      <c r="A482" s="85" t="s">
        <v>737</v>
      </c>
      <c r="B482" s="86">
        <v>46161</v>
      </c>
      <c r="C482" s="87" t="s">
        <v>318</v>
      </c>
      <c r="D482" s="88" t="s">
        <v>766</v>
      </c>
      <c r="E482" s="87" t="s">
        <v>428</v>
      </c>
      <c r="F482" s="88" t="s">
        <v>767</v>
      </c>
      <c r="G482" s="88" t="s">
        <v>768</v>
      </c>
      <c r="H482" s="87" t="s">
        <v>269</v>
      </c>
      <c r="I482" s="87" t="s">
        <v>250</v>
      </c>
      <c r="J482" s="88">
        <v>3</v>
      </c>
      <c r="K482" s="88">
        <v>3</v>
      </c>
      <c r="L482" s="88">
        <v>3</v>
      </c>
      <c r="M482" s="89">
        <v>46161</v>
      </c>
      <c r="N482" s="88">
        <v>0.25</v>
      </c>
      <c r="O482" s="90" t="s">
        <v>432</v>
      </c>
      <c r="Q482" s="91">
        <v>21</v>
      </c>
      <c r="R482" s="91" t="s">
        <v>735</v>
      </c>
      <c r="S482" s="92" t="s">
        <v>740</v>
      </c>
      <c r="T482" s="93" t="s">
        <v>237</v>
      </c>
      <c r="U482" s="94" t="s">
        <v>433</v>
      </c>
      <c r="W482" s="95">
        <v>0.25</v>
      </c>
      <c r="X482" s="96"/>
      <c r="Y482" s="97">
        <f t="shared" si="520"/>
        <v>46161</v>
      </c>
      <c r="Z482" s="98" t="str">
        <f>SUBSTITUTE('Digitas UK Task 26'!$O482, "Complet", "Not Requir")</f>
        <v>Not Required</v>
      </c>
      <c r="AA482" s="98" t="str">
        <f t="shared" si="511"/>
        <v>WELLA | FY26-Q4 SALLY SELLOUT | TAG REQUEST</v>
      </c>
      <c r="AB482" s="99"/>
      <c r="AF482" s="84" t="str">
        <f t="shared" si="572"/>
        <v/>
      </c>
      <c r="AH482" s="84" t="str">
        <f t="shared" si="546"/>
        <v>PL_3_CR_3_AD_3_Jira_0_</v>
      </c>
      <c r="AI482" s="84" t="str">
        <f t="shared" si="570"/>
        <v>PL_3_CR_3_AD_3_Jira_0_</v>
      </c>
      <c r="AJ482" s="84" t="str">
        <f>IF(Z482&lt;&gt;"Done","",(_xlfn.CONCAT("PL_",DigitasUKAdOp_26Team[[#This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83" spans="1:36" ht="15.75" customHeight="1" x14ac:dyDescent="0.3">
      <c r="A483" s="85" t="s">
        <v>757</v>
      </c>
      <c r="B483" s="86">
        <v>46164</v>
      </c>
      <c r="C483" s="87" t="s">
        <v>338</v>
      </c>
      <c r="D483" s="88" t="s">
        <v>496</v>
      </c>
      <c r="E483" s="87" t="s">
        <v>428</v>
      </c>
      <c r="F483" s="88" t="s">
        <v>441</v>
      </c>
      <c r="G483" s="88" t="s">
        <v>770</v>
      </c>
      <c r="H483" s="87" t="s">
        <v>269</v>
      </c>
      <c r="I483" s="87" t="s">
        <v>250</v>
      </c>
      <c r="J483" s="88">
        <v>2</v>
      </c>
      <c r="K483" s="88">
        <v>2</v>
      </c>
      <c r="L483" s="88">
        <v>2</v>
      </c>
      <c r="M483" s="89">
        <v>46164</v>
      </c>
      <c r="N483" s="88">
        <v>0.25</v>
      </c>
      <c r="O483" s="90" t="s">
        <v>432</v>
      </c>
      <c r="Q483" s="91">
        <v>21</v>
      </c>
      <c r="R483" s="91" t="s">
        <v>735</v>
      </c>
      <c r="S483" s="92" t="s">
        <v>760</v>
      </c>
      <c r="T483" s="93" t="s">
        <v>237</v>
      </c>
      <c r="U483" s="94" t="s">
        <v>433</v>
      </c>
      <c r="W483" s="95">
        <v>0.25</v>
      </c>
      <c r="X483" s="96"/>
      <c r="Y483" s="97">
        <f t="shared" si="520"/>
        <v>46164</v>
      </c>
      <c r="Z483" s="98" t="str">
        <f>SUBSTITUTE('Digitas UK Task 26'!$O483, "Complet", "Not Requir")</f>
        <v>Not Required</v>
      </c>
      <c r="AA483" s="98" t="str">
        <f t="shared" si="511"/>
        <v>Bavarian Nordics EMEA - Brand - UK - Vimkunya - Trafficking Request</v>
      </c>
      <c r="AB483" s="99"/>
      <c r="AF483" s="84" t="str">
        <f t="shared" si="572"/>
        <v/>
      </c>
      <c r="AH483" s="84" t="str">
        <f t="shared" si="546"/>
        <v>PL_2_CR_2_AD_2_Jira_0_</v>
      </c>
      <c r="AI483" s="84" t="str">
        <f t="shared" si="570"/>
        <v>PL_2_CR_2_AD_2_Jira_0_</v>
      </c>
      <c r="AJ483" s="84" t="str">
        <f>IF(Z483&lt;&gt;"Done","",(_xlfn.CONCAT("PL_",DigitasUKAdOp_26Team[[#This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84" spans="1:36" ht="15.75" customHeight="1" x14ac:dyDescent="0.3">
      <c r="A484" s="85" t="s">
        <v>757</v>
      </c>
      <c r="B484" s="86">
        <v>46164</v>
      </c>
      <c r="C484" s="87" t="s">
        <v>338</v>
      </c>
      <c r="D484" s="88" t="s">
        <v>496</v>
      </c>
      <c r="E484" s="87" t="s">
        <v>428</v>
      </c>
      <c r="F484" s="88" t="s">
        <v>441</v>
      </c>
      <c r="G484" s="88" t="s">
        <v>770</v>
      </c>
      <c r="H484" s="87" t="s">
        <v>443</v>
      </c>
      <c r="I484" s="87" t="s">
        <v>250</v>
      </c>
      <c r="J484" s="88">
        <v>0</v>
      </c>
      <c r="K484" s="88">
        <v>0</v>
      </c>
      <c r="L484" s="88">
        <v>0</v>
      </c>
      <c r="M484" s="89">
        <v>46164</v>
      </c>
      <c r="N484" s="88">
        <v>0.25</v>
      </c>
      <c r="O484" s="90" t="s">
        <v>432</v>
      </c>
      <c r="Q484" s="91">
        <v>21</v>
      </c>
      <c r="R484" s="91" t="s">
        <v>735</v>
      </c>
      <c r="S484" s="92" t="s">
        <v>760</v>
      </c>
      <c r="T484" s="93" t="s">
        <v>250</v>
      </c>
      <c r="U484" s="94" t="s">
        <v>444</v>
      </c>
      <c r="W484" s="95">
        <v>0</v>
      </c>
      <c r="X484" s="96"/>
      <c r="Y484" s="97">
        <f t="shared" si="520"/>
        <v>46164</v>
      </c>
      <c r="Z484" s="98" t="str">
        <f>SUBSTITUTE('Digitas UK Task 26'!$O484, "Complet", "Not Requir")</f>
        <v>Not Required</v>
      </c>
      <c r="AA484" s="98" t="str">
        <f t="shared" si="511"/>
        <v>Bavarian Nordics EMEA - Brand - UK - Vimkunya - Trafficking Request</v>
      </c>
      <c r="AB484" s="99"/>
      <c r="AF484" s="84" t="str">
        <f t="shared" si="572"/>
        <v/>
      </c>
      <c r="AH484" s="84" t="str">
        <f t="shared" si="546"/>
        <v>PL_0_CR_0_AD_0_Jira_0_</v>
      </c>
      <c r="AI484" s="84" t="str">
        <f t="shared" si="570"/>
        <v/>
      </c>
      <c r="AJ484" s="84" t="str">
        <f>IF(Z484&lt;&gt;"Done","",(_xlfn.CONCAT("PL_",DigitasUKAdOp_26Team[[#This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85" spans="1:36" ht="15.75" customHeight="1" x14ac:dyDescent="0.3">
      <c r="A485" s="85" t="s">
        <v>734</v>
      </c>
      <c r="B485" s="86">
        <v>46167</v>
      </c>
      <c r="C485" s="87" t="s">
        <v>334</v>
      </c>
      <c r="D485" s="88" t="s">
        <v>465</v>
      </c>
      <c r="E485" s="87" t="s">
        <v>428</v>
      </c>
      <c r="F485" s="88" t="s">
        <v>470</v>
      </c>
      <c r="G485" s="88" t="s">
        <v>771</v>
      </c>
      <c r="H485" s="87" t="s">
        <v>269</v>
      </c>
      <c r="I485" s="87" t="s">
        <v>237</v>
      </c>
      <c r="J485" s="88">
        <v>30</v>
      </c>
      <c r="K485" s="88">
        <v>30</v>
      </c>
      <c r="L485" s="88">
        <v>30</v>
      </c>
      <c r="M485" s="89">
        <v>46167</v>
      </c>
      <c r="N485" s="88">
        <v>1</v>
      </c>
      <c r="O485" s="90" t="s">
        <v>432</v>
      </c>
      <c r="Q485" s="91">
        <v>22</v>
      </c>
      <c r="R485" s="91" t="s">
        <v>735</v>
      </c>
      <c r="S485" s="92" t="s">
        <v>736</v>
      </c>
      <c r="T485" s="93" t="s">
        <v>250</v>
      </c>
      <c r="U485" s="94" t="s">
        <v>433</v>
      </c>
      <c r="W485" s="95">
        <v>0.5</v>
      </c>
      <c r="X485" s="96"/>
      <c r="Y485" s="97">
        <f t="shared" si="520"/>
        <v>46167</v>
      </c>
      <c r="Z485" s="98" t="str">
        <f>SUBSTITUTE('Digitas UK Task 26'!$O485, "Complet", "Not Requir")</f>
        <v>Not Required</v>
      </c>
      <c r="AA485" s="98" t="str">
        <f t="shared" ref="AA485:AA548" si="573">IF(G485="","",G485)</f>
        <v>RE: Klaviyo EMEA - Trafficking Request - Dermalogica Updated, Alessi MOF &amp; BOF, Freshly MOF &amp; MOF - ES &amp; IT - Display - Q1 2026</v>
      </c>
      <c r="AB485" s="99"/>
      <c r="AF485" s="84" t="str">
        <f t="shared" si="572"/>
        <v/>
      </c>
      <c r="AH485" s="84" t="str">
        <f t="shared" si="546"/>
        <v>PL_30_CR_30_AD_30_Jira_0_</v>
      </c>
      <c r="AI485" s="84" t="str">
        <f t="shared" si="570"/>
        <v>PL_30_CR_30_AD_30_Jira_0_</v>
      </c>
      <c r="AJ485" s="84" t="str">
        <f>IF(Z485&lt;&gt;"Done","",(_xlfn.CONCAT("PL_",DigitasUKAdOp_26Team[[#This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86" spans="1:36" ht="15.75" customHeight="1" x14ac:dyDescent="0.3">
      <c r="A486" s="85" t="s">
        <v>734</v>
      </c>
      <c r="B486" s="86">
        <v>46167</v>
      </c>
      <c r="C486" s="87" t="s">
        <v>334</v>
      </c>
      <c r="D486" s="88" t="s">
        <v>465</v>
      </c>
      <c r="E486" s="87" t="s">
        <v>428</v>
      </c>
      <c r="F486" s="88" t="s">
        <v>470</v>
      </c>
      <c r="G486" s="88" t="s">
        <v>771</v>
      </c>
      <c r="H486" s="87" t="s">
        <v>443</v>
      </c>
      <c r="I486" s="87" t="s">
        <v>237</v>
      </c>
      <c r="J486" s="88">
        <v>0</v>
      </c>
      <c r="K486" s="88">
        <v>0</v>
      </c>
      <c r="L486" s="88">
        <v>0</v>
      </c>
      <c r="M486" s="89">
        <v>46167</v>
      </c>
      <c r="N486" s="88">
        <v>0.5</v>
      </c>
      <c r="O486" s="90" t="s">
        <v>432</v>
      </c>
      <c r="Q486" s="91">
        <v>22</v>
      </c>
      <c r="R486" s="91" t="s">
        <v>735</v>
      </c>
      <c r="S486" s="92" t="s">
        <v>736</v>
      </c>
      <c r="T486" s="93" t="s">
        <v>237</v>
      </c>
      <c r="U486" s="94" t="s">
        <v>444</v>
      </c>
      <c r="W486" s="95">
        <v>0</v>
      </c>
      <c r="X486" s="96"/>
      <c r="Y486" s="97">
        <f t="shared" si="520"/>
        <v>46167</v>
      </c>
      <c r="Z486" s="98" t="str">
        <f>SUBSTITUTE('Digitas UK Task 26'!$O486, "Complet", "Not Requir")</f>
        <v>Not Required</v>
      </c>
      <c r="AA486" s="98" t="str">
        <f t="shared" si="573"/>
        <v>RE: Klaviyo EMEA - Trafficking Request - Dermalogica Updated, Alessi MOF &amp; BOF, Freshly MOF &amp; MOF - ES &amp; IT - Display - Q1 2026</v>
      </c>
      <c r="AB486" s="99"/>
      <c r="AF486" s="84" t="str">
        <f t="shared" si="572"/>
        <v/>
      </c>
      <c r="AH486" s="84" t="str">
        <f t="shared" si="546"/>
        <v>PL_0_CR_0_AD_0_Jira_0_</v>
      </c>
      <c r="AI486" s="84" t="str">
        <f t="shared" si="570"/>
        <v/>
      </c>
      <c r="AJ486" s="84" t="str">
        <f>IF(Z486&lt;&gt;"Done","",(_xlfn.CONCAT("PL_",DigitasUKAdOp_26Team[[#This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87" spans="1:36" ht="15.75" customHeight="1" x14ac:dyDescent="0.3">
      <c r="A487" s="85" t="s">
        <v>737</v>
      </c>
      <c r="B487" s="86">
        <v>46168</v>
      </c>
      <c r="C487" s="87" t="s">
        <v>334</v>
      </c>
      <c r="D487" s="88" t="s">
        <v>465</v>
      </c>
      <c r="E487" s="87" t="s">
        <v>428</v>
      </c>
      <c r="F487" s="88" t="s">
        <v>470</v>
      </c>
      <c r="G487" s="88" t="s">
        <v>771</v>
      </c>
      <c r="H487" s="87" t="s">
        <v>269</v>
      </c>
      <c r="I487" s="87" t="s">
        <v>431</v>
      </c>
      <c r="J487" s="88">
        <v>10</v>
      </c>
      <c r="K487" s="88">
        <v>10</v>
      </c>
      <c r="L487" s="88">
        <v>10</v>
      </c>
      <c r="M487" s="89">
        <v>46168</v>
      </c>
      <c r="N487" s="88">
        <v>0.75</v>
      </c>
      <c r="O487" s="90" t="s">
        <v>432</v>
      </c>
      <c r="Q487" s="91">
        <v>22</v>
      </c>
      <c r="R487" s="91" t="s">
        <v>735</v>
      </c>
      <c r="S487" s="92" t="s">
        <v>740</v>
      </c>
      <c r="T487" s="93" t="s">
        <v>250</v>
      </c>
      <c r="U487" s="94" t="s">
        <v>433</v>
      </c>
      <c r="W487" s="95">
        <v>0.5</v>
      </c>
      <c r="X487" s="96"/>
      <c r="Y487" s="97">
        <f t="shared" si="520"/>
        <v>46168</v>
      </c>
      <c r="Z487" s="98" t="str">
        <f>SUBSTITUTE('Digitas UK Task 26'!$O487, "Complet", "Not Requir")</f>
        <v>Not Required</v>
      </c>
      <c r="AA487" s="98" t="str">
        <f t="shared" si="573"/>
        <v>RE: Klaviyo EMEA - Trafficking Request - Dermalogica Updated, Alessi MOF &amp; BOF, Freshly MOF &amp; MOF - ES &amp; IT - Display - Q1 2026</v>
      </c>
      <c r="AB487" s="99"/>
      <c r="AF487" s="84" t="str">
        <f t="shared" si="572"/>
        <v/>
      </c>
      <c r="AH487" s="84" t="str">
        <f t="shared" si="546"/>
        <v>PL_10_CR_10_AD_10_Jira_0_</v>
      </c>
      <c r="AI487" s="84" t="str">
        <f t="shared" si="570"/>
        <v>PL_10_CR_10_AD_10_Jira_0_</v>
      </c>
      <c r="AJ487" s="84" t="str">
        <f>IF(Z487&lt;&gt;"Done","",(_xlfn.CONCAT("PL_",DigitasUKAdOp_26Team[[#This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88" spans="1:36" ht="15.75" customHeight="1" x14ac:dyDescent="0.3">
      <c r="A488" s="85" t="s">
        <v>737</v>
      </c>
      <c r="B488" s="86">
        <v>46168</v>
      </c>
      <c r="C488" s="87" t="s">
        <v>355</v>
      </c>
      <c r="D488" s="88" t="s">
        <v>514</v>
      </c>
      <c r="E488" s="87" t="s">
        <v>428</v>
      </c>
      <c r="F488" s="88" t="s">
        <v>772</v>
      </c>
      <c r="G488" s="88" t="s">
        <v>773</v>
      </c>
      <c r="H488" s="87" t="s">
        <v>443</v>
      </c>
      <c r="I488" s="87" t="s">
        <v>237</v>
      </c>
      <c r="J488" s="88">
        <v>0</v>
      </c>
      <c r="K488" s="88">
        <v>0</v>
      </c>
      <c r="L488" s="88">
        <v>0</v>
      </c>
      <c r="M488" s="89">
        <v>46168</v>
      </c>
      <c r="N488" s="88">
        <v>1</v>
      </c>
      <c r="O488" s="90" t="s">
        <v>432</v>
      </c>
      <c r="Q488" s="91">
        <v>22</v>
      </c>
      <c r="R488" s="91" t="s">
        <v>735</v>
      </c>
      <c r="S488" s="92" t="s">
        <v>740</v>
      </c>
      <c r="T488" s="93" t="s">
        <v>237</v>
      </c>
      <c r="U488" s="94" t="s">
        <v>444</v>
      </c>
      <c r="W488" s="95">
        <v>0</v>
      </c>
      <c r="X488" s="96"/>
      <c r="Y488" s="97">
        <f t="shared" si="520"/>
        <v>46168</v>
      </c>
      <c r="Z488" s="98" t="str">
        <f>SUBSTITUTE('Digitas UK Task 26'!$O488, "Complet", "Not Requir")</f>
        <v>Not Required</v>
      </c>
      <c r="AA488" s="98" t="str">
        <f t="shared" si="573"/>
        <v>https://jira.publicismedia.com/browse/TAAGPNG-1960</v>
      </c>
      <c r="AB488" s="99"/>
      <c r="AF488" s="84" t="str">
        <f t="shared" si="572"/>
        <v/>
      </c>
      <c r="AH488" s="84" t="str">
        <f t="shared" si="546"/>
        <v>PL_0_CR_0_AD_0_Jira_1960_</v>
      </c>
      <c r="AI488" s="84" t="str">
        <f t="shared" si="570"/>
        <v/>
      </c>
      <c r="AJ488" s="84" t="str">
        <f>IF(Z488&lt;&gt;"Done","",(_xlfn.CONCAT("PL_",DigitasUKAdOp_26Team[[#This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89" spans="1:36" ht="15.75" customHeight="1" x14ac:dyDescent="0.3">
      <c r="A489" s="85" t="s">
        <v>737</v>
      </c>
      <c r="B489" s="86">
        <v>46168</v>
      </c>
      <c r="C489" s="87" t="s">
        <v>355</v>
      </c>
      <c r="D489" s="88" t="s">
        <v>514</v>
      </c>
      <c r="E489" s="87" t="s">
        <v>428</v>
      </c>
      <c r="F489" s="88" t="s">
        <v>772</v>
      </c>
      <c r="G489" s="88" t="s">
        <v>773</v>
      </c>
      <c r="H489" s="87" t="s">
        <v>521</v>
      </c>
      <c r="I489" s="87" t="s">
        <v>237</v>
      </c>
      <c r="J489" s="88">
        <v>0</v>
      </c>
      <c r="K489" s="88">
        <v>0</v>
      </c>
      <c r="L489" s="88">
        <v>0</v>
      </c>
      <c r="M489" s="89">
        <v>46168</v>
      </c>
      <c r="N489" s="88">
        <v>1</v>
      </c>
      <c r="O489" s="90" t="s">
        <v>432</v>
      </c>
      <c r="P489" s="88" t="s">
        <v>774</v>
      </c>
      <c r="Q489" s="91">
        <v>22</v>
      </c>
      <c r="R489" s="91" t="s">
        <v>735</v>
      </c>
      <c r="S489" s="92" t="s">
        <v>740</v>
      </c>
      <c r="T489" s="93" t="s">
        <v>237</v>
      </c>
      <c r="U489" s="94" t="s">
        <v>444</v>
      </c>
      <c r="W489" s="95">
        <v>0</v>
      </c>
      <c r="X489" s="96"/>
      <c r="Y489" s="97">
        <f t="shared" ref="Y489:Y552" si="574">IF(M489="","",M489)</f>
        <v>46168</v>
      </c>
      <c r="Z489" s="98" t="str">
        <f>SUBSTITUTE('Digitas UK Task 26'!$O489, "Complet", "Not Requir")</f>
        <v>Not Required</v>
      </c>
      <c r="AA489" s="98" t="str">
        <f t="shared" si="573"/>
        <v>https://jira.publicismedia.com/browse/TAAGPNG-1960</v>
      </c>
      <c r="AB489" s="99"/>
      <c r="AF489" s="84" t="str">
        <f t="shared" si="572"/>
        <v/>
      </c>
      <c r="AH489" s="84" t="str">
        <f t="shared" si="546"/>
        <v>PL_0_CR_0_AD_0_Jira_1960_</v>
      </c>
      <c r="AI489" s="84" t="str">
        <f t="shared" si="570"/>
        <v/>
      </c>
      <c r="AJ489" s="84" t="str">
        <f>IF(Z489&lt;&gt;"Done","",(_xlfn.CONCAT("PL_",DigitasUKAdOp_26Team[[#This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90" spans="1:36" ht="15.75" customHeight="1" x14ac:dyDescent="0.3">
      <c r="A490" s="85" t="s">
        <v>737</v>
      </c>
      <c r="B490" s="86">
        <v>46168</v>
      </c>
      <c r="C490" s="87" t="s">
        <v>355</v>
      </c>
      <c r="D490" s="88" t="s">
        <v>514</v>
      </c>
      <c r="E490" s="87" t="s">
        <v>428</v>
      </c>
      <c r="F490" s="88" t="s">
        <v>772</v>
      </c>
      <c r="G490" s="88" t="s">
        <v>773</v>
      </c>
      <c r="H490" s="87" t="s">
        <v>269</v>
      </c>
      <c r="I490" s="87" t="s">
        <v>237</v>
      </c>
      <c r="J490" s="88">
        <v>100</v>
      </c>
      <c r="K490" s="88">
        <v>100</v>
      </c>
      <c r="L490" s="88">
        <v>100</v>
      </c>
      <c r="M490" s="89">
        <v>46168</v>
      </c>
      <c r="N490" s="88">
        <v>6</v>
      </c>
      <c r="O490" s="90" t="s">
        <v>432</v>
      </c>
      <c r="Q490" s="91">
        <v>22</v>
      </c>
      <c r="R490" s="91" t="s">
        <v>735</v>
      </c>
      <c r="S490" s="92" t="s">
        <v>740</v>
      </c>
      <c r="T490" s="93" t="s">
        <v>250</v>
      </c>
      <c r="U490" s="94" t="s">
        <v>433</v>
      </c>
      <c r="V490" s="95" t="s">
        <v>775</v>
      </c>
      <c r="W490" s="95">
        <v>4</v>
      </c>
      <c r="X490" s="96"/>
      <c r="Y490" s="97">
        <f t="shared" si="574"/>
        <v>46168</v>
      </c>
      <c r="Z490" s="98" t="str">
        <f>SUBSTITUTE('Digitas UK Task 26'!$O490, "Complet", "Not Requir")</f>
        <v>Not Required</v>
      </c>
      <c r="AA490" s="98" t="str">
        <f t="shared" si="573"/>
        <v>https://jira.publicismedia.com/browse/TAAGPNG-1960</v>
      </c>
      <c r="AB490" s="99"/>
      <c r="AF490" s="84" t="str">
        <f t="shared" si="572"/>
        <v/>
      </c>
      <c r="AH490" s="84" t="str">
        <f t="shared" si="546"/>
        <v>PL_100_CR_100_AD_100_Jira_1960_</v>
      </c>
      <c r="AI490" s="84" t="str">
        <f t="shared" si="570"/>
        <v>PL_100_CR_100_AD_100_Jira_1960_</v>
      </c>
      <c r="AJ490" s="84" t="str">
        <f>IF(Z490&lt;&gt;"Done","",(_xlfn.CONCAT("PL_",DigitasUKAdOp_26Team[[#This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91" spans="1:36" ht="15.75" customHeight="1" x14ac:dyDescent="0.3">
      <c r="A491" s="85" t="s">
        <v>757</v>
      </c>
      <c r="B491" s="86">
        <v>46171</v>
      </c>
      <c r="C491" s="87" t="s">
        <v>318</v>
      </c>
      <c r="D491" s="88" t="s">
        <v>435</v>
      </c>
      <c r="E491" s="87" t="s">
        <v>428</v>
      </c>
      <c r="G491" s="88" t="s">
        <v>747</v>
      </c>
      <c r="H491" s="87" t="s">
        <v>269</v>
      </c>
      <c r="I491" s="87" t="s">
        <v>237</v>
      </c>
      <c r="J491" s="88">
        <v>10</v>
      </c>
      <c r="K491" s="88">
        <v>10</v>
      </c>
      <c r="L491" s="88">
        <v>10</v>
      </c>
      <c r="M491" s="89">
        <v>46171</v>
      </c>
      <c r="N491" s="88">
        <v>0.5</v>
      </c>
      <c r="O491" s="90" t="s">
        <v>432</v>
      </c>
      <c r="Q491" s="91">
        <v>22</v>
      </c>
      <c r="R491" s="91" t="s">
        <v>735</v>
      </c>
      <c r="S491" s="92" t="s">
        <v>760</v>
      </c>
      <c r="T491" s="93" t="s">
        <v>246</v>
      </c>
      <c r="U491" s="94" t="s">
        <v>433</v>
      </c>
      <c r="W491" s="95">
        <v>0.25</v>
      </c>
      <c r="X491" s="96"/>
      <c r="Y491" s="97">
        <f t="shared" si="574"/>
        <v>46171</v>
      </c>
      <c r="Z491" s="98" t="str">
        <f>SUBSTITUTE('Digitas UK Task 26'!$O491, "Complet", "Not Requir")</f>
        <v>Not Required</v>
      </c>
      <c r="AA491" s="98" t="str">
        <f t="shared" si="573"/>
        <v>RE: WELLA | FY26Q4 RTU UK | TAG REQUEST</v>
      </c>
      <c r="AB491" s="99"/>
      <c r="AF491" s="84" t="str">
        <f t="shared" si="572"/>
        <v/>
      </c>
      <c r="AH491" s="84" t="str">
        <f t="shared" si="546"/>
        <v>PL_10_CR_10_AD_10_Jira_0_</v>
      </c>
      <c r="AI491" s="84" t="str">
        <f t="shared" si="570"/>
        <v>PL_10_CR_10_AD_10_Jira_0_</v>
      </c>
      <c r="AJ491" s="84" t="str">
        <f>IF(Z491&lt;&gt;"Done","",(_xlfn.CONCAT("PL_",DigitasUKAdOp_26Team[[#This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92" spans="1:36" ht="15.75" customHeight="1" x14ac:dyDescent="0.3">
      <c r="A492" s="85" t="s">
        <v>757</v>
      </c>
      <c r="B492" s="86">
        <v>46171</v>
      </c>
      <c r="C492" s="87" t="s">
        <v>318</v>
      </c>
      <c r="D492" s="88" t="s">
        <v>435</v>
      </c>
      <c r="E492" s="87" t="s">
        <v>428</v>
      </c>
      <c r="G492" s="88" t="s">
        <v>747</v>
      </c>
      <c r="H492" s="87" t="s">
        <v>443</v>
      </c>
      <c r="I492" s="87" t="s">
        <v>237</v>
      </c>
      <c r="J492" s="88">
        <v>0</v>
      </c>
      <c r="K492" s="88">
        <v>0</v>
      </c>
      <c r="L492" s="88">
        <v>0</v>
      </c>
      <c r="M492" s="89">
        <v>46171</v>
      </c>
      <c r="N492" s="88">
        <v>0.5</v>
      </c>
      <c r="O492" s="90" t="s">
        <v>432</v>
      </c>
      <c r="Q492" s="91">
        <v>22</v>
      </c>
      <c r="R492" s="91" t="s">
        <v>735</v>
      </c>
      <c r="S492" s="92" t="s">
        <v>760</v>
      </c>
      <c r="T492" s="93" t="s">
        <v>237</v>
      </c>
      <c r="U492" s="94" t="s">
        <v>444</v>
      </c>
      <c r="W492" s="95">
        <v>0</v>
      </c>
      <c r="X492" s="96"/>
      <c r="Y492" s="97">
        <f t="shared" si="574"/>
        <v>46171</v>
      </c>
      <c r="Z492" s="98" t="str">
        <f>SUBSTITUTE('Digitas UK Task 26'!$O492, "Complet", "Not Requir")</f>
        <v>Not Required</v>
      </c>
      <c r="AA492" s="98" t="str">
        <f t="shared" si="573"/>
        <v>RE: WELLA | FY26Q4 RTU UK | TAG REQUEST</v>
      </c>
      <c r="AB492" s="99"/>
      <c r="AF492" s="84" t="str">
        <f t="shared" si="572"/>
        <v/>
      </c>
      <c r="AH492" s="84" t="str">
        <f t="shared" si="546"/>
        <v>PL_0_CR_0_AD_0_Jira_0_</v>
      </c>
      <c r="AI492" s="84" t="str">
        <f t="shared" si="570"/>
        <v/>
      </c>
      <c r="AJ492" s="84" t="str">
        <f>IF(Z492&lt;&gt;"Done","",(_xlfn.CONCAT("PL_",DigitasUKAdOp_26Team[[#This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93" spans="1:36" ht="15.75" customHeight="1" x14ac:dyDescent="0.3">
      <c r="A493" s="85" t="s">
        <v>757</v>
      </c>
      <c r="B493" s="86">
        <v>46171</v>
      </c>
      <c r="C493" s="87" t="s">
        <v>355</v>
      </c>
      <c r="D493" s="88" t="s">
        <v>514</v>
      </c>
      <c r="E493" s="87" t="s">
        <v>428</v>
      </c>
      <c r="F493" s="88" t="s">
        <v>776</v>
      </c>
      <c r="G493" s="88" t="s">
        <v>777</v>
      </c>
      <c r="H493" s="87" t="s">
        <v>269</v>
      </c>
      <c r="I493" s="87" t="s">
        <v>246</v>
      </c>
      <c r="J493" s="88">
        <v>50</v>
      </c>
      <c r="K493" s="88">
        <v>50</v>
      </c>
      <c r="L493" s="88">
        <v>50</v>
      </c>
      <c r="M493" s="89">
        <v>46171</v>
      </c>
      <c r="N493" s="88">
        <v>2</v>
      </c>
      <c r="O493" s="90" t="s">
        <v>432</v>
      </c>
      <c r="Q493" s="91">
        <v>22</v>
      </c>
      <c r="R493" s="91" t="s">
        <v>735</v>
      </c>
      <c r="S493" s="92" t="s">
        <v>760</v>
      </c>
      <c r="T493" s="93" t="s">
        <v>250</v>
      </c>
      <c r="U493" s="94" t="s">
        <v>433</v>
      </c>
      <c r="W493" s="95">
        <v>1</v>
      </c>
      <c r="X493" s="96"/>
      <c r="Y493" s="97">
        <f t="shared" si="574"/>
        <v>46171</v>
      </c>
      <c r="Z493" s="98" t="str">
        <f>SUBSTITUTE('Digitas UK Task 26'!$O493, "Complet", "Not Requir")</f>
        <v>Not Required</v>
      </c>
      <c r="AA493" s="98" t="str">
        <f t="shared" si="573"/>
        <v>https://jira.publicismedia.com/browse/TAAGPNG-1962</v>
      </c>
      <c r="AB493" s="99"/>
      <c r="AF493" s="84" t="str">
        <f t="shared" si="572"/>
        <v/>
      </c>
      <c r="AH493" s="84" t="str">
        <f t="shared" si="546"/>
        <v>PL_50_CR_50_AD_50_Jira_1962_</v>
      </c>
      <c r="AI493" s="84" t="str">
        <f t="shared" si="570"/>
        <v>PL_50_CR_50_AD_50_Jira_1962_</v>
      </c>
      <c r="AJ493" s="84" t="str">
        <f>IF(Z493&lt;&gt;"Done","",(_xlfn.CONCAT("PL_",DigitasUKAdOp_26Team[[#This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94" spans="1:36" ht="15.75" customHeight="1" x14ac:dyDescent="0.3">
      <c r="A494" s="85" t="s">
        <v>757</v>
      </c>
      <c r="B494" s="86">
        <v>46171</v>
      </c>
      <c r="C494" s="87" t="s">
        <v>355</v>
      </c>
      <c r="D494" s="88" t="s">
        <v>514</v>
      </c>
      <c r="E494" s="87" t="s">
        <v>428</v>
      </c>
      <c r="F494" s="88" t="s">
        <v>778</v>
      </c>
      <c r="G494" s="88" t="s">
        <v>779</v>
      </c>
      <c r="H494" s="87" t="s">
        <v>269</v>
      </c>
      <c r="I494" s="87" t="s">
        <v>246</v>
      </c>
      <c r="J494" s="88">
        <v>50</v>
      </c>
      <c r="K494" s="88">
        <v>50</v>
      </c>
      <c r="L494" s="88">
        <v>50</v>
      </c>
      <c r="M494" s="89">
        <v>46171</v>
      </c>
      <c r="N494" s="88">
        <v>2</v>
      </c>
      <c r="O494" s="90" t="s">
        <v>432</v>
      </c>
      <c r="Q494" s="91">
        <v>22</v>
      </c>
      <c r="R494" s="91" t="s">
        <v>735</v>
      </c>
      <c r="S494" s="92" t="s">
        <v>760</v>
      </c>
      <c r="T494" s="93" t="s">
        <v>250</v>
      </c>
      <c r="U494" s="94" t="s">
        <v>433</v>
      </c>
      <c r="W494" s="95">
        <v>1</v>
      </c>
      <c r="X494" s="96"/>
      <c r="Y494" s="97">
        <f t="shared" si="574"/>
        <v>46171</v>
      </c>
      <c r="Z494" s="98" t="str">
        <f>SUBSTITUTE('Digitas UK Task 26'!$O494, "Complet", "Not Requir")</f>
        <v>Not Required</v>
      </c>
      <c r="AA494" s="98" t="str">
        <f t="shared" si="573"/>
        <v>https://jira.publicismedia.com/browse/TAAGPNG-1964</v>
      </c>
      <c r="AB494" s="99"/>
      <c r="AF494" s="84" t="str">
        <f t="shared" si="572"/>
        <v/>
      </c>
      <c r="AH494" s="84" t="str">
        <f t="shared" si="546"/>
        <v>PL_50_CR_50_AD_50_Jira_1964_</v>
      </c>
      <c r="AI494" s="84" t="str">
        <f t="shared" si="570"/>
        <v>PL_50_CR_50_AD_50_Jira_1964_</v>
      </c>
      <c r="AJ494" s="84" t="str">
        <f>IF(Z494&lt;&gt;"Done","",(_xlfn.CONCAT("PL_",DigitasUKAdOp_26Team[[#This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95" spans="1:36" ht="15.75" customHeight="1" x14ac:dyDescent="0.3">
      <c r="A495" s="85" t="s">
        <v>757</v>
      </c>
      <c r="B495" s="86">
        <v>46171</v>
      </c>
      <c r="C495" s="87" t="s">
        <v>355</v>
      </c>
      <c r="D495" s="88" t="s">
        <v>514</v>
      </c>
      <c r="E495" s="87" t="s">
        <v>428</v>
      </c>
      <c r="F495" s="88" t="s">
        <v>780</v>
      </c>
      <c r="G495" s="88" t="s">
        <v>781</v>
      </c>
      <c r="H495" s="87" t="s">
        <v>269</v>
      </c>
      <c r="I495" s="87" t="s">
        <v>246</v>
      </c>
      <c r="J495" s="88">
        <v>50</v>
      </c>
      <c r="K495" s="88">
        <v>50</v>
      </c>
      <c r="L495" s="88">
        <v>50</v>
      </c>
      <c r="M495" s="89">
        <v>46171</v>
      </c>
      <c r="N495" s="88">
        <v>2</v>
      </c>
      <c r="O495" s="90" t="s">
        <v>432</v>
      </c>
      <c r="Q495" s="91">
        <v>22</v>
      </c>
      <c r="R495" s="91" t="s">
        <v>735</v>
      </c>
      <c r="S495" s="92" t="s">
        <v>760</v>
      </c>
      <c r="T495" s="93" t="s">
        <v>250</v>
      </c>
      <c r="U495" s="94" t="s">
        <v>433</v>
      </c>
      <c r="W495" s="95">
        <v>1</v>
      </c>
      <c r="X495" s="96"/>
      <c r="Y495" s="97">
        <f t="shared" si="574"/>
        <v>46171</v>
      </c>
      <c r="Z495" s="98" t="str">
        <f>SUBSTITUTE('Digitas UK Task 26'!$O495, "Complet", "Not Requir")</f>
        <v>Not Required</v>
      </c>
      <c r="AA495" s="98" t="str">
        <f t="shared" si="573"/>
        <v>https://jira.publicismedia.com/browse/TAAGPNG-1966</v>
      </c>
      <c r="AB495" s="99"/>
      <c r="AF495" s="84" t="str">
        <f t="shared" si="572"/>
        <v/>
      </c>
      <c r="AH495" s="84" t="str">
        <f t="shared" si="546"/>
        <v>PL_50_CR_50_AD_50_Jira_1966_</v>
      </c>
      <c r="AI495" s="84" t="str">
        <f t="shared" si="570"/>
        <v>PL_50_CR_50_AD_50_Jira_1966_</v>
      </c>
      <c r="AJ495" s="84" t="str">
        <f>IF(Z495&lt;&gt;"Done","",(_xlfn.CONCAT("PL_",DigitasUKAdOp_26Team[[#This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96" spans="1:36" ht="15.75" customHeight="1" x14ac:dyDescent="0.3">
      <c r="A496" s="85" t="s">
        <v>757</v>
      </c>
      <c r="B496" s="86">
        <v>46171</v>
      </c>
      <c r="C496" s="87" t="s">
        <v>318</v>
      </c>
      <c r="D496" s="88" t="s">
        <v>435</v>
      </c>
      <c r="E496" s="87" t="s">
        <v>428</v>
      </c>
      <c r="F496" s="88" t="s">
        <v>767</v>
      </c>
      <c r="G496" s="88" t="s">
        <v>768</v>
      </c>
      <c r="H496" s="87" t="s">
        <v>521</v>
      </c>
      <c r="I496" s="87" t="s">
        <v>250</v>
      </c>
      <c r="J496" s="88">
        <v>0</v>
      </c>
      <c r="K496" s="88">
        <v>0</v>
      </c>
      <c r="L496" s="88">
        <v>0</v>
      </c>
      <c r="M496" s="89">
        <v>46171</v>
      </c>
      <c r="N496" s="88">
        <v>1</v>
      </c>
      <c r="O496" s="90" t="s">
        <v>432</v>
      </c>
      <c r="Q496" s="91">
        <v>22</v>
      </c>
      <c r="R496" s="91" t="s">
        <v>735</v>
      </c>
      <c r="S496" s="92" t="s">
        <v>760</v>
      </c>
      <c r="T496" s="93" t="s">
        <v>250</v>
      </c>
      <c r="U496" s="94" t="s">
        <v>444</v>
      </c>
      <c r="W496" s="95">
        <v>0</v>
      </c>
      <c r="X496" s="96"/>
      <c r="Y496" s="97">
        <f t="shared" si="574"/>
        <v>46171</v>
      </c>
      <c r="Z496" s="98" t="str">
        <f>SUBSTITUTE('Digitas UK Task 26'!$O496, "Complet", "Not Requir")</f>
        <v>Not Required</v>
      </c>
      <c r="AA496" s="98" t="str">
        <f t="shared" si="573"/>
        <v>WELLA | FY26-Q4 SALLY SELLOUT | TAG REQUEST</v>
      </c>
      <c r="AB496" s="99"/>
      <c r="AF496" s="84" t="str">
        <f t="shared" si="572"/>
        <v/>
      </c>
      <c r="AH496" s="84" t="str">
        <f t="shared" si="546"/>
        <v>PL_0_CR_0_AD_0_Jira_0_</v>
      </c>
      <c r="AI496" s="84" t="str">
        <f t="shared" si="570"/>
        <v/>
      </c>
      <c r="AJ496" s="84" t="str">
        <f>IF(Z496&lt;&gt;"Done","",(_xlfn.CONCAT("PL_",DigitasUKAdOp_26Team[[#This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97" spans="1:36" ht="15.75" customHeight="1" x14ac:dyDescent="0.3">
      <c r="A497" s="85" t="s">
        <v>757</v>
      </c>
      <c r="B497" s="86">
        <v>46171</v>
      </c>
      <c r="C497" s="87" t="s">
        <v>334</v>
      </c>
      <c r="D497" s="88" t="s">
        <v>598</v>
      </c>
      <c r="E497" s="87" t="s">
        <v>428</v>
      </c>
      <c r="F497" s="88" t="s">
        <v>707</v>
      </c>
      <c r="G497" s="88" t="s">
        <v>782</v>
      </c>
      <c r="H497" s="87" t="s">
        <v>269</v>
      </c>
      <c r="I497" s="87" t="s">
        <v>250</v>
      </c>
      <c r="J497" s="88">
        <v>14</v>
      </c>
      <c r="K497" s="88">
        <v>14</v>
      </c>
      <c r="L497" s="88">
        <v>14</v>
      </c>
      <c r="M497" s="89">
        <v>46171</v>
      </c>
      <c r="N497" s="88">
        <v>0.75</v>
      </c>
      <c r="O497" s="90" t="s">
        <v>432</v>
      </c>
      <c r="Q497" s="91">
        <v>22</v>
      </c>
      <c r="R497" s="91" t="s">
        <v>735</v>
      </c>
      <c r="S497" s="92" t="s">
        <v>760</v>
      </c>
      <c r="T497" s="93" t="s">
        <v>237</v>
      </c>
      <c r="U497" s="94" t="s">
        <v>433</v>
      </c>
      <c r="V497" s="95" t="s">
        <v>783</v>
      </c>
      <c r="W497" s="95">
        <v>0.5</v>
      </c>
      <c r="X497" s="96"/>
      <c r="Y497" s="97">
        <f t="shared" si="574"/>
        <v>46171</v>
      </c>
      <c r="Z497" s="98" t="str">
        <f>SUBSTITUTE('Digitas UK Task 26'!$O497, "Complet", "Not Requir")</f>
        <v>Not Required</v>
      </c>
      <c r="AA497" s="98" t="str">
        <f t="shared" si="573"/>
        <v>Klaviyo EMEA - Trafficking Request - World Cup - Q2 2026</v>
      </c>
      <c r="AB497" s="99"/>
      <c r="AF497" s="84" t="str">
        <f t="shared" si="572"/>
        <v/>
      </c>
      <c r="AH497" s="84" t="str">
        <f t="shared" ref="AH497:AH560" si="575">IF(B497="","",_xlfn.CONCAT("PL_",J497,"_CR_",K497,"_AD_",L497,"_Jira_",IF(AND(C497="P&amp;G",ISNUMBER(SEARCH("TAAGPNG-",G497))),MID(G497,SEARCH("TAAGPNG-",G497)+8,LEN(G497)-SEARCH("TAAGPNG-",G497)-7),"0"),"_"))</f>
        <v>PL_14_CR_14_AD_14_Jira_0_</v>
      </c>
      <c r="AI497" s="84" t="str">
        <f t="shared" si="570"/>
        <v>PL_14_CR_14_AD_14_Jira_0_</v>
      </c>
      <c r="AJ497" s="84" t="str">
        <f>IF(Z497&lt;&gt;"Done","",(_xlfn.CONCAT("PL_",DigitasUKAdOp_26Team[[#This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98" spans="1:36" ht="15.75" customHeight="1" x14ac:dyDescent="0.3">
      <c r="A498" s="85" t="s">
        <v>784</v>
      </c>
      <c r="B498" s="86">
        <v>46174</v>
      </c>
      <c r="C498" s="87" t="s">
        <v>334</v>
      </c>
      <c r="D498" s="88" t="s">
        <v>598</v>
      </c>
      <c r="E498" s="87" t="s">
        <v>428</v>
      </c>
      <c r="F498" s="88" t="s">
        <v>753</v>
      </c>
      <c r="G498" s="88" t="s">
        <v>782</v>
      </c>
      <c r="H498" s="87" t="s">
        <v>269</v>
      </c>
      <c r="I498" s="87" t="s">
        <v>246</v>
      </c>
      <c r="J498" s="88">
        <v>15</v>
      </c>
      <c r="K498" s="88">
        <v>15</v>
      </c>
      <c r="L498" s="88">
        <v>15</v>
      </c>
      <c r="M498" s="89">
        <v>46174</v>
      </c>
      <c r="N498" s="88">
        <v>2</v>
      </c>
      <c r="O498" s="90" t="s">
        <v>432</v>
      </c>
      <c r="P498" s="88" t="s">
        <v>785</v>
      </c>
      <c r="Q498" s="91">
        <v>23</v>
      </c>
      <c r="R498" s="91" t="s">
        <v>786</v>
      </c>
      <c r="S498" s="92" t="s">
        <v>736</v>
      </c>
      <c r="T498" s="93" t="s">
        <v>237</v>
      </c>
      <c r="U498" s="94" t="s">
        <v>433</v>
      </c>
      <c r="W498" s="95">
        <v>0.5</v>
      </c>
      <c r="X498" s="96"/>
      <c r="Y498" s="97">
        <f t="shared" si="574"/>
        <v>46174</v>
      </c>
      <c r="Z498" s="98" t="str">
        <f>SUBSTITUTE('Digitas UK Task 26'!$O498, "Complet", "Not Requir")</f>
        <v>Not Required</v>
      </c>
      <c r="AA498" s="98" t="str">
        <f t="shared" si="573"/>
        <v>Klaviyo EMEA - Trafficking Request - World Cup - Q2 2026</v>
      </c>
      <c r="AB498" s="99"/>
      <c r="AF498" s="84" t="str">
        <f t="shared" si="572"/>
        <v/>
      </c>
      <c r="AH498" s="84" t="str">
        <f t="shared" si="575"/>
        <v>PL_15_CR_15_AD_15_Jira_0_</v>
      </c>
      <c r="AI498" s="84" t="str">
        <f t="shared" si="570"/>
        <v>PL_15_CR_15_AD_15_Jira_0_</v>
      </c>
      <c r="AJ498" s="84" t="str">
        <f>IF(Z498&lt;&gt;"Done","",(_xlfn.CONCAT("PL_",DigitasUKAdOp_26Team[[#This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499" spans="1:36" ht="15.75" customHeight="1" x14ac:dyDescent="0.3">
      <c r="A499" s="85" t="s">
        <v>784</v>
      </c>
      <c r="B499" s="86">
        <v>46174</v>
      </c>
      <c r="C499" s="87" t="s">
        <v>334</v>
      </c>
      <c r="D499" s="88" t="s">
        <v>598</v>
      </c>
      <c r="E499" s="87" t="s">
        <v>428</v>
      </c>
      <c r="F499" s="88" t="s">
        <v>787</v>
      </c>
      <c r="G499" s="88" t="s">
        <v>782</v>
      </c>
      <c r="H499" s="87" t="s">
        <v>269</v>
      </c>
      <c r="I499" s="87" t="s">
        <v>237</v>
      </c>
      <c r="J499" s="88">
        <v>14</v>
      </c>
      <c r="K499" s="88">
        <v>14</v>
      </c>
      <c r="L499" s="88">
        <v>14</v>
      </c>
      <c r="M499" s="89">
        <v>46174</v>
      </c>
      <c r="N499" s="88">
        <v>0.5</v>
      </c>
      <c r="O499" s="90" t="s">
        <v>432</v>
      </c>
      <c r="Q499" s="91">
        <v>23</v>
      </c>
      <c r="R499" s="91" t="s">
        <v>786</v>
      </c>
      <c r="S499" s="92" t="s">
        <v>736</v>
      </c>
      <c r="T499" s="93" t="s">
        <v>246</v>
      </c>
      <c r="U499" s="94" t="s">
        <v>433</v>
      </c>
      <c r="W499" s="95">
        <v>0.25</v>
      </c>
      <c r="X499" s="96"/>
      <c r="Y499" s="97">
        <f t="shared" si="574"/>
        <v>46174</v>
      </c>
      <c r="Z499" s="98" t="str">
        <f>SUBSTITUTE('Digitas UK Task 26'!$O499, "Complet", "Not Requir")</f>
        <v>Not Required</v>
      </c>
      <c r="AA499" s="98" t="str">
        <f t="shared" si="573"/>
        <v>Klaviyo EMEA - Trafficking Request - World Cup - Q2 2026</v>
      </c>
      <c r="AB499" s="99"/>
      <c r="AF499" s="84" t="str">
        <f t="shared" si="572"/>
        <v/>
      </c>
      <c r="AH499" s="84" t="str">
        <f t="shared" si="575"/>
        <v>PL_14_CR_14_AD_14_Jira_0_</v>
      </c>
      <c r="AI499" s="84" t="str">
        <f t="shared" si="570"/>
        <v>PL_14_CR_14_AD_14_Jira_0_</v>
      </c>
      <c r="AJ499" s="84" t="str">
        <f>IF(Z499&lt;&gt;"Done","",(_xlfn.CONCAT("PL_",DigitasUKAdOp_26Team[[#This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00" spans="1:36" ht="15.75" customHeight="1" x14ac:dyDescent="0.3">
      <c r="A500" s="85" t="s">
        <v>784</v>
      </c>
      <c r="B500" s="86">
        <v>46174</v>
      </c>
      <c r="C500" s="87" t="s">
        <v>334</v>
      </c>
      <c r="D500" s="88" t="s">
        <v>598</v>
      </c>
      <c r="E500" s="87" t="s">
        <v>428</v>
      </c>
      <c r="F500" s="88" t="s">
        <v>707</v>
      </c>
      <c r="G500" s="88" t="s">
        <v>782</v>
      </c>
      <c r="H500" s="87" t="s">
        <v>269</v>
      </c>
      <c r="I500" s="87" t="s">
        <v>237</v>
      </c>
      <c r="J500" s="88">
        <v>14</v>
      </c>
      <c r="K500" s="88">
        <v>14</v>
      </c>
      <c r="L500" s="88">
        <v>14</v>
      </c>
      <c r="M500" s="89">
        <v>46174</v>
      </c>
      <c r="N500" s="88">
        <v>0.5</v>
      </c>
      <c r="O500" s="90" t="s">
        <v>432</v>
      </c>
      <c r="Q500" s="91">
        <v>23</v>
      </c>
      <c r="R500" s="91" t="s">
        <v>786</v>
      </c>
      <c r="S500" s="92" t="s">
        <v>736</v>
      </c>
      <c r="T500" s="93" t="s">
        <v>246</v>
      </c>
      <c r="U500" s="94" t="s">
        <v>433</v>
      </c>
      <c r="W500" s="95">
        <v>0.25</v>
      </c>
      <c r="X500" s="96"/>
      <c r="Y500" s="97">
        <f t="shared" si="574"/>
        <v>46174</v>
      </c>
      <c r="Z500" s="98" t="str">
        <f>SUBSTITUTE('Digitas UK Task 26'!$O500, "Complet", "Not Requir")</f>
        <v>Not Required</v>
      </c>
      <c r="AA500" s="98" t="str">
        <f t="shared" si="573"/>
        <v>Klaviyo EMEA - Trafficking Request - World Cup - Q2 2026</v>
      </c>
      <c r="AB500" s="99"/>
      <c r="AF500" s="84" t="str">
        <f t="shared" si="572"/>
        <v/>
      </c>
      <c r="AH500" s="84" t="str">
        <f t="shared" si="575"/>
        <v>PL_14_CR_14_AD_14_Jira_0_</v>
      </c>
      <c r="AI500" s="84" t="str">
        <f t="shared" si="570"/>
        <v>PL_14_CR_14_AD_14_Jira_0_</v>
      </c>
      <c r="AJ500" s="84" t="str">
        <f>IF(Z500&lt;&gt;"Done","",(_xlfn.CONCAT("PL_",DigitasUKAdOp_26Team[[#This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01" spans="1:36" ht="15.75" customHeight="1" x14ac:dyDescent="0.3">
      <c r="A501" s="85" t="s">
        <v>784</v>
      </c>
      <c r="B501" s="86">
        <v>46174</v>
      </c>
      <c r="C501" s="87" t="s">
        <v>334</v>
      </c>
      <c r="D501" s="88" t="s">
        <v>598</v>
      </c>
      <c r="E501" s="87" t="s">
        <v>428</v>
      </c>
      <c r="F501" s="88" t="s">
        <v>787</v>
      </c>
      <c r="G501" s="88" t="s">
        <v>782</v>
      </c>
      <c r="H501" s="87" t="s">
        <v>443</v>
      </c>
      <c r="I501" s="87" t="s">
        <v>237</v>
      </c>
      <c r="J501" s="88">
        <v>0</v>
      </c>
      <c r="K501" s="88">
        <v>14</v>
      </c>
      <c r="L501" s="88">
        <v>14</v>
      </c>
      <c r="M501" s="89">
        <v>46174</v>
      </c>
      <c r="N501" s="88">
        <v>0.75</v>
      </c>
      <c r="O501" s="90" t="s">
        <v>432</v>
      </c>
      <c r="Q501" s="91">
        <v>23</v>
      </c>
      <c r="R501" s="91" t="s">
        <v>786</v>
      </c>
      <c r="S501" s="92" t="s">
        <v>736</v>
      </c>
      <c r="T501" s="93" t="s">
        <v>237</v>
      </c>
      <c r="U501" s="94" t="s">
        <v>444</v>
      </c>
      <c r="W501" s="95">
        <v>0</v>
      </c>
      <c r="X501" s="96"/>
      <c r="Y501" s="97">
        <f t="shared" si="574"/>
        <v>46174</v>
      </c>
      <c r="Z501" s="98" t="str">
        <f>SUBSTITUTE('Digitas UK Task 26'!$O501, "Complet", "Not Requir")</f>
        <v>Not Required</v>
      </c>
      <c r="AA501" s="98" t="str">
        <f t="shared" si="573"/>
        <v>Klaviyo EMEA - Trafficking Request - World Cup - Q2 2026</v>
      </c>
      <c r="AB501" s="99"/>
      <c r="AF501" s="84" t="str">
        <f t="shared" si="572"/>
        <v/>
      </c>
      <c r="AH501" s="84" t="str">
        <f t="shared" si="575"/>
        <v>PL_0_CR_14_AD_14_Jira_0_</v>
      </c>
      <c r="AI501" s="84" t="str">
        <f t="shared" si="570"/>
        <v/>
      </c>
      <c r="AJ501" s="84" t="str">
        <f>IF(Z501&lt;&gt;"Done","",(_xlfn.CONCAT("PL_",DigitasUKAdOp_26Team[[#This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02" spans="1:36" ht="15.75" customHeight="1" x14ac:dyDescent="0.3">
      <c r="A502" s="85" t="s">
        <v>784</v>
      </c>
      <c r="B502" s="86">
        <v>46174</v>
      </c>
      <c r="C502" s="87" t="s">
        <v>334</v>
      </c>
      <c r="D502" s="88" t="s">
        <v>598</v>
      </c>
      <c r="E502" s="87" t="s">
        <v>428</v>
      </c>
      <c r="F502" s="88" t="s">
        <v>707</v>
      </c>
      <c r="G502" s="88" t="s">
        <v>782</v>
      </c>
      <c r="H502" s="87" t="s">
        <v>443</v>
      </c>
      <c r="I502" s="87" t="s">
        <v>237</v>
      </c>
      <c r="J502" s="88">
        <v>0</v>
      </c>
      <c r="K502" s="88">
        <v>14</v>
      </c>
      <c r="L502" s="88">
        <v>14</v>
      </c>
      <c r="M502" s="89">
        <v>46174</v>
      </c>
      <c r="N502" s="88">
        <v>0.75</v>
      </c>
      <c r="O502" s="90" t="s">
        <v>432</v>
      </c>
      <c r="Q502" s="91">
        <v>23</v>
      </c>
      <c r="R502" s="91" t="s">
        <v>786</v>
      </c>
      <c r="S502" s="92" t="s">
        <v>736</v>
      </c>
      <c r="T502" s="93" t="s">
        <v>237</v>
      </c>
      <c r="U502" s="94" t="s">
        <v>444</v>
      </c>
      <c r="W502" s="95">
        <v>0</v>
      </c>
      <c r="X502" s="96"/>
      <c r="Y502" s="97">
        <f t="shared" si="574"/>
        <v>46174</v>
      </c>
      <c r="Z502" s="98" t="str">
        <f>SUBSTITUTE('Digitas UK Task 26'!$O502, "Complet", "Not Requir")</f>
        <v>Not Required</v>
      </c>
      <c r="AA502" s="98" t="str">
        <f t="shared" si="573"/>
        <v>Klaviyo EMEA - Trafficking Request - World Cup - Q2 2026</v>
      </c>
      <c r="AB502" s="99"/>
      <c r="AF502" s="84" t="str">
        <f t="shared" si="572"/>
        <v/>
      </c>
      <c r="AH502" s="84" t="str">
        <f t="shared" si="575"/>
        <v>PL_0_CR_14_AD_14_Jira_0_</v>
      </c>
      <c r="AI502" s="84" t="str">
        <f t="shared" si="570"/>
        <v/>
      </c>
      <c r="AJ502" s="84" t="str">
        <f>IF(Z502&lt;&gt;"Done","",(_xlfn.CONCAT("PL_",DigitasUKAdOp_26Team[[#This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03" spans="1:36" ht="15.75" customHeight="1" x14ac:dyDescent="0.3">
      <c r="A503" s="85" t="s">
        <v>784</v>
      </c>
      <c r="B503" s="86">
        <v>46174</v>
      </c>
      <c r="C503" s="87" t="s">
        <v>334</v>
      </c>
      <c r="D503" s="88" t="s">
        <v>598</v>
      </c>
      <c r="E503" s="87" t="s">
        <v>428</v>
      </c>
      <c r="F503" s="88" t="s">
        <v>787</v>
      </c>
      <c r="G503" s="88" t="s">
        <v>782</v>
      </c>
      <c r="H503" s="87" t="s">
        <v>443</v>
      </c>
      <c r="I503" s="87" t="s">
        <v>431</v>
      </c>
      <c r="J503" s="88">
        <v>0</v>
      </c>
      <c r="K503" s="88">
        <v>0</v>
      </c>
      <c r="L503" s="88">
        <v>0</v>
      </c>
      <c r="M503" s="89">
        <v>46174</v>
      </c>
      <c r="N503" s="88">
        <v>0.5</v>
      </c>
      <c r="O503" s="90" t="s">
        <v>432</v>
      </c>
      <c r="Q503" s="91">
        <v>23</v>
      </c>
      <c r="R503" s="91" t="s">
        <v>786</v>
      </c>
      <c r="S503" s="92" t="s">
        <v>736</v>
      </c>
      <c r="T503" s="93" t="s">
        <v>431</v>
      </c>
      <c r="U503" s="94" t="s">
        <v>444</v>
      </c>
      <c r="W503" s="95">
        <v>0</v>
      </c>
      <c r="X503" s="96"/>
      <c r="Y503" s="97">
        <f t="shared" si="574"/>
        <v>46174</v>
      </c>
      <c r="Z503" s="98" t="str">
        <f>SUBSTITUTE('Digitas UK Task 26'!$O503, "Complet", "Not Requir")</f>
        <v>Not Required</v>
      </c>
      <c r="AA503" s="98" t="str">
        <f t="shared" si="573"/>
        <v>Klaviyo EMEA - Trafficking Request - World Cup - Q2 2026</v>
      </c>
      <c r="AB503" s="99"/>
      <c r="AF503" s="84" t="str">
        <f t="shared" si="572"/>
        <v/>
      </c>
      <c r="AH503" s="84" t="str">
        <f t="shared" si="575"/>
        <v>PL_0_CR_0_AD_0_Jira_0_</v>
      </c>
      <c r="AI503" s="84" t="str">
        <f t="shared" ref="AI503:AI566" si="576">IF(U503&lt;&gt;"Done","",_xlfn.CONCAT("PL_",J503,"_CR_",K503,"_AD_",L503,"_Jira_",IF(AND(C503="P&amp;G",ISNUMBER(SEARCH("TAAGPNG-",G503))),MID(G503,SEARCH("TAAGPNG-",G503)+8,LEN(G503)-SEARCH("TAAGPNG-",G503)-7),"0"),"_"))</f>
        <v/>
      </c>
      <c r="AJ503" s="84" t="str">
        <f>IF(Z503&lt;&gt;"Done","",(_xlfn.CONCAT("PL_",DigitasUKAdOp_26Team[[#This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04" spans="1:36" ht="15.75" customHeight="1" x14ac:dyDescent="0.3">
      <c r="A504" s="85" t="s">
        <v>784</v>
      </c>
      <c r="B504" s="86">
        <v>46174</v>
      </c>
      <c r="C504" s="87" t="s">
        <v>355</v>
      </c>
      <c r="D504" s="88" t="s">
        <v>514</v>
      </c>
      <c r="E504" s="87" t="s">
        <v>428</v>
      </c>
      <c r="F504" s="88" t="s">
        <v>788</v>
      </c>
      <c r="G504" s="88" t="s">
        <v>789</v>
      </c>
      <c r="H504" s="87" t="s">
        <v>269</v>
      </c>
      <c r="I504" s="87" t="s">
        <v>246</v>
      </c>
      <c r="J504" s="88">
        <v>50</v>
      </c>
      <c r="K504" s="88">
        <v>50</v>
      </c>
      <c r="L504" s="88">
        <v>50</v>
      </c>
      <c r="M504" s="89">
        <v>46171</v>
      </c>
      <c r="N504" s="88">
        <v>1</v>
      </c>
      <c r="O504" s="90" t="s">
        <v>432</v>
      </c>
      <c r="Q504" s="91">
        <v>23</v>
      </c>
      <c r="R504" s="91" t="s">
        <v>786</v>
      </c>
      <c r="S504" s="92" t="s">
        <v>736</v>
      </c>
      <c r="T504" s="93" t="s">
        <v>237</v>
      </c>
      <c r="U504" s="94" t="s">
        <v>433</v>
      </c>
      <c r="V504" s="95" t="s">
        <v>790</v>
      </c>
      <c r="W504" s="95">
        <v>0.5</v>
      </c>
      <c r="X504" s="96"/>
      <c r="Y504" s="97">
        <f t="shared" si="574"/>
        <v>46171</v>
      </c>
      <c r="Z504" s="98" t="str">
        <f>SUBSTITUTE('Digitas UK Task 26'!$O504, "Complet", "Not Requir")</f>
        <v>Not Required</v>
      </c>
      <c r="AA504" s="98" t="str">
        <f t="shared" si="573"/>
        <v>https://jira.publicismedia.com/browse/TAAGPNG-1968</v>
      </c>
      <c r="AB504" s="99"/>
      <c r="AF504" s="84" t="str">
        <f t="shared" si="572"/>
        <v/>
      </c>
      <c r="AH504" s="84" t="str">
        <f t="shared" si="575"/>
        <v>PL_50_CR_50_AD_50_Jira_1968_</v>
      </c>
      <c r="AI504" s="84" t="str">
        <f t="shared" si="576"/>
        <v>PL_50_CR_50_AD_50_Jira_1968_</v>
      </c>
      <c r="AJ504" s="84" t="str">
        <f>IF(Z504&lt;&gt;"Done","",(_xlfn.CONCAT("PL_",DigitasUKAdOp_26Team[[#This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05" spans="1:36" ht="15.75" customHeight="1" x14ac:dyDescent="0.3">
      <c r="A505" s="85" t="s">
        <v>791</v>
      </c>
      <c r="B505" s="86">
        <v>46175</v>
      </c>
      <c r="C505" s="87" t="s">
        <v>325</v>
      </c>
      <c r="D505" s="88" t="s">
        <v>491</v>
      </c>
      <c r="E505" s="87" t="s">
        <v>428</v>
      </c>
      <c r="F505" s="88" t="s">
        <v>738</v>
      </c>
      <c r="G505" s="88" t="s">
        <v>792</v>
      </c>
      <c r="H505" s="87" t="s">
        <v>521</v>
      </c>
      <c r="I505" s="87" t="s">
        <v>237</v>
      </c>
      <c r="J505" s="88">
        <v>48</v>
      </c>
      <c r="K505" s="88">
        <v>48</v>
      </c>
      <c r="L505" s="88">
        <v>48</v>
      </c>
      <c r="M505" s="89">
        <v>46175</v>
      </c>
      <c r="N505" s="88">
        <v>3</v>
      </c>
      <c r="O505" s="90" t="s">
        <v>432</v>
      </c>
      <c r="Q505" s="91">
        <v>23</v>
      </c>
      <c r="R505" s="91" t="s">
        <v>786</v>
      </c>
      <c r="S505" s="92" t="s">
        <v>740</v>
      </c>
      <c r="T505" s="93" t="s">
        <v>237</v>
      </c>
      <c r="U505" s="94" t="s">
        <v>444</v>
      </c>
      <c r="W505" s="95">
        <v>0</v>
      </c>
      <c r="X505" s="96"/>
      <c r="Y505" s="97">
        <f t="shared" si="574"/>
        <v>46175</v>
      </c>
      <c r="Z505" s="98" t="str">
        <f>SUBSTITUTE('Digitas UK Task 26'!$O505, "Complet", "Not Requir")</f>
        <v>Not Required</v>
      </c>
      <c r="AA505" s="98" t="str">
        <f t="shared" si="573"/>
        <v xml:space="preserve">RE: Trafficking Request - Summer Sale FY26 </v>
      </c>
      <c r="AB505" s="99"/>
      <c r="AF505" s="84" t="str">
        <f t="shared" si="572"/>
        <v/>
      </c>
      <c r="AH505" s="84" t="str">
        <f t="shared" si="575"/>
        <v>PL_48_CR_48_AD_48_Jira_0_</v>
      </c>
      <c r="AI505" s="84" t="str">
        <f t="shared" si="576"/>
        <v/>
      </c>
      <c r="AJ505" s="84" t="str">
        <f>IF(Z505&lt;&gt;"Done","",(_xlfn.CONCAT("PL_",DigitasUKAdOp_26Team[[#This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06" spans="1:36" ht="15.75" customHeight="1" x14ac:dyDescent="0.3">
      <c r="A506" s="85" t="s">
        <v>791</v>
      </c>
      <c r="B506" s="86">
        <v>46175</v>
      </c>
      <c r="C506" s="87" t="s">
        <v>325</v>
      </c>
      <c r="D506" s="88" t="s">
        <v>491</v>
      </c>
      <c r="E506" s="87" t="s">
        <v>428</v>
      </c>
      <c r="F506" s="88" t="s">
        <v>738</v>
      </c>
      <c r="G506" s="88" t="s">
        <v>792</v>
      </c>
      <c r="H506" s="87" t="s">
        <v>443</v>
      </c>
      <c r="I506" s="87" t="s">
        <v>237</v>
      </c>
      <c r="J506" s="88">
        <v>0</v>
      </c>
      <c r="K506" s="88">
        <v>0</v>
      </c>
      <c r="L506" s="88">
        <v>0</v>
      </c>
      <c r="M506" s="89">
        <v>46175</v>
      </c>
      <c r="N506" s="88">
        <v>1.5</v>
      </c>
      <c r="O506" s="90" t="s">
        <v>432</v>
      </c>
      <c r="Q506" s="91">
        <v>23</v>
      </c>
      <c r="R506" s="91" t="s">
        <v>786</v>
      </c>
      <c r="S506" s="92" t="s">
        <v>740</v>
      </c>
      <c r="T506" s="93" t="s">
        <v>237</v>
      </c>
      <c r="U506" s="94" t="s">
        <v>444</v>
      </c>
      <c r="W506" s="95">
        <v>0</v>
      </c>
      <c r="X506" s="96"/>
      <c r="Y506" s="97">
        <f t="shared" si="574"/>
        <v>46175</v>
      </c>
      <c r="Z506" s="98" t="str">
        <f>SUBSTITUTE('Digitas UK Task 26'!$O506, "Complet", "Not Requir")</f>
        <v>Not Required</v>
      </c>
      <c r="AA506" s="98" t="str">
        <f t="shared" si="573"/>
        <v xml:space="preserve">RE: Trafficking Request - Summer Sale FY26 </v>
      </c>
      <c r="AB506" s="99"/>
      <c r="AF506" s="84" t="str">
        <f t="shared" si="572"/>
        <v/>
      </c>
      <c r="AH506" s="84" t="str">
        <f t="shared" si="575"/>
        <v>PL_0_CR_0_AD_0_Jira_0_</v>
      </c>
      <c r="AI506" s="84" t="str">
        <f t="shared" si="576"/>
        <v/>
      </c>
      <c r="AJ506" s="84" t="str">
        <f>IF(Z506&lt;&gt;"Done","",(_xlfn.CONCAT("PL_",DigitasUKAdOp_26Team[[#This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07" spans="1:36" ht="15.75" customHeight="1" x14ac:dyDescent="0.3">
      <c r="A507" s="85" t="s">
        <v>793</v>
      </c>
      <c r="B507" s="86">
        <v>46176</v>
      </c>
      <c r="C507" s="87" t="s">
        <v>355</v>
      </c>
      <c r="D507" s="88" t="s">
        <v>514</v>
      </c>
      <c r="E507" s="87" t="s">
        <v>428</v>
      </c>
      <c r="F507" s="88" t="s">
        <v>794</v>
      </c>
      <c r="G507" s="88" t="s">
        <v>795</v>
      </c>
      <c r="H507" s="87" t="s">
        <v>269</v>
      </c>
      <c r="I507" s="87" t="s">
        <v>246</v>
      </c>
      <c r="J507" s="88">
        <v>50</v>
      </c>
      <c r="K507" s="88">
        <v>50</v>
      </c>
      <c r="L507" s="88">
        <v>50</v>
      </c>
      <c r="M507" s="89">
        <v>46176</v>
      </c>
      <c r="N507" s="88">
        <v>1</v>
      </c>
      <c r="O507" s="90" t="s">
        <v>432</v>
      </c>
      <c r="Q507" s="91">
        <v>23</v>
      </c>
      <c r="R507" s="91" t="s">
        <v>786</v>
      </c>
      <c r="S507" s="92" t="s">
        <v>748</v>
      </c>
      <c r="T507" s="93" t="s">
        <v>237</v>
      </c>
      <c r="U507" s="94" t="s">
        <v>433</v>
      </c>
      <c r="W507" s="95">
        <v>0.5</v>
      </c>
      <c r="X507" s="96"/>
      <c r="Y507" s="97">
        <f t="shared" si="574"/>
        <v>46176</v>
      </c>
      <c r="Z507" s="98" t="str">
        <f>SUBSTITUTE('Digitas UK Task 26'!$O507, "Complet", "Not Requir")</f>
        <v>Not Required</v>
      </c>
      <c r="AA507" s="98" t="str">
        <f t="shared" si="573"/>
        <v>https://jira.publicismedia.com/browse/TAAGPNG-1970</v>
      </c>
      <c r="AB507" s="99"/>
      <c r="AF507" s="84" t="str">
        <f t="shared" si="572"/>
        <v/>
      </c>
      <c r="AH507" s="84" t="str">
        <f t="shared" si="575"/>
        <v>PL_50_CR_50_AD_50_Jira_1970_</v>
      </c>
      <c r="AI507" s="84" t="str">
        <f t="shared" si="576"/>
        <v>PL_50_CR_50_AD_50_Jira_1970_</v>
      </c>
      <c r="AJ507" s="84" t="str">
        <f>IF(Z507&lt;&gt;"Done","",(_xlfn.CONCAT("PL_",DigitasUKAdOp_26Team[[#This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08" spans="1:36" ht="15.75" customHeight="1" x14ac:dyDescent="0.3">
      <c r="A508" s="85" t="s">
        <v>793</v>
      </c>
      <c r="B508" s="86">
        <v>46176</v>
      </c>
      <c r="C508" s="87" t="s">
        <v>325</v>
      </c>
      <c r="D508" s="88" t="s">
        <v>491</v>
      </c>
      <c r="E508" s="87" t="s">
        <v>428</v>
      </c>
      <c r="F508" s="88" t="s">
        <v>738</v>
      </c>
      <c r="G508" s="88" t="s">
        <v>792</v>
      </c>
      <c r="H508" s="87" t="s">
        <v>451</v>
      </c>
      <c r="I508" s="87" t="s">
        <v>237</v>
      </c>
      <c r="J508" s="88">
        <v>48</v>
      </c>
      <c r="K508" s="88">
        <v>48</v>
      </c>
      <c r="L508" s="88">
        <v>48</v>
      </c>
      <c r="M508" s="89">
        <v>46175</v>
      </c>
      <c r="N508" s="88">
        <v>2</v>
      </c>
      <c r="O508" s="90" t="s">
        <v>432</v>
      </c>
      <c r="Q508" s="91">
        <v>23</v>
      </c>
      <c r="R508" s="91" t="s">
        <v>786</v>
      </c>
      <c r="S508" s="92" t="s">
        <v>748</v>
      </c>
      <c r="T508" s="93" t="s">
        <v>237</v>
      </c>
      <c r="U508" s="94" t="s">
        <v>444</v>
      </c>
      <c r="W508" s="95">
        <v>0</v>
      </c>
      <c r="X508" s="96"/>
      <c r="Y508" s="97">
        <f t="shared" si="574"/>
        <v>46175</v>
      </c>
      <c r="Z508" s="98" t="str">
        <f>SUBSTITUTE('Digitas UK Task 26'!$O508, "Complet", "Not Requir")</f>
        <v>Not Required</v>
      </c>
      <c r="AA508" s="98" t="str">
        <f t="shared" si="573"/>
        <v xml:space="preserve">RE: Trafficking Request - Summer Sale FY26 </v>
      </c>
      <c r="AB508" s="99"/>
      <c r="AF508" s="84" t="str">
        <f t="shared" si="572"/>
        <v/>
      </c>
      <c r="AH508" s="84" t="str">
        <f t="shared" si="575"/>
        <v>PL_48_CR_48_AD_48_Jira_0_</v>
      </c>
      <c r="AI508" s="84" t="str">
        <f t="shared" si="576"/>
        <v/>
      </c>
      <c r="AJ508" s="84" t="str">
        <f>IF(Z508&lt;&gt;"Done","",(_xlfn.CONCAT("PL_",DigitasUKAdOp_26Team[[#This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09" spans="1:36" ht="15.75" customHeight="1" x14ac:dyDescent="0.3">
      <c r="A509" s="85" t="s">
        <v>793</v>
      </c>
      <c r="B509" s="86">
        <v>46176</v>
      </c>
      <c r="C509" s="87" t="s">
        <v>325</v>
      </c>
      <c r="D509" s="88" t="s">
        <v>491</v>
      </c>
      <c r="E509" s="87" t="s">
        <v>428</v>
      </c>
      <c r="F509" s="88" t="s">
        <v>738</v>
      </c>
      <c r="G509" s="88" t="s">
        <v>792</v>
      </c>
      <c r="H509" s="87" t="s">
        <v>443</v>
      </c>
      <c r="I509" s="87" t="s">
        <v>237</v>
      </c>
      <c r="J509" s="88">
        <v>0</v>
      </c>
      <c r="K509" s="88">
        <v>0</v>
      </c>
      <c r="L509" s="88">
        <v>0</v>
      </c>
      <c r="M509" s="89">
        <v>46175</v>
      </c>
      <c r="N509" s="88">
        <v>1.5</v>
      </c>
      <c r="O509" s="90" t="s">
        <v>432</v>
      </c>
      <c r="Q509" s="91">
        <v>23</v>
      </c>
      <c r="R509" s="91" t="s">
        <v>786</v>
      </c>
      <c r="S509" s="92" t="s">
        <v>748</v>
      </c>
      <c r="T509" s="93" t="s">
        <v>237</v>
      </c>
      <c r="U509" s="94" t="s">
        <v>444</v>
      </c>
      <c r="W509" s="95">
        <v>0</v>
      </c>
      <c r="X509" s="96"/>
      <c r="Y509" s="97">
        <f t="shared" si="574"/>
        <v>46175</v>
      </c>
      <c r="Z509" s="98" t="str">
        <f>SUBSTITUTE('Digitas UK Task 26'!$O509, "Complet", "Not Requir")</f>
        <v>Not Required</v>
      </c>
      <c r="AA509" s="98" t="str">
        <f t="shared" si="573"/>
        <v xml:space="preserve">RE: Trafficking Request - Summer Sale FY26 </v>
      </c>
      <c r="AB509" s="99"/>
      <c r="AF509" s="84" t="str">
        <f t="shared" si="572"/>
        <v/>
      </c>
      <c r="AH509" s="84" t="str">
        <f t="shared" si="575"/>
        <v>PL_0_CR_0_AD_0_Jira_0_</v>
      </c>
      <c r="AI509" s="84" t="str">
        <f t="shared" si="576"/>
        <v/>
      </c>
      <c r="AJ509" s="84" t="str">
        <f>IF(Z509&lt;&gt;"Done","",(_xlfn.CONCAT("PL_",DigitasUKAdOp_26Team[[#This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10" spans="1:36" ht="15.75" customHeight="1" x14ac:dyDescent="0.3">
      <c r="A510" s="85" t="s">
        <v>791</v>
      </c>
      <c r="B510" s="86">
        <v>46182</v>
      </c>
      <c r="C510" s="87" t="s">
        <v>355</v>
      </c>
      <c r="D510" s="88" t="s">
        <v>514</v>
      </c>
      <c r="E510" s="87" t="s">
        <v>428</v>
      </c>
      <c r="F510" s="88" t="s">
        <v>796</v>
      </c>
      <c r="G510" s="88" t="s">
        <v>797</v>
      </c>
      <c r="H510" s="87" t="s">
        <v>269</v>
      </c>
      <c r="I510" s="87" t="s">
        <v>246</v>
      </c>
      <c r="J510" s="88">
        <v>50</v>
      </c>
      <c r="K510" s="88">
        <v>50</v>
      </c>
      <c r="L510" s="88">
        <v>50</v>
      </c>
      <c r="M510" s="89">
        <v>46182</v>
      </c>
      <c r="N510" s="88">
        <v>1</v>
      </c>
      <c r="O510" s="90" t="s">
        <v>432</v>
      </c>
      <c r="Q510" s="91">
        <v>24</v>
      </c>
      <c r="R510" s="91" t="s">
        <v>786</v>
      </c>
      <c r="S510" s="92" t="s">
        <v>740</v>
      </c>
      <c r="T510" s="93" t="s">
        <v>250</v>
      </c>
      <c r="U510" s="94" t="s">
        <v>433</v>
      </c>
      <c r="W510" s="95">
        <v>0.5</v>
      </c>
      <c r="X510" s="96"/>
      <c r="Y510" s="97">
        <f t="shared" si="574"/>
        <v>46182</v>
      </c>
      <c r="Z510" s="98" t="str">
        <f>SUBSTITUTE('Digitas UK Task 26'!$O510, "Complet", "Not Requir")</f>
        <v>Not Required</v>
      </c>
      <c r="AA510" s="98" t="str">
        <f t="shared" si="573"/>
        <v>https://jira.publicismedia.com/browse/TAAGPNG-1972</v>
      </c>
      <c r="AB510" s="99"/>
      <c r="AF510" s="84" t="str">
        <f t="shared" si="572"/>
        <v/>
      </c>
      <c r="AH510" s="84" t="str">
        <f t="shared" si="575"/>
        <v>PL_50_CR_50_AD_50_Jira_1972_</v>
      </c>
      <c r="AI510" s="84" t="str">
        <f t="shared" si="576"/>
        <v>PL_50_CR_50_AD_50_Jira_1972_</v>
      </c>
      <c r="AJ510" s="84" t="str">
        <f>IF(Z510&lt;&gt;"Done","",(_xlfn.CONCAT("PL_",DigitasUKAdOp_26Team[[#This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11" spans="1:36" ht="15.75" customHeight="1" x14ac:dyDescent="0.3">
      <c r="A511" s="85" t="s">
        <v>793</v>
      </c>
      <c r="B511" s="86">
        <v>46183</v>
      </c>
      <c r="C511" s="87" t="s">
        <v>349</v>
      </c>
      <c r="D511" s="88" t="s">
        <v>699</v>
      </c>
      <c r="E511" s="87" t="s">
        <v>428</v>
      </c>
      <c r="F511" s="88" t="s">
        <v>798</v>
      </c>
      <c r="G511" s="88" t="s">
        <v>798</v>
      </c>
      <c r="H511" s="87" t="s">
        <v>443</v>
      </c>
      <c r="I511" s="87" t="s">
        <v>246</v>
      </c>
      <c r="J511" s="88">
        <v>0</v>
      </c>
      <c r="K511" s="88">
        <v>0</v>
      </c>
      <c r="L511" s="88">
        <v>0</v>
      </c>
      <c r="M511" s="89">
        <v>46183</v>
      </c>
      <c r="N511" s="88">
        <v>0.5</v>
      </c>
      <c r="O511" s="90" t="s">
        <v>432</v>
      </c>
      <c r="Q511" s="91">
        <v>24</v>
      </c>
      <c r="R511" s="91" t="s">
        <v>786</v>
      </c>
      <c r="S511" s="92" t="s">
        <v>748</v>
      </c>
      <c r="T511" s="93" t="s">
        <v>246</v>
      </c>
      <c r="U511" s="94" t="s">
        <v>444</v>
      </c>
      <c r="W511" s="95">
        <v>0</v>
      </c>
      <c r="X511" s="96"/>
      <c r="Y511" s="97">
        <f t="shared" si="574"/>
        <v>46183</v>
      </c>
      <c r="Z511" s="98" t="str">
        <f>SUBSTITUTE('Digitas UK Task 26'!$O511, "Complet", "Not Requir")</f>
        <v>Not Required</v>
      </c>
      <c r="AA511" s="98" t="str">
        <f t="shared" si="573"/>
        <v xml:space="preserve">Visa OS </v>
      </c>
      <c r="AB511" s="99"/>
      <c r="AF511" s="84" t="str">
        <f t="shared" si="572"/>
        <v/>
      </c>
      <c r="AH511" s="84" t="str">
        <f t="shared" si="575"/>
        <v>PL_0_CR_0_AD_0_Jira_0_</v>
      </c>
      <c r="AI511" s="84" t="str">
        <f t="shared" si="576"/>
        <v/>
      </c>
      <c r="AJ511" s="84" t="str">
        <f>IF(Z511&lt;&gt;"Done","",(_xlfn.CONCAT("PL_",DigitasUKAdOp_26Team[[#This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12" spans="1:36" ht="15.75" customHeight="1" x14ac:dyDescent="0.3">
      <c r="A512" s="85" t="s">
        <v>793</v>
      </c>
      <c r="B512" s="86">
        <v>46183</v>
      </c>
      <c r="C512" s="87" t="s">
        <v>349</v>
      </c>
      <c r="D512" s="88" t="s">
        <v>699</v>
      </c>
      <c r="E512" s="87" t="s">
        <v>428</v>
      </c>
      <c r="F512" s="88" t="s">
        <v>798</v>
      </c>
      <c r="G512" s="88" t="s">
        <v>798</v>
      </c>
      <c r="H512" s="87" t="s">
        <v>443</v>
      </c>
      <c r="I512" s="87" t="s">
        <v>250</v>
      </c>
      <c r="J512" s="88">
        <v>0</v>
      </c>
      <c r="K512" s="88">
        <v>0</v>
      </c>
      <c r="L512" s="88">
        <v>0</v>
      </c>
      <c r="M512" s="89">
        <v>46183</v>
      </c>
      <c r="N512" s="88">
        <v>0.5</v>
      </c>
      <c r="O512" s="90" t="s">
        <v>432</v>
      </c>
      <c r="Q512" s="91">
        <v>24</v>
      </c>
      <c r="R512" s="91" t="s">
        <v>786</v>
      </c>
      <c r="S512" s="92" t="s">
        <v>748</v>
      </c>
      <c r="T512" s="93" t="s">
        <v>250</v>
      </c>
      <c r="U512" s="94" t="s">
        <v>444</v>
      </c>
      <c r="W512" s="95">
        <v>0</v>
      </c>
      <c r="X512" s="96"/>
      <c r="Y512" s="97">
        <f t="shared" si="574"/>
        <v>46183</v>
      </c>
      <c r="Z512" s="98" t="str">
        <f>SUBSTITUTE('Digitas UK Task 26'!$O512, "Complet", "Not Requir")</f>
        <v>Not Required</v>
      </c>
      <c r="AA512" s="98" t="str">
        <f t="shared" si="573"/>
        <v xml:space="preserve">Visa OS </v>
      </c>
      <c r="AB512" s="99"/>
      <c r="AF512" s="84" t="str">
        <f t="shared" si="572"/>
        <v/>
      </c>
      <c r="AH512" s="84" t="str">
        <f t="shared" si="575"/>
        <v>PL_0_CR_0_AD_0_Jira_0_</v>
      </c>
      <c r="AI512" s="84" t="str">
        <f t="shared" si="576"/>
        <v/>
      </c>
      <c r="AJ512" s="84" t="str">
        <f>IF(Z512&lt;&gt;"Done","",(_xlfn.CONCAT("PL_",DigitasUKAdOp_26Team[[#This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13" spans="1:36" ht="15.75" customHeight="1" x14ac:dyDescent="0.3">
      <c r="A513" s="85" t="s">
        <v>793</v>
      </c>
      <c r="B513" s="86">
        <v>46183</v>
      </c>
      <c r="C513" s="87" t="s">
        <v>349</v>
      </c>
      <c r="D513" s="88" t="s">
        <v>699</v>
      </c>
      <c r="E513" s="87" t="s">
        <v>428</v>
      </c>
      <c r="F513" s="88" t="s">
        <v>798</v>
      </c>
      <c r="G513" s="88" t="s">
        <v>798</v>
      </c>
      <c r="H513" s="87" t="s">
        <v>443</v>
      </c>
      <c r="I513" s="87" t="s">
        <v>237</v>
      </c>
      <c r="J513" s="88">
        <v>0</v>
      </c>
      <c r="K513" s="88">
        <v>0</v>
      </c>
      <c r="L513" s="88">
        <v>0</v>
      </c>
      <c r="M513" s="89">
        <v>46183</v>
      </c>
      <c r="N513" s="88">
        <v>0.5</v>
      </c>
      <c r="O513" s="90" t="s">
        <v>432</v>
      </c>
      <c r="Q513" s="91">
        <v>24</v>
      </c>
      <c r="R513" s="91" t="s">
        <v>786</v>
      </c>
      <c r="S513" s="92" t="s">
        <v>748</v>
      </c>
      <c r="T513" s="93" t="s">
        <v>237</v>
      </c>
      <c r="U513" s="94" t="s">
        <v>444</v>
      </c>
      <c r="W513" s="95">
        <v>0</v>
      </c>
      <c r="X513" s="96"/>
      <c r="Y513" s="97">
        <f t="shared" si="574"/>
        <v>46183</v>
      </c>
      <c r="Z513" s="98" t="str">
        <f>SUBSTITUTE('Digitas UK Task 26'!$O513, "Complet", "Not Requir")</f>
        <v>Not Required</v>
      </c>
      <c r="AA513" s="98" t="str">
        <f t="shared" si="573"/>
        <v xml:space="preserve">Visa OS </v>
      </c>
      <c r="AB513" s="99"/>
      <c r="AF513" s="84" t="str">
        <f t="shared" si="572"/>
        <v/>
      </c>
      <c r="AH513" s="84" t="str">
        <f t="shared" si="575"/>
        <v>PL_0_CR_0_AD_0_Jira_0_</v>
      </c>
      <c r="AI513" s="84" t="str">
        <f t="shared" si="576"/>
        <v/>
      </c>
      <c r="AJ513" s="84" t="str">
        <f>IF(Z513&lt;&gt;"Done","",(_xlfn.CONCAT("PL_",DigitasUKAdOp_26Team[[#This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14" spans="1:36" ht="15.75" customHeight="1" x14ac:dyDescent="0.3">
      <c r="A514" s="85" t="s">
        <v>793</v>
      </c>
      <c r="B514" s="86">
        <v>46183</v>
      </c>
      <c r="C514" s="87" t="s">
        <v>349</v>
      </c>
      <c r="D514" s="88" t="s">
        <v>699</v>
      </c>
      <c r="E514" s="87" t="s">
        <v>428</v>
      </c>
      <c r="F514" s="88" t="s">
        <v>798</v>
      </c>
      <c r="G514" s="88" t="s">
        <v>798</v>
      </c>
      <c r="H514" s="87" t="s">
        <v>443</v>
      </c>
      <c r="I514" s="87" t="s">
        <v>431</v>
      </c>
      <c r="J514" s="88">
        <v>0</v>
      </c>
      <c r="K514" s="88">
        <v>0</v>
      </c>
      <c r="L514" s="88">
        <v>0</v>
      </c>
      <c r="M514" s="89">
        <v>46183</v>
      </c>
      <c r="N514" s="88">
        <v>0.5</v>
      </c>
      <c r="O514" s="90" t="s">
        <v>432</v>
      </c>
      <c r="Q514" s="91">
        <v>24</v>
      </c>
      <c r="R514" s="91" t="s">
        <v>786</v>
      </c>
      <c r="S514" s="92" t="s">
        <v>748</v>
      </c>
      <c r="T514" s="93" t="s">
        <v>431</v>
      </c>
      <c r="U514" s="94" t="s">
        <v>444</v>
      </c>
      <c r="W514" s="95">
        <v>0</v>
      </c>
      <c r="X514" s="96"/>
      <c r="Y514" s="97">
        <f t="shared" si="574"/>
        <v>46183</v>
      </c>
      <c r="Z514" s="98" t="str">
        <f>SUBSTITUTE('Digitas UK Task 26'!$O514, "Complet", "Not Requir")</f>
        <v>Not Required</v>
      </c>
      <c r="AA514" s="98" t="str">
        <f t="shared" si="573"/>
        <v xml:space="preserve">Visa OS </v>
      </c>
      <c r="AB514" s="99"/>
      <c r="AF514" s="84" t="str">
        <f t="shared" si="572"/>
        <v/>
      </c>
      <c r="AH514" s="84" t="str">
        <f t="shared" si="575"/>
        <v>PL_0_CR_0_AD_0_Jira_0_</v>
      </c>
      <c r="AI514" s="84" t="str">
        <f t="shared" si="576"/>
        <v/>
      </c>
      <c r="AJ514" s="84" t="str">
        <f>IF(Z514&lt;&gt;"Done","",(_xlfn.CONCAT("PL_",DigitasUKAdOp_26Team[[#This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15" spans="1:36" ht="15.75" customHeight="1" x14ac:dyDescent="0.3">
      <c r="A515" s="85" t="s">
        <v>784</v>
      </c>
      <c r="B515" s="86">
        <v>46188</v>
      </c>
      <c r="C515" s="87" t="s">
        <v>318</v>
      </c>
      <c r="D515" s="88" t="s">
        <v>435</v>
      </c>
      <c r="E515" s="87" t="s">
        <v>428</v>
      </c>
      <c r="F515" s="88" t="s">
        <v>746</v>
      </c>
      <c r="G515" s="88" t="s">
        <v>450</v>
      </c>
      <c r="H515" s="87" t="s">
        <v>443</v>
      </c>
      <c r="I515" s="87" t="s">
        <v>250</v>
      </c>
      <c r="J515" s="88">
        <v>0</v>
      </c>
      <c r="K515" s="88">
        <v>0</v>
      </c>
      <c r="L515" s="88">
        <v>0</v>
      </c>
      <c r="M515" s="89">
        <v>46188</v>
      </c>
      <c r="N515" s="88">
        <v>0.5</v>
      </c>
      <c r="O515" s="90" t="s">
        <v>432</v>
      </c>
      <c r="Q515" s="91">
        <v>25</v>
      </c>
      <c r="R515" s="91" t="s">
        <v>786</v>
      </c>
      <c r="S515" s="92" t="s">
        <v>736</v>
      </c>
      <c r="T515" s="93" t="s">
        <v>250</v>
      </c>
      <c r="U515" s="94" t="s">
        <v>444</v>
      </c>
      <c r="W515" s="95">
        <v>0</v>
      </c>
      <c r="X515" s="96"/>
      <c r="Y515" s="97">
        <f t="shared" si="574"/>
        <v>46188</v>
      </c>
      <c r="Z515" s="98" t="str">
        <f>SUBSTITUTE('Digitas UK Task 26'!$O515, "Complet", "Not Requir")</f>
        <v>Not Required</v>
      </c>
      <c r="AA515" s="98" t="str">
        <f t="shared" si="573"/>
        <v>NA</v>
      </c>
      <c r="AB515" s="99"/>
      <c r="AF515" s="84" t="str">
        <f t="shared" si="572"/>
        <v/>
      </c>
      <c r="AH515" s="84" t="str">
        <f t="shared" si="575"/>
        <v>PL_0_CR_0_AD_0_Jira_0_</v>
      </c>
      <c r="AI515" s="84" t="str">
        <f t="shared" si="576"/>
        <v/>
      </c>
      <c r="AJ515" s="84" t="str">
        <f>IF(Z515&lt;&gt;"Done","",(_xlfn.CONCAT("PL_",DigitasUKAdOp_26Team[[#This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16" spans="1:36" ht="15.75" customHeight="1" x14ac:dyDescent="0.3">
      <c r="A516" s="85" t="s">
        <v>784</v>
      </c>
      <c r="B516" s="86">
        <v>46188</v>
      </c>
      <c r="C516" s="87" t="s">
        <v>325</v>
      </c>
      <c r="D516" s="88" t="s">
        <v>481</v>
      </c>
      <c r="E516" s="87" t="s">
        <v>428</v>
      </c>
      <c r="F516" s="88" t="s">
        <v>799</v>
      </c>
      <c r="G516" s="88" t="s">
        <v>800</v>
      </c>
      <c r="H516" s="87" t="s">
        <v>521</v>
      </c>
      <c r="I516" s="87" t="s">
        <v>237</v>
      </c>
      <c r="J516" s="88">
        <v>0</v>
      </c>
      <c r="K516" s="88">
        <v>0</v>
      </c>
      <c r="L516" s="88">
        <v>0</v>
      </c>
      <c r="M516" s="89">
        <v>46188</v>
      </c>
      <c r="N516" s="88">
        <v>1</v>
      </c>
      <c r="O516" s="90" t="s">
        <v>432</v>
      </c>
      <c r="Q516" s="91">
        <v>25</v>
      </c>
      <c r="R516" s="91" t="s">
        <v>786</v>
      </c>
      <c r="S516" s="92" t="s">
        <v>736</v>
      </c>
      <c r="T516" s="93" t="s">
        <v>237</v>
      </c>
      <c r="U516" s="94" t="s">
        <v>444</v>
      </c>
      <c r="W516" s="95">
        <v>0</v>
      </c>
      <c r="X516" s="96"/>
      <c r="Y516" s="97">
        <f t="shared" si="574"/>
        <v>46188</v>
      </c>
      <c r="Z516" s="98" t="str">
        <f>SUBSTITUTE('Digitas UK Task 26'!$O516, "Complet", "Not Requir")</f>
        <v>Not Required</v>
      </c>
      <c r="AA516" s="98" t="str">
        <f t="shared" si="573"/>
        <v xml:space="preserve">Cathay Pacific - assets to review </v>
      </c>
      <c r="AB516" s="99"/>
      <c r="AF516" s="84" t="str">
        <f t="shared" si="572"/>
        <v/>
      </c>
      <c r="AH516" s="84" t="str">
        <f t="shared" si="575"/>
        <v>PL_0_CR_0_AD_0_Jira_0_</v>
      </c>
      <c r="AI516" s="84" t="str">
        <f t="shared" si="576"/>
        <v/>
      </c>
      <c r="AJ516" s="84" t="str">
        <f>IF(Z516&lt;&gt;"Done","",(_xlfn.CONCAT("PL_",DigitasUKAdOp_26Team[[#This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17" spans="1:36" ht="15.75" customHeight="1" x14ac:dyDescent="0.3">
      <c r="A517" s="85" t="s">
        <v>784</v>
      </c>
      <c r="B517" s="86">
        <v>46188</v>
      </c>
      <c r="C517" s="87" t="s">
        <v>325</v>
      </c>
      <c r="D517" s="88" t="s">
        <v>481</v>
      </c>
      <c r="E517" s="87" t="s">
        <v>428</v>
      </c>
      <c r="F517" s="88" t="s">
        <v>801</v>
      </c>
      <c r="G517" s="88" t="s">
        <v>800</v>
      </c>
      <c r="H517" s="87" t="s">
        <v>521</v>
      </c>
      <c r="I517" s="87" t="s">
        <v>250</v>
      </c>
      <c r="J517" s="88">
        <v>0</v>
      </c>
      <c r="K517" s="88">
        <v>0</v>
      </c>
      <c r="L517" s="88">
        <v>0</v>
      </c>
      <c r="M517" s="89">
        <v>46188</v>
      </c>
      <c r="N517" s="88">
        <v>1</v>
      </c>
      <c r="O517" s="90" t="s">
        <v>432</v>
      </c>
      <c r="Q517" s="91">
        <v>25</v>
      </c>
      <c r="R517" s="91" t="s">
        <v>786</v>
      </c>
      <c r="S517" s="92" t="s">
        <v>736</v>
      </c>
      <c r="T517" s="93" t="s">
        <v>250</v>
      </c>
      <c r="U517" s="94" t="s">
        <v>444</v>
      </c>
      <c r="W517" s="95">
        <v>0</v>
      </c>
      <c r="X517" s="96"/>
      <c r="Y517" s="97">
        <f t="shared" si="574"/>
        <v>46188</v>
      </c>
      <c r="Z517" s="98" t="str">
        <f>SUBSTITUTE('Digitas UK Task 26'!$O517, "Complet", "Not Requir")</f>
        <v>Not Required</v>
      </c>
      <c r="AA517" s="98" t="str">
        <f t="shared" si="573"/>
        <v xml:space="preserve">Cathay Pacific - assets to review </v>
      </c>
      <c r="AB517" s="99"/>
      <c r="AF517" s="84" t="str">
        <f t="shared" si="572"/>
        <v/>
      </c>
      <c r="AH517" s="84" t="str">
        <f t="shared" si="575"/>
        <v>PL_0_CR_0_AD_0_Jira_0_</v>
      </c>
      <c r="AI517" s="84" t="str">
        <f t="shared" si="576"/>
        <v/>
      </c>
      <c r="AJ517" s="84" t="str">
        <f>IF(Z517&lt;&gt;"Done","",(_xlfn.CONCAT("PL_",DigitasUKAdOp_26Team[[#This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18" spans="1:36" ht="15.75" customHeight="1" x14ac:dyDescent="0.3">
      <c r="A518" s="85" t="s">
        <v>791</v>
      </c>
      <c r="B518" s="86">
        <v>46189</v>
      </c>
      <c r="C518" s="87" t="s">
        <v>325</v>
      </c>
      <c r="D518" s="88" t="s">
        <v>481</v>
      </c>
      <c r="E518" s="87" t="s">
        <v>428</v>
      </c>
      <c r="F518" s="88" t="s">
        <v>802</v>
      </c>
      <c r="G518" s="88" t="s">
        <v>803</v>
      </c>
      <c r="H518" s="87" t="s">
        <v>269</v>
      </c>
      <c r="I518" s="87" t="s">
        <v>250</v>
      </c>
      <c r="J518" s="88">
        <v>12</v>
      </c>
      <c r="K518" s="88">
        <v>12</v>
      </c>
      <c r="L518" s="88">
        <v>12</v>
      </c>
      <c r="M518" s="89">
        <v>46189</v>
      </c>
      <c r="N518" s="88">
        <v>1.5</v>
      </c>
      <c r="O518" s="90" t="s">
        <v>432</v>
      </c>
      <c r="Q518" s="91">
        <v>25</v>
      </c>
      <c r="R518" s="91" t="s">
        <v>786</v>
      </c>
      <c r="S518" s="92" t="s">
        <v>740</v>
      </c>
      <c r="T518" s="93" t="s">
        <v>237</v>
      </c>
      <c r="U518" s="94" t="s">
        <v>433</v>
      </c>
      <c r="W518" s="95">
        <v>0.75</v>
      </c>
      <c r="X518" s="96"/>
      <c r="Y518" s="97">
        <f t="shared" si="574"/>
        <v>46189</v>
      </c>
      <c r="Z518" s="98" t="str">
        <f>SUBSTITUTE('Digitas UK Task 26'!$O518, "Complet", "Not Requir")</f>
        <v>Not Required</v>
      </c>
      <c r="AA518" s="98" t="str">
        <f t="shared" si="573"/>
        <v>RE: Cathay Pacific - assets to review</v>
      </c>
      <c r="AB518" s="99"/>
      <c r="AF518" s="84" t="str">
        <f t="shared" si="572"/>
        <v/>
      </c>
      <c r="AH518" s="84" t="str">
        <f t="shared" si="575"/>
        <v>PL_12_CR_12_AD_12_Jira_0_</v>
      </c>
      <c r="AI518" s="84" t="str">
        <f t="shared" si="576"/>
        <v>PL_12_CR_12_AD_12_Jira_0_</v>
      </c>
      <c r="AJ518" s="84" t="str">
        <f>IF(Z518&lt;&gt;"Done","",(_xlfn.CONCAT("PL_",DigitasUKAdOp_26Team[[#This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19" spans="1:36" ht="15.75" customHeight="1" x14ac:dyDescent="0.3">
      <c r="A519" s="85" t="s">
        <v>791</v>
      </c>
      <c r="B519" s="86">
        <v>46189</v>
      </c>
      <c r="C519" s="87" t="s">
        <v>334</v>
      </c>
      <c r="D519" s="88" t="s">
        <v>465</v>
      </c>
      <c r="E519" s="87" t="s">
        <v>428</v>
      </c>
      <c r="F519" s="88" t="s">
        <v>498</v>
      </c>
      <c r="G519" s="88" t="s">
        <v>498</v>
      </c>
      <c r="H519" s="87" t="s">
        <v>269</v>
      </c>
      <c r="I519" s="87" t="s">
        <v>237</v>
      </c>
      <c r="J519" s="88">
        <v>90</v>
      </c>
      <c r="K519" s="88">
        <v>90</v>
      </c>
      <c r="L519" s="88">
        <v>90</v>
      </c>
      <c r="M519" s="89">
        <v>90</v>
      </c>
      <c r="N519" s="88">
        <v>3</v>
      </c>
      <c r="O519" s="90" t="s">
        <v>432</v>
      </c>
      <c r="Q519" s="91">
        <v>25</v>
      </c>
      <c r="R519" s="91" t="s">
        <v>786</v>
      </c>
      <c r="S519" s="92" t="s">
        <v>740</v>
      </c>
      <c r="T519" s="93" t="s">
        <v>250</v>
      </c>
      <c r="U519" s="94" t="s">
        <v>433</v>
      </c>
      <c r="V519" s="95" t="s">
        <v>804</v>
      </c>
      <c r="W519" s="95">
        <v>1</v>
      </c>
      <c r="X519" s="96"/>
      <c r="Y519" s="97">
        <f t="shared" si="574"/>
        <v>90</v>
      </c>
      <c r="Z519" s="98" t="str">
        <f>SUBSTITUTE('Digitas UK Task 26'!$O519, "Complet", "Not Requir")</f>
        <v>Not Required</v>
      </c>
      <c r="AA519" s="98" t="str">
        <f t="shared" si="573"/>
        <v>Klaviyo_2025_Evergreen_EMEA_DACH</v>
      </c>
      <c r="AB519" s="99"/>
      <c r="AF519" s="84" t="str">
        <f t="shared" si="572"/>
        <v/>
      </c>
      <c r="AH519" s="84" t="str">
        <f t="shared" si="575"/>
        <v>PL_90_CR_90_AD_90_Jira_0_</v>
      </c>
      <c r="AI519" s="84" t="str">
        <f t="shared" si="576"/>
        <v>PL_90_CR_90_AD_90_Jira_0_</v>
      </c>
      <c r="AJ519" s="84" t="str">
        <f>IF(Z519&lt;&gt;"Done","",(_xlfn.CONCAT("PL_",DigitasUKAdOp_26Team[[#This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20" spans="1:36" ht="15.75" customHeight="1" x14ac:dyDescent="0.3">
      <c r="A520" s="85" t="s">
        <v>791</v>
      </c>
      <c r="B520" s="86">
        <v>46189</v>
      </c>
      <c r="C520" s="87" t="s">
        <v>334</v>
      </c>
      <c r="D520" s="88" t="s">
        <v>465</v>
      </c>
      <c r="E520" s="87" t="s">
        <v>428</v>
      </c>
      <c r="F520" s="88" t="s">
        <v>805</v>
      </c>
      <c r="G520" s="88" t="s">
        <v>498</v>
      </c>
      <c r="H520" s="87" t="s">
        <v>443</v>
      </c>
      <c r="I520" s="87" t="s">
        <v>250</v>
      </c>
      <c r="J520" s="88">
        <v>0</v>
      </c>
      <c r="K520" s="88">
        <v>0</v>
      </c>
      <c r="L520" s="88">
        <v>0</v>
      </c>
      <c r="M520" s="89">
        <v>46189</v>
      </c>
      <c r="N520" s="88">
        <v>2</v>
      </c>
      <c r="O520" s="90" t="s">
        <v>432</v>
      </c>
      <c r="Q520" s="91">
        <v>25</v>
      </c>
      <c r="R520" s="91" t="s">
        <v>786</v>
      </c>
      <c r="S520" s="92" t="s">
        <v>740</v>
      </c>
      <c r="T520" s="93" t="s">
        <v>250</v>
      </c>
      <c r="U520" s="94" t="s">
        <v>444</v>
      </c>
      <c r="W520" s="95">
        <v>0</v>
      </c>
      <c r="X520" s="96"/>
      <c r="Y520" s="97">
        <f t="shared" si="574"/>
        <v>46189</v>
      </c>
      <c r="Z520" s="98" t="str">
        <f>SUBSTITUTE('Digitas UK Task 26'!$O520, "Complet", "Not Requir")</f>
        <v>Not Required</v>
      </c>
      <c r="AA520" s="98" t="str">
        <f t="shared" si="573"/>
        <v>Klaviyo_2025_Evergreen_EMEA_DACH</v>
      </c>
      <c r="AB520" s="99"/>
      <c r="AF520" s="84" t="str">
        <f t="shared" si="572"/>
        <v/>
      </c>
      <c r="AH520" s="84" t="str">
        <f t="shared" si="575"/>
        <v>PL_0_CR_0_AD_0_Jira_0_</v>
      </c>
      <c r="AI520" s="84" t="str">
        <f t="shared" si="576"/>
        <v/>
      </c>
      <c r="AJ520" s="84" t="str">
        <f>IF(Z520&lt;&gt;"Done","",(_xlfn.CONCAT("PL_",DigitasUKAdOp_26Team[[#This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21" spans="1:36" ht="15.75" customHeight="1" x14ac:dyDescent="0.3">
      <c r="A521" s="85" t="s">
        <v>791</v>
      </c>
      <c r="B521" s="86">
        <v>46189</v>
      </c>
      <c r="C521" s="87" t="s">
        <v>334</v>
      </c>
      <c r="D521" s="88" t="s">
        <v>465</v>
      </c>
      <c r="E521" s="87" t="s">
        <v>428</v>
      </c>
      <c r="F521" s="88" t="s">
        <v>498</v>
      </c>
      <c r="G521" s="88" t="s">
        <v>498</v>
      </c>
      <c r="H521" s="87" t="s">
        <v>443</v>
      </c>
      <c r="I521" s="87" t="s">
        <v>237</v>
      </c>
      <c r="J521" s="88">
        <v>0</v>
      </c>
      <c r="K521" s="88">
        <v>0</v>
      </c>
      <c r="L521" s="88">
        <v>0</v>
      </c>
      <c r="M521" s="89">
        <v>46189</v>
      </c>
      <c r="N521" s="88">
        <v>1.5</v>
      </c>
      <c r="O521" s="90" t="s">
        <v>432</v>
      </c>
      <c r="Q521" s="91">
        <v>25</v>
      </c>
      <c r="R521" s="91" t="s">
        <v>786</v>
      </c>
      <c r="S521" s="92" t="s">
        <v>740</v>
      </c>
      <c r="T521" s="93" t="s">
        <v>237</v>
      </c>
      <c r="U521" s="94" t="s">
        <v>444</v>
      </c>
      <c r="W521" s="95">
        <v>0</v>
      </c>
      <c r="X521" s="96"/>
      <c r="Y521" s="97">
        <f t="shared" si="574"/>
        <v>46189</v>
      </c>
      <c r="Z521" s="98" t="str">
        <f>SUBSTITUTE('Digitas UK Task 26'!$O521, "Complet", "Not Requir")</f>
        <v>Not Required</v>
      </c>
      <c r="AA521" s="98" t="str">
        <f t="shared" si="573"/>
        <v>Klaviyo_2025_Evergreen_EMEA_DACH</v>
      </c>
      <c r="AB521" s="99"/>
      <c r="AF521" s="84" t="str">
        <f t="shared" si="572"/>
        <v/>
      </c>
      <c r="AH521" s="84" t="str">
        <f t="shared" si="575"/>
        <v>PL_0_CR_0_AD_0_Jira_0_</v>
      </c>
      <c r="AI521" s="84" t="str">
        <f t="shared" si="576"/>
        <v/>
      </c>
      <c r="AJ521" s="84" t="str">
        <f>IF(Z521&lt;&gt;"Done","",(_xlfn.CONCAT("PL_",DigitasUKAdOp_26Team[[#This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22" spans="1:36" ht="15.75" customHeight="1" x14ac:dyDescent="0.3">
      <c r="A522" s="85" t="s">
        <v>791</v>
      </c>
      <c r="B522" s="86">
        <v>46189</v>
      </c>
      <c r="C522" s="87" t="s">
        <v>334</v>
      </c>
      <c r="D522" s="88" t="s">
        <v>465</v>
      </c>
      <c r="E522" s="87" t="s">
        <v>428</v>
      </c>
      <c r="F522" s="88" t="s">
        <v>473</v>
      </c>
      <c r="G522" s="88" t="s">
        <v>498</v>
      </c>
      <c r="H522" s="87" t="s">
        <v>269</v>
      </c>
      <c r="I522" s="87" t="s">
        <v>431</v>
      </c>
      <c r="J522" s="88">
        <v>78</v>
      </c>
      <c r="K522" s="88">
        <v>78</v>
      </c>
      <c r="L522" s="88">
        <v>78</v>
      </c>
      <c r="M522" s="89">
        <v>46190</v>
      </c>
      <c r="N522" s="88">
        <v>6</v>
      </c>
      <c r="O522" s="90" t="s">
        <v>432</v>
      </c>
      <c r="Q522" s="91">
        <v>25</v>
      </c>
      <c r="R522" s="91" t="s">
        <v>786</v>
      </c>
      <c r="S522" s="92" t="s">
        <v>740</v>
      </c>
      <c r="T522" s="93" t="s">
        <v>246</v>
      </c>
      <c r="U522" s="94" t="s">
        <v>433</v>
      </c>
      <c r="W522" s="95">
        <v>4</v>
      </c>
      <c r="X522" s="96"/>
      <c r="Y522" s="97">
        <f t="shared" si="574"/>
        <v>46190</v>
      </c>
      <c r="Z522" s="98" t="str">
        <f>SUBSTITUTE('Digitas UK Task 26'!$O522, "Complet", "Not Requir")</f>
        <v>Not Required</v>
      </c>
      <c r="AA522" s="98" t="str">
        <f t="shared" si="573"/>
        <v>Klaviyo_2025_Evergreen_EMEA_DACH</v>
      </c>
      <c r="AB522" s="99"/>
      <c r="AF522" s="84" t="str">
        <f t="shared" si="572"/>
        <v/>
      </c>
      <c r="AH522" s="84" t="str">
        <f t="shared" si="575"/>
        <v>PL_78_CR_78_AD_78_Jira_0_</v>
      </c>
      <c r="AI522" s="84" t="str">
        <f t="shared" si="576"/>
        <v>PL_78_CR_78_AD_78_Jira_0_</v>
      </c>
      <c r="AJ522" s="84" t="str">
        <f>IF(Z522&lt;&gt;"Done","",(_xlfn.CONCAT("PL_",DigitasUKAdOp_26Team[[#This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23" spans="1:36" ht="15.75" customHeight="1" x14ac:dyDescent="0.3">
      <c r="A523" s="85" t="s">
        <v>791</v>
      </c>
      <c r="B523" s="86">
        <v>46189</v>
      </c>
      <c r="C523" s="87" t="s">
        <v>334</v>
      </c>
      <c r="D523" s="88" t="s">
        <v>598</v>
      </c>
      <c r="E523" s="87" t="s">
        <v>428</v>
      </c>
      <c r="F523" s="88" t="s">
        <v>470</v>
      </c>
      <c r="G523" s="88" t="s">
        <v>806</v>
      </c>
      <c r="H523" s="87" t="s">
        <v>521</v>
      </c>
      <c r="I523" s="87" t="s">
        <v>246</v>
      </c>
      <c r="J523" s="88">
        <v>0</v>
      </c>
      <c r="K523" s="88">
        <v>0</v>
      </c>
      <c r="L523" s="88">
        <v>0</v>
      </c>
      <c r="M523" s="89">
        <v>46189</v>
      </c>
      <c r="N523" s="88">
        <v>2</v>
      </c>
      <c r="O523" s="90" t="s">
        <v>432</v>
      </c>
      <c r="Q523" s="91">
        <v>25</v>
      </c>
      <c r="R523" s="91" t="s">
        <v>786</v>
      </c>
      <c r="S523" s="92" t="s">
        <v>740</v>
      </c>
      <c r="T523" s="93" t="s">
        <v>246</v>
      </c>
      <c r="U523" s="94" t="s">
        <v>444</v>
      </c>
      <c r="W523" s="95">
        <v>0</v>
      </c>
      <c r="X523" s="96"/>
      <c r="Y523" s="97">
        <f t="shared" si="574"/>
        <v>46189</v>
      </c>
      <c r="Z523" s="98" t="str">
        <f>SUBSTITUTE('Digitas UK Task 26'!$O523, "Complet", "Not Requir")</f>
        <v>Not Required</v>
      </c>
      <c r="AA523" s="98" t="str">
        <f t="shared" si="573"/>
        <v>Klaviyo EMEA - Trafficking Request - AI First, Omnichannel Orchestration, Mobile - Display - Q2 2026</v>
      </c>
      <c r="AB523" s="99"/>
      <c r="AF523" s="84" t="str">
        <f t="shared" si="572"/>
        <v/>
      </c>
      <c r="AH523" s="84" t="str">
        <f t="shared" si="575"/>
        <v>PL_0_CR_0_AD_0_Jira_0_</v>
      </c>
      <c r="AI523" s="84" t="str">
        <f t="shared" si="576"/>
        <v/>
      </c>
      <c r="AJ523" s="84" t="str">
        <f>IF(Z523&lt;&gt;"Done","",(_xlfn.CONCAT("PL_",DigitasUKAdOp_26Team[[#This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24" spans="1:36" ht="15.75" customHeight="1" x14ac:dyDescent="0.3">
      <c r="A524" s="85" t="s">
        <v>793</v>
      </c>
      <c r="B524" s="86">
        <v>46190</v>
      </c>
      <c r="C524" s="87" t="s">
        <v>334</v>
      </c>
      <c r="D524" s="88" t="s">
        <v>465</v>
      </c>
      <c r="E524" s="87" t="s">
        <v>428</v>
      </c>
      <c r="F524" s="88" t="s">
        <v>805</v>
      </c>
      <c r="G524" s="88" t="s">
        <v>498</v>
      </c>
      <c r="H524" s="87" t="s">
        <v>269</v>
      </c>
      <c r="I524" s="87" t="s">
        <v>250</v>
      </c>
      <c r="J524" s="88">
        <v>140</v>
      </c>
      <c r="K524" s="88">
        <v>140</v>
      </c>
      <c r="L524" s="88">
        <v>140</v>
      </c>
      <c r="M524" s="89">
        <v>46190</v>
      </c>
      <c r="N524" s="88">
        <v>4</v>
      </c>
      <c r="O524" s="90" t="s">
        <v>432</v>
      </c>
      <c r="Q524" s="91">
        <v>25</v>
      </c>
      <c r="R524" s="91" t="s">
        <v>786</v>
      </c>
      <c r="S524" s="92" t="s">
        <v>748</v>
      </c>
      <c r="T524" s="93" t="s">
        <v>237</v>
      </c>
      <c r="U524" s="94" t="s">
        <v>433</v>
      </c>
      <c r="V524" s="95" t="s">
        <v>807</v>
      </c>
      <c r="W524" s="95">
        <v>3</v>
      </c>
      <c r="X524" s="96"/>
      <c r="Y524" s="97">
        <f t="shared" si="574"/>
        <v>46190</v>
      </c>
      <c r="Z524" s="98" t="str">
        <f>SUBSTITUTE('Digitas UK Task 26'!$O524, "Complet", "Not Requir")</f>
        <v>Not Required</v>
      </c>
      <c r="AA524" s="98" t="str">
        <f t="shared" si="573"/>
        <v>Klaviyo_2025_Evergreen_EMEA_DACH</v>
      </c>
      <c r="AB524" s="99"/>
      <c r="AF524" s="84" t="str">
        <f t="shared" si="572"/>
        <v/>
      </c>
      <c r="AH524" s="84" t="str">
        <f t="shared" si="575"/>
        <v>PL_140_CR_140_AD_140_Jira_0_</v>
      </c>
      <c r="AI524" s="84" t="str">
        <f t="shared" si="576"/>
        <v>PL_140_CR_140_AD_140_Jira_0_</v>
      </c>
      <c r="AJ524" s="84" t="str">
        <f>IF(Z524&lt;&gt;"Done","",(_xlfn.CONCAT("PL_",DigitasUKAdOp_26Team[[#This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25" spans="1:36" ht="15.75" customHeight="1" x14ac:dyDescent="0.3">
      <c r="A525" s="85" t="s">
        <v>793</v>
      </c>
      <c r="B525" s="86">
        <v>46190</v>
      </c>
      <c r="C525" s="87" t="s">
        <v>334</v>
      </c>
      <c r="D525" s="88" t="s">
        <v>598</v>
      </c>
      <c r="E525" s="87" t="s">
        <v>428</v>
      </c>
      <c r="F525" s="88" t="s">
        <v>472</v>
      </c>
      <c r="G525" s="88" t="s">
        <v>806</v>
      </c>
      <c r="H525" s="87" t="s">
        <v>443</v>
      </c>
      <c r="I525" s="87" t="s">
        <v>250</v>
      </c>
      <c r="J525" s="88">
        <v>0</v>
      </c>
      <c r="K525" s="88">
        <v>0</v>
      </c>
      <c r="L525" s="88">
        <v>0</v>
      </c>
      <c r="M525" s="89">
        <v>46190</v>
      </c>
      <c r="N525" s="88">
        <v>1</v>
      </c>
      <c r="O525" s="90" t="s">
        <v>432</v>
      </c>
      <c r="Q525" s="91">
        <v>25</v>
      </c>
      <c r="R525" s="91" t="s">
        <v>786</v>
      </c>
      <c r="S525" s="92" t="s">
        <v>748</v>
      </c>
      <c r="T525" s="93" t="s">
        <v>250</v>
      </c>
      <c r="U525" s="94" t="s">
        <v>444</v>
      </c>
      <c r="W525" s="95">
        <v>0</v>
      </c>
      <c r="X525" s="96"/>
      <c r="Y525" s="97">
        <f t="shared" si="574"/>
        <v>46190</v>
      </c>
      <c r="Z525" s="98" t="str">
        <f>SUBSTITUTE('Digitas UK Task 26'!$O525, "Complet", "Not Requir")</f>
        <v>Not Required</v>
      </c>
      <c r="AA525" s="98" t="str">
        <f t="shared" si="573"/>
        <v>Klaviyo EMEA - Trafficking Request - AI First, Omnichannel Orchestration, Mobile - Display - Q2 2026</v>
      </c>
      <c r="AB525" s="99"/>
      <c r="AF525" s="84" t="str">
        <f t="shared" si="572"/>
        <v/>
      </c>
      <c r="AH525" s="84" t="str">
        <f t="shared" si="575"/>
        <v>PL_0_CR_0_AD_0_Jira_0_</v>
      </c>
      <c r="AI525" s="84" t="str">
        <f t="shared" si="576"/>
        <v/>
      </c>
      <c r="AJ525" s="84" t="str">
        <f>IF(Z525&lt;&gt;"Done","",(_xlfn.CONCAT("PL_",DigitasUKAdOp_26Team[[#This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26" spans="1:36" ht="15.75" customHeight="1" x14ac:dyDescent="0.3">
      <c r="A526" s="85" t="s">
        <v>793</v>
      </c>
      <c r="B526" s="86">
        <v>46190</v>
      </c>
      <c r="C526" s="87" t="s">
        <v>334</v>
      </c>
      <c r="D526" s="88" t="s">
        <v>598</v>
      </c>
      <c r="E526" s="87" t="s">
        <v>428</v>
      </c>
      <c r="F526" s="88" t="s">
        <v>466</v>
      </c>
      <c r="G526" s="88" t="s">
        <v>806</v>
      </c>
      <c r="H526" s="87" t="s">
        <v>269</v>
      </c>
      <c r="I526" s="87" t="s">
        <v>237</v>
      </c>
      <c r="J526" s="88">
        <v>100</v>
      </c>
      <c r="K526" s="88">
        <v>100</v>
      </c>
      <c r="L526" s="88">
        <v>100</v>
      </c>
      <c r="M526" s="89">
        <v>100</v>
      </c>
      <c r="N526" s="88">
        <v>3</v>
      </c>
      <c r="O526" s="90" t="s">
        <v>432</v>
      </c>
      <c r="Q526" s="91">
        <v>25</v>
      </c>
      <c r="R526" s="91" t="s">
        <v>786</v>
      </c>
      <c r="S526" s="92" t="s">
        <v>748</v>
      </c>
      <c r="T526" s="93" t="s">
        <v>250</v>
      </c>
      <c r="U526" s="94" t="s">
        <v>433</v>
      </c>
      <c r="V526" s="95" t="s">
        <v>807</v>
      </c>
      <c r="W526" s="95">
        <v>2</v>
      </c>
      <c r="X526" s="96"/>
      <c r="Y526" s="97">
        <f t="shared" si="574"/>
        <v>100</v>
      </c>
      <c r="Z526" s="98" t="str">
        <f>SUBSTITUTE('Digitas UK Task 26'!$O526, "Complet", "Not Requir")</f>
        <v>Not Required</v>
      </c>
      <c r="AA526" s="98" t="str">
        <f t="shared" si="573"/>
        <v>Klaviyo EMEA - Trafficking Request - AI First, Omnichannel Orchestration, Mobile - Display - Q2 2026</v>
      </c>
      <c r="AB526" s="99"/>
      <c r="AF526" s="84" t="str">
        <f t="shared" si="572"/>
        <v/>
      </c>
      <c r="AH526" s="84" t="str">
        <f t="shared" si="575"/>
        <v>PL_100_CR_100_AD_100_Jira_0_</v>
      </c>
      <c r="AI526" s="84" t="str">
        <f t="shared" si="576"/>
        <v>PL_100_CR_100_AD_100_Jira_0_</v>
      </c>
      <c r="AJ526" s="84" t="str">
        <f>IF(Z526&lt;&gt;"Done","",(_xlfn.CONCAT("PL_",DigitasUKAdOp_26Team[[#This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27" spans="1:36" ht="15.75" customHeight="1" x14ac:dyDescent="0.3">
      <c r="A527" s="85" t="s">
        <v>793</v>
      </c>
      <c r="B527" s="86">
        <v>46190</v>
      </c>
      <c r="C527" s="87" t="s">
        <v>325</v>
      </c>
      <c r="D527" s="88" t="s">
        <v>481</v>
      </c>
      <c r="E527" s="87" t="s">
        <v>428</v>
      </c>
      <c r="F527" s="88" t="s">
        <v>802</v>
      </c>
      <c r="G527" s="88" t="s">
        <v>803</v>
      </c>
      <c r="H527" s="87" t="s">
        <v>269</v>
      </c>
      <c r="I527" s="87" t="s">
        <v>250</v>
      </c>
      <c r="J527" s="88">
        <v>12</v>
      </c>
      <c r="K527" s="88">
        <v>12</v>
      </c>
      <c r="L527" s="88">
        <v>12</v>
      </c>
      <c r="M527" s="89">
        <v>46190</v>
      </c>
      <c r="N527" s="88">
        <v>1</v>
      </c>
      <c r="O527" s="90" t="s">
        <v>432</v>
      </c>
      <c r="Q527" s="91">
        <v>25</v>
      </c>
      <c r="R527" s="91" t="s">
        <v>786</v>
      </c>
      <c r="S527" s="92" t="s">
        <v>748</v>
      </c>
      <c r="T527" s="93" t="s">
        <v>237</v>
      </c>
      <c r="U527" s="94" t="s">
        <v>433</v>
      </c>
      <c r="V527" s="95" t="s">
        <v>807</v>
      </c>
      <c r="W527" s="95">
        <v>0.5</v>
      </c>
      <c r="X527" s="96"/>
      <c r="Y527" s="97">
        <f t="shared" si="574"/>
        <v>46190</v>
      </c>
      <c r="Z527" s="98" t="str">
        <f>SUBSTITUTE('Digitas UK Task 26'!$O527, "Complet", "Not Requir")</f>
        <v>Not Required</v>
      </c>
      <c r="AA527" s="98" t="str">
        <f t="shared" si="573"/>
        <v>RE: Cathay Pacific - assets to review</v>
      </c>
      <c r="AB527" s="99"/>
      <c r="AF527" s="84" t="str">
        <f t="shared" si="572"/>
        <v/>
      </c>
      <c r="AH527" s="84" t="str">
        <f t="shared" si="575"/>
        <v>PL_12_CR_12_AD_12_Jira_0_</v>
      </c>
      <c r="AI527" s="84" t="str">
        <f t="shared" si="576"/>
        <v>PL_12_CR_12_AD_12_Jira_0_</v>
      </c>
      <c r="AJ527" s="84" t="str">
        <f>IF(Z527&lt;&gt;"Done","",(_xlfn.CONCAT("PL_",DigitasUKAdOp_26Team[[#This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28" spans="1:36" ht="15.75" customHeight="1" x14ac:dyDescent="0.3">
      <c r="A528" s="85" t="s">
        <v>793</v>
      </c>
      <c r="B528" s="86">
        <v>46190</v>
      </c>
      <c r="C528" s="87" t="s">
        <v>334</v>
      </c>
      <c r="D528" s="88" t="s">
        <v>598</v>
      </c>
      <c r="E528" s="87" t="s">
        <v>428</v>
      </c>
      <c r="F528" s="88" t="s">
        <v>470</v>
      </c>
      <c r="G528" s="88" t="s">
        <v>806</v>
      </c>
      <c r="H528" s="87" t="s">
        <v>521</v>
      </c>
      <c r="I528" s="87" t="s">
        <v>246</v>
      </c>
      <c r="J528" s="88">
        <v>160</v>
      </c>
      <c r="K528" s="88">
        <v>160</v>
      </c>
      <c r="L528" s="88">
        <v>160</v>
      </c>
      <c r="M528" s="89">
        <v>46190</v>
      </c>
      <c r="N528" s="88">
        <v>2</v>
      </c>
      <c r="O528" s="90" t="s">
        <v>432</v>
      </c>
      <c r="Q528" s="91">
        <v>25</v>
      </c>
      <c r="R528" s="91" t="s">
        <v>786</v>
      </c>
      <c r="S528" s="92" t="s">
        <v>748</v>
      </c>
      <c r="T528" s="93" t="s">
        <v>246</v>
      </c>
      <c r="U528" s="94" t="s">
        <v>444</v>
      </c>
      <c r="W528" s="95">
        <v>0</v>
      </c>
      <c r="X528" s="96"/>
      <c r="Y528" s="97">
        <f t="shared" si="574"/>
        <v>46190</v>
      </c>
      <c r="Z528" s="98" t="str">
        <f>SUBSTITUTE('Digitas UK Task 26'!$O528, "Complet", "Not Requir")</f>
        <v>Not Required</v>
      </c>
      <c r="AA528" s="98" t="str">
        <f t="shared" si="573"/>
        <v>Klaviyo EMEA - Trafficking Request - AI First, Omnichannel Orchestration, Mobile - Display - Q2 2026</v>
      </c>
      <c r="AB528" s="99"/>
      <c r="AF528" s="84" t="str">
        <f t="shared" si="572"/>
        <v/>
      </c>
      <c r="AH528" s="84" t="str">
        <f t="shared" si="575"/>
        <v>PL_160_CR_160_AD_160_Jira_0_</v>
      </c>
      <c r="AI528" s="84" t="str">
        <f t="shared" si="576"/>
        <v/>
      </c>
      <c r="AJ528" s="84" t="str">
        <f>IF(Z528&lt;&gt;"Done","",(_xlfn.CONCAT("PL_",DigitasUKAdOp_26Team[[#This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29" spans="1:36" ht="15.75" customHeight="1" x14ac:dyDescent="0.3">
      <c r="A529" s="85" t="s">
        <v>793</v>
      </c>
      <c r="B529" s="86">
        <v>46190</v>
      </c>
      <c r="C529" s="87" t="s">
        <v>334</v>
      </c>
      <c r="D529" s="88" t="s">
        <v>598</v>
      </c>
      <c r="E529" s="87" t="s">
        <v>428</v>
      </c>
      <c r="F529" s="88" t="s">
        <v>470</v>
      </c>
      <c r="G529" s="88" t="s">
        <v>806</v>
      </c>
      <c r="H529" s="87" t="s">
        <v>269</v>
      </c>
      <c r="I529" s="87" t="s">
        <v>246</v>
      </c>
      <c r="J529" s="88">
        <v>160</v>
      </c>
      <c r="K529" s="88">
        <v>160</v>
      </c>
      <c r="L529" s="88">
        <v>160</v>
      </c>
      <c r="M529" s="89">
        <v>46190</v>
      </c>
      <c r="N529" s="88">
        <v>4</v>
      </c>
      <c r="O529" s="90" t="s">
        <v>432</v>
      </c>
      <c r="Q529" s="91">
        <v>25</v>
      </c>
      <c r="R529" s="91" t="s">
        <v>786</v>
      </c>
      <c r="S529" s="92" t="s">
        <v>748</v>
      </c>
      <c r="T529" s="93" t="s">
        <v>250</v>
      </c>
      <c r="U529" s="94" t="s">
        <v>433</v>
      </c>
      <c r="V529" s="95" t="s">
        <v>807</v>
      </c>
      <c r="W529" s="95">
        <v>2</v>
      </c>
      <c r="X529" s="96"/>
      <c r="Y529" s="97">
        <f t="shared" si="574"/>
        <v>46190</v>
      </c>
      <c r="Z529" s="98" t="str">
        <f>SUBSTITUTE('Digitas UK Task 26'!$O529, "Complet", "Not Requir")</f>
        <v>Not Required</v>
      </c>
      <c r="AA529" s="98" t="str">
        <f t="shared" si="573"/>
        <v>Klaviyo EMEA - Trafficking Request - AI First, Omnichannel Orchestration, Mobile - Display - Q2 2026</v>
      </c>
      <c r="AB529" s="99"/>
      <c r="AF529" s="84" t="str">
        <f t="shared" si="572"/>
        <v/>
      </c>
      <c r="AH529" s="84" t="str">
        <f t="shared" si="575"/>
        <v>PL_160_CR_160_AD_160_Jira_0_</v>
      </c>
      <c r="AI529" s="84" t="str">
        <f t="shared" si="576"/>
        <v>PL_160_CR_160_AD_160_Jira_0_</v>
      </c>
      <c r="AJ529" s="84" t="str">
        <f>IF(Z529&lt;&gt;"Done","",(_xlfn.CONCAT("PL_",DigitasUKAdOp_26Team[[#This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30" spans="1:36" ht="15.75" customHeight="1" x14ac:dyDescent="0.3">
      <c r="A530" s="85" t="s">
        <v>793</v>
      </c>
      <c r="B530" s="86">
        <v>46190</v>
      </c>
      <c r="C530" s="87" t="s">
        <v>334</v>
      </c>
      <c r="D530" s="88" t="s">
        <v>465</v>
      </c>
      <c r="E530" s="87" t="s">
        <v>428</v>
      </c>
      <c r="F530" s="88" t="s">
        <v>805</v>
      </c>
      <c r="G530" s="88" t="s">
        <v>498</v>
      </c>
      <c r="H530" s="87" t="s">
        <v>443</v>
      </c>
      <c r="I530" s="87" t="s">
        <v>250</v>
      </c>
      <c r="J530" s="88">
        <v>0</v>
      </c>
      <c r="K530" s="88">
        <v>0</v>
      </c>
      <c r="L530" s="88">
        <v>0</v>
      </c>
      <c r="M530" s="89">
        <v>46190</v>
      </c>
      <c r="N530" s="88">
        <v>2</v>
      </c>
      <c r="O530" s="90" t="s">
        <v>432</v>
      </c>
      <c r="Q530" s="91">
        <v>25</v>
      </c>
      <c r="R530" s="91" t="s">
        <v>786</v>
      </c>
      <c r="S530" s="92" t="s">
        <v>748</v>
      </c>
      <c r="T530" s="93" t="s">
        <v>250</v>
      </c>
      <c r="U530" s="94" t="s">
        <v>444</v>
      </c>
      <c r="W530" s="95">
        <v>0</v>
      </c>
      <c r="X530" s="96"/>
      <c r="Y530" s="97">
        <f t="shared" si="574"/>
        <v>46190</v>
      </c>
      <c r="Z530" s="98" t="str">
        <f>SUBSTITUTE('Digitas UK Task 26'!$O530, "Complet", "Not Requir")</f>
        <v>Not Required</v>
      </c>
      <c r="AA530" s="98" t="str">
        <f t="shared" si="573"/>
        <v>Klaviyo_2025_Evergreen_EMEA_DACH</v>
      </c>
      <c r="AB530" s="99"/>
      <c r="AF530" s="84" t="str">
        <f t="shared" si="572"/>
        <v/>
      </c>
      <c r="AH530" s="84" t="str">
        <f t="shared" si="575"/>
        <v>PL_0_CR_0_AD_0_Jira_0_</v>
      </c>
      <c r="AI530" s="84" t="str">
        <f t="shared" si="576"/>
        <v/>
      </c>
      <c r="AJ530" s="84" t="str">
        <f>IF(Z530&lt;&gt;"Done","",(_xlfn.CONCAT("PL_",DigitasUKAdOp_26Team[[#This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31" spans="1:36" ht="15.75" customHeight="1" x14ac:dyDescent="0.3">
      <c r="A531" s="85" t="s">
        <v>793</v>
      </c>
      <c r="B531" s="86">
        <v>46190</v>
      </c>
      <c r="C531" s="87" t="s">
        <v>334</v>
      </c>
      <c r="D531" s="88" t="s">
        <v>465</v>
      </c>
      <c r="E531" s="87" t="s">
        <v>428</v>
      </c>
      <c r="F531" s="88" t="s">
        <v>498</v>
      </c>
      <c r="G531" s="88" t="s">
        <v>498</v>
      </c>
      <c r="H531" s="87" t="s">
        <v>269</v>
      </c>
      <c r="I531" s="87" t="s">
        <v>237</v>
      </c>
      <c r="J531" s="88">
        <v>90</v>
      </c>
      <c r="K531" s="88">
        <v>90</v>
      </c>
      <c r="L531" s="88">
        <v>90</v>
      </c>
      <c r="M531" s="89">
        <v>90</v>
      </c>
      <c r="N531" s="88">
        <v>3</v>
      </c>
      <c r="O531" s="90" t="s">
        <v>432</v>
      </c>
      <c r="Q531" s="91">
        <v>25</v>
      </c>
      <c r="R531" s="91" t="s">
        <v>786</v>
      </c>
      <c r="S531" s="92" t="s">
        <v>748</v>
      </c>
      <c r="T531" s="93" t="s">
        <v>250</v>
      </c>
      <c r="U531" s="94" t="s">
        <v>433</v>
      </c>
      <c r="W531" s="95">
        <v>1</v>
      </c>
      <c r="X531" s="96"/>
      <c r="Y531" s="97">
        <f t="shared" si="574"/>
        <v>90</v>
      </c>
      <c r="Z531" s="98" t="str">
        <f>SUBSTITUTE('Digitas UK Task 26'!$O531, "Complet", "Not Requir")</f>
        <v>Not Required</v>
      </c>
      <c r="AA531" s="98" t="str">
        <f t="shared" si="573"/>
        <v>Klaviyo_2025_Evergreen_EMEA_DACH</v>
      </c>
      <c r="AB531" s="99"/>
      <c r="AF531" s="84" t="str">
        <f t="shared" si="572"/>
        <v/>
      </c>
      <c r="AH531" s="84" t="str">
        <f t="shared" si="575"/>
        <v>PL_90_CR_90_AD_90_Jira_0_</v>
      </c>
      <c r="AI531" s="84" t="str">
        <f t="shared" si="576"/>
        <v>PL_90_CR_90_AD_90_Jira_0_</v>
      </c>
      <c r="AJ531" s="84" t="str">
        <f>IF(Z531&lt;&gt;"Done","",(_xlfn.CONCAT("PL_",DigitasUKAdOp_26Team[[#This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32" spans="1:36" ht="15.75" customHeight="1" x14ac:dyDescent="0.3">
      <c r="A532" s="85" t="s">
        <v>793</v>
      </c>
      <c r="B532" s="86">
        <v>46190</v>
      </c>
      <c r="C532" s="87" t="s">
        <v>334</v>
      </c>
      <c r="D532" s="88" t="s">
        <v>598</v>
      </c>
      <c r="E532" s="87" t="s">
        <v>428</v>
      </c>
      <c r="F532" s="88" t="s">
        <v>466</v>
      </c>
      <c r="G532" s="88" t="s">
        <v>498</v>
      </c>
      <c r="H532" s="87" t="s">
        <v>443</v>
      </c>
      <c r="I532" s="87" t="s">
        <v>237</v>
      </c>
      <c r="J532" s="88">
        <v>0</v>
      </c>
      <c r="K532" s="88">
        <v>0</v>
      </c>
      <c r="L532" s="88">
        <v>0</v>
      </c>
      <c r="M532" s="89">
        <v>46189</v>
      </c>
      <c r="N532" s="88">
        <v>1.5</v>
      </c>
      <c r="O532" s="90" t="s">
        <v>432</v>
      </c>
      <c r="Q532" s="91">
        <v>25</v>
      </c>
      <c r="R532" s="91" t="s">
        <v>786</v>
      </c>
      <c r="S532" s="92" t="s">
        <v>748</v>
      </c>
      <c r="T532" s="93" t="s">
        <v>237</v>
      </c>
      <c r="U532" s="94" t="s">
        <v>444</v>
      </c>
      <c r="W532" s="95">
        <v>0</v>
      </c>
      <c r="X532" s="96"/>
      <c r="Y532" s="97">
        <f t="shared" si="574"/>
        <v>46189</v>
      </c>
      <c r="Z532" s="98" t="str">
        <f>SUBSTITUTE('Digitas UK Task 26'!$O532, "Complet", "Not Requir")</f>
        <v>Not Required</v>
      </c>
      <c r="AA532" s="98" t="str">
        <f t="shared" si="573"/>
        <v>Klaviyo_2025_Evergreen_EMEA_DACH</v>
      </c>
      <c r="AB532" s="99"/>
      <c r="AF532" s="84" t="str">
        <f t="shared" si="572"/>
        <v/>
      </c>
      <c r="AH532" s="84" t="str">
        <f t="shared" si="575"/>
        <v>PL_0_CR_0_AD_0_Jira_0_</v>
      </c>
      <c r="AI532" s="84" t="str">
        <f t="shared" si="576"/>
        <v/>
      </c>
      <c r="AJ532" s="84" t="str">
        <f>IF(Z532&lt;&gt;"Done","",(_xlfn.CONCAT("PL_",DigitasUKAdOp_26Team[[#This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33" spans="1:36" ht="15.75" customHeight="1" x14ac:dyDescent="0.3">
      <c r="A533" s="85" t="s">
        <v>793</v>
      </c>
      <c r="B533" s="86">
        <v>46190</v>
      </c>
      <c r="C533" s="87" t="s">
        <v>334</v>
      </c>
      <c r="D533" s="88" t="s">
        <v>465</v>
      </c>
      <c r="E533" s="87" t="s">
        <v>428</v>
      </c>
      <c r="F533" s="88" t="s">
        <v>473</v>
      </c>
      <c r="G533" s="88" t="s">
        <v>498</v>
      </c>
      <c r="H533" s="87" t="s">
        <v>443</v>
      </c>
      <c r="I533" s="87" t="s">
        <v>431</v>
      </c>
      <c r="J533" s="88">
        <v>0</v>
      </c>
      <c r="K533" s="88">
        <v>0</v>
      </c>
      <c r="L533" s="88">
        <v>0</v>
      </c>
      <c r="M533" s="89">
        <v>46190</v>
      </c>
      <c r="N533" s="88">
        <v>1</v>
      </c>
      <c r="O533" s="90" t="s">
        <v>432</v>
      </c>
      <c r="Q533" s="91">
        <v>25</v>
      </c>
      <c r="R533" s="91" t="s">
        <v>786</v>
      </c>
      <c r="S533" s="92" t="s">
        <v>748</v>
      </c>
      <c r="T533" s="93" t="s">
        <v>431</v>
      </c>
      <c r="U533" s="94" t="s">
        <v>444</v>
      </c>
      <c r="W533" s="95">
        <v>0</v>
      </c>
      <c r="X533" s="96"/>
      <c r="Y533" s="97">
        <f t="shared" si="574"/>
        <v>46190</v>
      </c>
      <c r="Z533" s="98" t="str">
        <f>SUBSTITUTE('Digitas UK Task 26'!$O533, "Complet", "Not Requir")</f>
        <v>Not Required</v>
      </c>
      <c r="AA533" s="98" t="str">
        <f t="shared" si="573"/>
        <v>Klaviyo_2025_Evergreen_EMEA_DACH</v>
      </c>
      <c r="AB533" s="99"/>
      <c r="AF533" s="84" t="str">
        <f t="shared" si="572"/>
        <v/>
      </c>
      <c r="AH533" s="84" t="str">
        <f t="shared" si="575"/>
        <v>PL_0_CR_0_AD_0_Jira_0_</v>
      </c>
      <c r="AI533" s="84" t="str">
        <f t="shared" si="576"/>
        <v/>
      </c>
      <c r="AJ533" s="84" t="str">
        <f>IF(Z533&lt;&gt;"Done","",(_xlfn.CONCAT("PL_",DigitasUKAdOp_26Team[[#This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34" spans="1:36" ht="15.75" customHeight="1" x14ac:dyDescent="0.3">
      <c r="A534" s="85" t="s">
        <v>793</v>
      </c>
      <c r="B534" s="86">
        <v>46190</v>
      </c>
      <c r="C534" s="87" t="s">
        <v>334</v>
      </c>
      <c r="D534" s="88" t="s">
        <v>598</v>
      </c>
      <c r="E534" s="87" t="s">
        <v>428</v>
      </c>
      <c r="F534" s="88" t="s">
        <v>470</v>
      </c>
      <c r="G534" s="88" t="s">
        <v>806</v>
      </c>
      <c r="H534" s="87" t="s">
        <v>443</v>
      </c>
      <c r="I534" s="87" t="s">
        <v>246</v>
      </c>
      <c r="J534" s="88">
        <v>160</v>
      </c>
      <c r="K534" s="88">
        <v>160</v>
      </c>
      <c r="L534" s="88">
        <v>160</v>
      </c>
      <c r="M534" s="89">
        <v>46190</v>
      </c>
      <c r="N534" s="88">
        <v>1</v>
      </c>
      <c r="O534" s="90" t="s">
        <v>432</v>
      </c>
      <c r="Q534" s="91">
        <v>25</v>
      </c>
      <c r="R534" s="91" t="s">
        <v>786</v>
      </c>
      <c r="S534" s="92" t="s">
        <v>748</v>
      </c>
      <c r="T534" s="93" t="s">
        <v>246</v>
      </c>
      <c r="U534" s="94" t="s">
        <v>444</v>
      </c>
      <c r="W534" s="95">
        <v>0</v>
      </c>
      <c r="X534" s="96"/>
      <c r="Y534" s="97">
        <f t="shared" si="574"/>
        <v>46190</v>
      </c>
      <c r="Z534" s="98" t="str">
        <f>SUBSTITUTE('Digitas UK Task 26'!$O534, "Complet", "Not Requir")</f>
        <v>Not Required</v>
      </c>
      <c r="AA534" s="98" t="str">
        <f t="shared" si="573"/>
        <v>Klaviyo EMEA - Trafficking Request - AI First, Omnichannel Orchestration, Mobile - Display - Q2 2026</v>
      </c>
      <c r="AB534" s="99"/>
      <c r="AF534" s="84" t="str">
        <f t="shared" si="572"/>
        <v/>
      </c>
      <c r="AH534" s="84" t="str">
        <f t="shared" si="575"/>
        <v>PL_160_CR_160_AD_160_Jira_0_</v>
      </c>
      <c r="AI534" s="84" t="str">
        <f t="shared" si="576"/>
        <v/>
      </c>
      <c r="AJ534" s="84" t="str">
        <f>IF(Z534&lt;&gt;"Done","",(_xlfn.CONCAT("PL_",DigitasUKAdOp_26Team[[#This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35" spans="1:36" ht="15.75" customHeight="1" x14ac:dyDescent="0.3">
      <c r="A535" s="85" t="s">
        <v>808</v>
      </c>
      <c r="B535" s="86">
        <v>46191</v>
      </c>
      <c r="C535" s="87" t="s">
        <v>334</v>
      </c>
      <c r="D535" s="88" t="s">
        <v>598</v>
      </c>
      <c r="E535" s="87" t="s">
        <v>428</v>
      </c>
      <c r="F535" s="88" t="s">
        <v>472</v>
      </c>
      <c r="G535" s="88" t="s">
        <v>806</v>
      </c>
      <c r="H535" s="87" t="s">
        <v>269</v>
      </c>
      <c r="I535" s="87" t="s">
        <v>250</v>
      </c>
      <c r="J535" s="88">
        <v>150</v>
      </c>
      <c r="K535" s="88">
        <v>150</v>
      </c>
      <c r="L535" s="88">
        <v>150</v>
      </c>
      <c r="M535" s="89">
        <v>46191</v>
      </c>
      <c r="N535" s="88">
        <v>4</v>
      </c>
      <c r="O535" s="90" t="s">
        <v>432</v>
      </c>
      <c r="Q535" s="91">
        <v>25</v>
      </c>
      <c r="R535" s="91" t="s">
        <v>786</v>
      </c>
      <c r="S535" s="92" t="s">
        <v>751</v>
      </c>
      <c r="T535" s="93" t="s">
        <v>237</v>
      </c>
      <c r="U535" s="94" t="s">
        <v>433</v>
      </c>
      <c r="V535" s="95" t="s">
        <v>809</v>
      </c>
      <c r="W535" s="95">
        <v>3</v>
      </c>
      <c r="X535" s="96"/>
      <c r="Y535" s="97">
        <f t="shared" si="574"/>
        <v>46191</v>
      </c>
      <c r="Z535" s="98" t="str">
        <f>SUBSTITUTE('Digitas UK Task 26'!$O535, "Complet", "Not Requir")</f>
        <v>Not Required</v>
      </c>
      <c r="AA535" s="98" t="str">
        <f t="shared" si="573"/>
        <v>Klaviyo EMEA - Trafficking Request - AI First, Omnichannel Orchestration, Mobile - Display - Q2 2026</v>
      </c>
      <c r="AB535" s="99"/>
      <c r="AF535" s="84" t="str">
        <f t="shared" ref="AF535:AF596" si="577">IF(AD535="","",WEEKNUM(AD535))</f>
        <v/>
      </c>
      <c r="AH535" s="84" t="str">
        <f t="shared" si="575"/>
        <v>PL_150_CR_150_AD_150_Jira_0_</v>
      </c>
      <c r="AI535" s="84" t="str">
        <f t="shared" si="576"/>
        <v>PL_150_CR_150_AD_150_Jira_0_</v>
      </c>
      <c r="AJ535" s="84" t="str">
        <f>IF(Z535&lt;&gt;"Done","",(_xlfn.CONCAT("PL_",DigitasUKAdOp_26Team[[#This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36" spans="1:36" ht="15.75" customHeight="1" x14ac:dyDescent="0.3">
      <c r="A536" s="85" t="s">
        <v>808</v>
      </c>
      <c r="B536" s="86">
        <v>46191</v>
      </c>
      <c r="C536" s="87" t="s">
        <v>334</v>
      </c>
      <c r="D536" s="88" t="s">
        <v>598</v>
      </c>
      <c r="E536" s="87" t="s">
        <v>428</v>
      </c>
      <c r="F536" s="88" t="s">
        <v>471</v>
      </c>
      <c r="G536" s="88" t="s">
        <v>806</v>
      </c>
      <c r="H536" s="87" t="s">
        <v>269</v>
      </c>
      <c r="I536" s="87" t="s">
        <v>246</v>
      </c>
      <c r="J536" s="88">
        <v>150</v>
      </c>
      <c r="K536" s="88">
        <v>150</v>
      </c>
      <c r="L536" s="88">
        <v>150</v>
      </c>
      <c r="M536" s="89">
        <v>46191</v>
      </c>
      <c r="N536" s="88">
        <v>4</v>
      </c>
      <c r="O536" s="90" t="s">
        <v>432</v>
      </c>
      <c r="Q536" s="91">
        <v>25</v>
      </c>
      <c r="R536" s="91" t="s">
        <v>786</v>
      </c>
      <c r="S536" s="92" t="s">
        <v>751</v>
      </c>
      <c r="T536" s="93" t="s">
        <v>237</v>
      </c>
      <c r="U536" s="94" t="s">
        <v>433</v>
      </c>
      <c r="V536" s="95" t="s">
        <v>809</v>
      </c>
      <c r="W536" s="95">
        <v>3</v>
      </c>
      <c r="X536" s="96"/>
      <c r="Y536" s="97">
        <f t="shared" si="574"/>
        <v>46191</v>
      </c>
      <c r="Z536" s="98" t="str">
        <f>SUBSTITUTE('Digitas UK Task 26'!$O536, "Complet", "Not Requir")</f>
        <v>Not Required</v>
      </c>
      <c r="AA536" s="98" t="str">
        <f t="shared" si="573"/>
        <v>Klaviyo EMEA - Trafficking Request - AI First, Omnichannel Orchestration, Mobile - Display - Q2 2026</v>
      </c>
      <c r="AB536" s="99"/>
      <c r="AF536" s="84" t="str">
        <f t="shared" si="577"/>
        <v/>
      </c>
      <c r="AH536" s="84" t="str">
        <f t="shared" si="575"/>
        <v>PL_150_CR_150_AD_150_Jira_0_</v>
      </c>
      <c r="AI536" s="84" t="str">
        <f t="shared" si="576"/>
        <v>PL_150_CR_150_AD_150_Jira_0_</v>
      </c>
      <c r="AJ536" s="84" t="str">
        <f>IF(Z536&lt;&gt;"Done","",(_xlfn.CONCAT("PL_",DigitasUKAdOp_26Team[[#This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37" spans="1:36" ht="15.75" customHeight="1" x14ac:dyDescent="0.3">
      <c r="A537" s="85" t="s">
        <v>808</v>
      </c>
      <c r="B537" s="86">
        <v>46191</v>
      </c>
      <c r="C537" s="87" t="s">
        <v>334</v>
      </c>
      <c r="D537" s="88" t="s">
        <v>598</v>
      </c>
      <c r="E537" s="87" t="s">
        <v>428</v>
      </c>
      <c r="F537" s="88" t="s">
        <v>466</v>
      </c>
      <c r="G537" s="88" t="s">
        <v>498</v>
      </c>
      <c r="H537" s="87" t="s">
        <v>443</v>
      </c>
      <c r="I537" s="87" t="s">
        <v>237</v>
      </c>
      <c r="J537" s="88">
        <v>0</v>
      </c>
      <c r="K537" s="88">
        <v>0</v>
      </c>
      <c r="L537" s="88">
        <v>0</v>
      </c>
      <c r="M537" s="89">
        <v>46189</v>
      </c>
      <c r="N537" s="88">
        <v>1.5</v>
      </c>
      <c r="O537" s="90" t="s">
        <v>432</v>
      </c>
      <c r="Q537" s="91">
        <v>25</v>
      </c>
      <c r="R537" s="91" t="s">
        <v>786</v>
      </c>
      <c r="S537" s="92" t="s">
        <v>751</v>
      </c>
      <c r="T537" s="93" t="s">
        <v>237</v>
      </c>
      <c r="U537" s="94" t="s">
        <v>444</v>
      </c>
      <c r="W537" s="95">
        <v>0</v>
      </c>
      <c r="X537" s="96"/>
      <c r="Y537" s="97">
        <f t="shared" si="574"/>
        <v>46189</v>
      </c>
      <c r="Z537" s="98" t="str">
        <f>SUBSTITUTE('Digitas UK Task 26'!$O537, "Complet", "Not Requir")</f>
        <v>Not Required</v>
      </c>
      <c r="AA537" s="98" t="str">
        <f t="shared" si="573"/>
        <v>Klaviyo_2025_Evergreen_EMEA_DACH</v>
      </c>
      <c r="AB537" s="99"/>
      <c r="AF537" s="84" t="str">
        <f t="shared" si="577"/>
        <v/>
      </c>
      <c r="AH537" s="84" t="str">
        <f t="shared" si="575"/>
        <v>PL_0_CR_0_AD_0_Jira_0_</v>
      </c>
      <c r="AI537" s="84" t="str">
        <f t="shared" si="576"/>
        <v/>
      </c>
      <c r="AJ537" s="84" t="str">
        <f>IF(Z537&lt;&gt;"Done","",(_xlfn.CONCAT("PL_",DigitasUKAdOp_26Team[[#This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38" spans="1:36" ht="15.75" customHeight="1" x14ac:dyDescent="0.3">
      <c r="A538" s="85" t="s">
        <v>808</v>
      </c>
      <c r="B538" s="86">
        <v>46191</v>
      </c>
      <c r="C538" s="87" t="s">
        <v>334</v>
      </c>
      <c r="D538" s="88" t="s">
        <v>598</v>
      </c>
      <c r="E538" s="87" t="s">
        <v>428</v>
      </c>
      <c r="F538" s="88" t="s">
        <v>471</v>
      </c>
      <c r="G538" s="88" t="s">
        <v>806</v>
      </c>
      <c r="H538" s="87" t="s">
        <v>443</v>
      </c>
      <c r="I538" s="87" t="s">
        <v>246</v>
      </c>
      <c r="J538" s="88">
        <v>150</v>
      </c>
      <c r="K538" s="88">
        <v>150</v>
      </c>
      <c r="L538" s="88">
        <v>150</v>
      </c>
      <c r="M538" s="89">
        <v>46191</v>
      </c>
      <c r="N538" s="88">
        <v>1</v>
      </c>
      <c r="O538" s="90" t="s">
        <v>432</v>
      </c>
      <c r="Q538" s="91">
        <v>25</v>
      </c>
      <c r="R538" s="91" t="s">
        <v>786</v>
      </c>
      <c r="S538" s="92" t="s">
        <v>751</v>
      </c>
      <c r="T538" s="93" t="s">
        <v>246</v>
      </c>
      <c r="U538" s="94" t="s">
        <v>444</v>
      </c>
      <c r="W538" s="95">
        <v>0</v>
      </c>
      <c r="X538" s="96"/>
      <c r="Y538" s="97">
        <f t="shared" si="574"/>
        <v>46191</v>
      </c>
      <c r="Z538" s="98" t="str">
        <f>SUBSTITUTE('Digitas UK Task 26'!$O538, "Complet", "Not Requir")</f>
        <v>Not Required</v>
      </c>
      <c r="AA538" s="98" t="str">
        <f t="shared" si="573"/>
        <v>Klaviyo EMEA - Trafficking Request - AI First, Omnichannel Orchestration, Mobile - Display - Q2 2026</v>
      </c>
      <c r="AB538" s="99"/>
      <c r="AF538" s="84" t="str">
        <f t="shared" si="577"/>
        <v/>
      </c>
      <c r="AH538" s="84" t="str">
        <f t="shared" si="575"/>
        <v>PL_150_CR_150_AD_150_Jira_0_</v>
      </c>
      <c r="AI538" s="84" t="str">
        <f t="shared" si="576"/>
        <v/>
      </c>
      <c r="AJ538" s="84" t="str">
        <f>IF(Z538&lt;&gt;"Done","",(_xlfn.CONCAT("PL_",DigitasUKAdOp_26Team[[#This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39" spans="1:36" ht="15.75" customHeight="1" x14ac:dyDescent="0.3">
      <c r="A539" s="85" t="s">
        <v>784</v>
      </c>
      <c r="B539" s="86">
        <v>46195</v>
      </c>
      <c r="C539" s="87" t="s">
        <v>334</v>
      </c>
      <c r="D539" s="88" t="s">
        <v>465</v>
      </c>
      <c r="E539" s="87" t="s">
        <v>428</v>
      </c>
      <c r="F539" s="88" t="s">
        <v>707</v>
      </c>
      <c r="G539" s="88" t="s">
        <v>782</v>
      </c>
      <c r="H539" s="87" t="s">
        <v>443</v>
      </c>
      <c r="I539" s="87" t="s">
        <v>250</v>
      </c>
      <c r="J539" s="88">
        <v>0</v>
      </c>
      <c r="K539" s="88">
        <v>0</v>
      </c>
      <c r="L539" s="88">
        <v>0</v>
      </c>
      <c r="M539" s="89">
        <v>46195</v>
      </c>
      <c r="N539" s="88">
        <v>0.5</v>
      </c>
      <c r="O539" s="90" t="s">
        <v>432</v>
      </c>
      <c r="Q539" s="91">
        <v>26</v>
      </c>
      <c r="R539" s="91" t="s">
        <v>786</v>
      </c>
      <c r="S539" s="92" t="s">
        <v>736</v>
      </c>
      <c r="T539" s="93" t="s">
        <v>250</v>
      </c>
      <c r="U539" s="94" t="s">
        <v>444</v>
      </c>
      <c r="W539" s="95">
        <v>0</v>
      </c>
      <c r="X539" s="96"/>
      <c r="Y539" s="97">
        <f t="shared" si="574"/>
        <v>46195</v>
      </c>
      <c r="Z539" s="98" t="str">
        <f>SUBSTITUTE('Digitas UK Task 26'!$O539, "Complet", "Not Requir")</f>
        <v>Not Required</v>
      </c>
      <c r="AA539" s="98" t="str">
        <f t="shared" si="573"/>
        <v>Klaviyo EMEA - Trafficking Request - World Cup - Q2 2026</v>
      </c>
      <c r="AB539" s="99"/>
      <c r="AF539" s="84" t="str">
        <f t="shared" si="577"/>
        <v/>
      </c>
      <c r="AH539" s="84" t="str">
        <f t="shared" si="575"/>
        <v>PL_0_CR_0_AD_0_Jira_0_</v>
      </c>
      <c r="AI539" s="84" t="str">
        <f t="shared" si="576"/>
        <v/>
      </c>
      <c r="AJ539" s="84" t="str">
        <f>IF(Z539&lt;&gt;"Done","",(_xlfn.CONCAT("PL_",DigitasUKAdOp_26Team[[#This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40" spans="1:36" ht="15.75" customHeight="1" x14ac:dyDescent="0.3">
      <c r="A540" s="85" t="s">
        <v>784</v>
      </c>
      <c r="B540" s="86">
        <v>46195</v>
      </c>
      <c r="C540" s="87" t="s">
        <v>334</v>
      </c>
      <c r="D540" s="88" t="s">
        <v>465</v>
      </c>
      <c r="E540" s="87" t="s">
        <v>428</v>
      </c>
      <c r="F540" s="88" t="s">
        <v>707</v>
      </c>
      <c r="G540" s="88" t="s">
        <v>782</v>
      </c>
      <c r="H540" s="87" t="s">
        <v>269</v>
      </c>
      <c r="I540" s="87" t="s">
        <v>250</v>
      </c>
      <c r="J540" s="88">
        <v>6</v>
      </c>
      <c r="K540" s="88">
        <v>6</v>
      </c>
      <c r="L540" s="88">
        <v>6</v>
      </c>
      <c r="M540" s="89">
        <v>46195</v>
      </c>
      <c r="N540" s="88">
        <v>0.5</v>
      </c>
      <c r="O540" s="90" t="s">
        <v>432</v>
      </c>
      <c r="Q540" s="91">
        <v>26</v>
      </c>
      <c r="R540" s="91" t="s">
        <v>786</v>
      </c>
      <c r="S540" s="92" t="s">
        <v>736</v>
      </c>
      <c r="T540" s="93" t="s">
        <v>246</v>
      </c>
      <c r="U540" s="94" t="s">
        <v>433</v>
      </c>
      <c r="W540" s="95">
        <v>0.25</v>
      </c>
      <c r="X540" s="96"/>
      <c r="Y540" s="97">
        <f t="shared" si="574"/>
        <v>46195</v>
      </c>
      <c r="Z540" s="98" t="str">
        <f>SUBSTITUTE('Digitas UK Task 26'!$O540, "Complet", "Not Requir")</f>
        <v>Not Required</v>
      </c>
      <c r="AA540" s="98" t="str">
        <f t="shared" si="573"/>
        <v>Klaviyo EMEA - Trafficking Request - World Cup - Q2 2026</v>
      </c>
      <c r="AB540" s="99"/>
      <c r="AF540" s="84" t="str">
        <f t="shared" si="577"/>
        <v/>
      </c>
      <c r="AH540" s="84" t="str">
        <f t="shared" si="575"/>
        <v>PL_6_CR_6_AD_6_Jira_0_</v>
      </c>
      <c r="AI540" s="84" t="str">
        <f t="shared" si="576"/>
        <v>PL_6_CR_6_AD_6_Jira_0_</v>
      </c>
      <c r="AJ540" s="84" t="str">
        <f>IF(Z540&lt;&gt;"Done","",(_xlfn.CONCAT("PL_",DigitasUKAdOp_26Team[[#This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41" spans="1:36" ht="15.75" customHeight="1" x14ac:dyDescent="0.3">
      <c r="A541" s="85" t="s">
        <v>793</v>
      </c>
      <c r="B541" s="86">
        <v>46197</v>
      </c>
      <c r="C541" s="87" t="s">
        <v>355</v>
      </c>
      <c r="D541" s="88" t="s">
        <v>514</v>
      </c>
      <c r="E541" s="87" t="s">
        <v>428</v>
      </c>
      <c r="F541" s="88" t="s">
        <v>810</v>
      </c>
      <c r="G541" s="88" t="s">
        <v>811</v>
      </c>
      <c r="H541" s="87" t="s">
        <v>443</v>
      </c>
      <c r="I541" s="87" t="s">
        <v>250</v>
      </c>
      <c r="J541" s="88">
        <v>0</v>
      </c>
      <c r="K541" s="88">
        <v>0</v>
      </c>
      <c r="L541" s="88">
        <v>0</v>
      </c>
      <c r="M541" s="89">
        <v>46197</v>
      </c>
      <c r="N541" s="88">
        <v>1</v>
      </c>
      <c r="O541" s="90" t="s">
        <v>432</v>
      </c>
      <c r="Q541" s="91">
        <v>26</v>
      </c>
      <c r="R541" s="91" t="s">
        <v>786</v>
      </c>
      <c r="S541" s="92" t="s">
        <v>748</v>
      </c>
      <c r="T541" s="93" t="s">
        <v>250</v>
      </c>
      <c r="U541" s="94" t="s">
        <v>444</v>
      </c>
      <c r="W541" s="95">
        <v>0</v>
      </c>
      <c r="X541" s="96"/>
      <c r="Y541" s="97">
        <f t="shared" si="574"/>
        <v>46197</v>
      </c>
      <c r="Z541" s="98" t="str">
        <f>SUBSTITUTE('Digitas UK Task 26'!$O541, "Complet", "Not Requir")</f>
        <v>Not Required</v>
      </c>
      <c r="AA541" s="98" t="str">
        <f t="shared" si="573"/>
        <v>https://jira.publicismedia.com/browse/TAAGPNG-1974</v>
      </c>
      <c r="AB541" s="99"/>
      <c r="AF541" s="84" t="str">
        <f t="shared" si="577"/>
        <v/>
      </c>
      <c r="AH541" s="84" t="str">
        <f t="shared" si="575"/>
        <v>PL_0_CR_0_AD_0_Jira_1974_</v>
      </c>
      <c r="AI541" s="84" t="str">
        <f t="shared" si="576"/>
        <v/>
      </c>
      <c r="AJ541" s="84" t="str">
        <f>IF(Z541&lt;&gt;"Done","",(_xlfn.CONCAT("PL_",DigitasUKAdOp_26Team[[#This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42" spans="1:36" ht="15.75" customHeight="1" x14ac:dyDescent="0.3">
      <c r="A542" s="85" t="s">
        <v>793</v>
      </c>
      <c r="B542" s="86">
        <v>46197</v>
      </c>
      <c r="C542" s="87" t="s">
        <v>355</v>
      </c>
      <c r="D542" s="88" t="s">
        <v>514</v>
      </c>
      <c r="E542" s="87" t="s">
        <v>428</v>
      </c>
      <c r="F542" s="88" t="s">
        <v>810</v>
      </c>
      <c r="G542" s="88" t="s">
        <v>811</v>
      </c>
      <c r="H542" s="87" t="s">
        <v>269</v>
      </c>
      <c r="I542" s="87" t="s">
        <v>250</v>
      </c>
      <c r="J542" s="88">
        <v>315</v>
      </c>
      <c r="K542" s="88">
        <v>315</v>
      </c>
      <c r="L542" s="88">
        <v>315</v>
      </c>
      <c r="M542" s="89">
        <v>46197</v>
      </c>
      <c r="N542" s="88">
        <v>8</v>
      </c>
      <c r="O542" s="90" t="s">
        <v>432</v>
      </c>
      <c r="Q542" s="91">
        <v>26</v>
      </c>
      <c r="R542" s="91" t="s">
        <v>786</v>
      </c>
      <c r="S542" s="92" t="s">
        <v>748</v>
      </c>
      <c r="T542" s="93" t="s">
        <v>246</v>
      </c>
      <c r="U542" s="94" t="s">
        <v>433</v>
      </c>
      <c r="W542" s="95">
        <v>4</v>
      </c>
      <c r="X542" s="96"/>
      <c r="Y542" s="97">
        <f t="shared" si="574"/>
        <v>46197</v>
      </c>
      <c r="Z542" s="98" t="str">
        <f>SUBSTITUTE('Digitas UK Task 26'!$O542, "Complet", "Not Requir")</f>
        <v>Not Required</v>
      </c>
      <c r="AA542" s="98" t="str">
        <f t="shared" si="573"/>
        <v>https://jira.publicismedia.com/browse/TAAGPNG-1974</v>
      </c>
      <c r="AB542" s="99"/>
      <c r="AF542" s="84" t="str">
        <f t="shared" si="577"/>
        <v/>
      </c>
      <c r="AH542" s="84" t="str">
        <f t="shared" si="575"/>
        <v>PL_315_CR_315_AD_315_Jira_1974_</v>
      </c>
      <c r="AI542" s="84" t="str">
        <f t="shared" si="576"/>
        <v>PL_315_CR_315_AD_315_Jira_1974_</v>
      </c>
      <c r="AJ542" s="84" t="str">
        <f>IF(Z542&lt;&gt;"Done","",(_xlfn.CONCAT("PL_",DigitasUKAdOp_26Team[[#This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43" spans="1:36" ht="15.75" customHeight="1" x14ac:dyDescent="0.3">
      <c r="A543" s="85" t="s">
        <v>793</v>
      </c>
      <c r="B543" s="86">
        <v>46197</v>
      </c>
      <c r="C543" s="87" t="s">
        <v>349</v>
      </c>
      <c r="D543" s="88" t="s">
        <v>699</v>
      </c>
      <c r="E543" s="87" t="s">
        <v>428</v>
      </c>
      <c r="F543" s="88" t="s">
        <v>812</v>
      </c>
      <c r="G543" s="88" t="s">
        <v>813</v>
      </c>
      <c r="H543" s="87" t="s">
        <v>443</v>
      </c>
      <c r="I543" s="87" t="s">
        <v>237</v>
      </c>
      <c r="J543" s="88">
        <v>0</v>
      </c>
      <c r="K543" s="88">
        <v>0</v>
      </c>
      <c r="L543" s="88">
        <v>0</v>
      </c>
      <c r="M543" s="89">
        <v>46198</v>
      </c>
      <c r="N543" s="88">
        <v>1</v>
      </c>
      <c r="O543" s="90" t="s">
        <v>432</v>
      </c>
      <c r="Q543" s="91">
        <v>26</v>
      </c>
      <c r="R543" s="91" t="s">
        <v>786</v>
      </c>
      <c r="S543" s="92" t="s">
        <v>748</v>
      </c>
      <c r="T543" s="93" t="s">
        <v>237</v>
      </c>
      <c r="U543" s="94" t="s">
        <v>444</v>
      </c>
      <c r="W543" s="95">
        <v>0</v>
      </c>
      <c r="X543" s="96"/>
      <c r="Y543" s="97">
        <f t="shared" si="574"/>
        <v>46198</v>
      </c>
      <c r="Z543" s="98" t="str">
        <f>SUBSTITUTE('Digitas UK Task 26'!$O543, "Complet", "Not Requir")</f>
        <v>Not Required</v>
      </c>
      <c r="AA543" s="98" t="str">
        <f t="shared" si="573"/>
        <v>CM360 Set Up</v>
      </c>
      <c r="AB543" s="99"/>
      <c r="AF543" s="84" t="str">
        <f t="shared" si="577"/>
        <v/>
      </c>
      <c r="AH543" s="84" t="str">
        <f t="shared" si="575"/>
        <v>PL_0_CR_0_AD_0_Jira_0_</v>
      </c>
      <c r="AI543" s="84" t="str">
        <f t="shared" si="576"/>
        <v/>
      </c>
      <c r="AJ543" s="84" t="str">
        <f>IF(Z543&lt;&gt;"Done","",(_xlfn.CONCAT("PL_",DigitasUKAdOp_26Team[[#This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44" spans="1:36" ht="15.75" customHeight="1" x14ac:dyDescent="0.3">
      <c r="A544" s="85" t="s">
        <v>808</v>
      </c>
      <c r="B544" s="86">
        <v>46198</v>
      </c>
      <c r="C544" s="87" t="s">
        <v>349</v>
      </c>
      <c r="D544" s="88" t="s">
        <v>699</v>
      </c>
      <c r="E544" s="87" t="s">
        <v>428</v>
      </c>
      <c r="F544" s="88" t="s">
        <v>812</v>
      </c>
      <c r="G544" s="88" t="s">
        <v>813</v>
      </c>
      <c r="H544" s="87" t="s">
        <v>269</v>
      </c>
      <c r="I544" s="87" t="s">
        <v>237</v>
      </c>
      <c r="J544" s="88">
        <v>3</v>
      </c>
      <c r="K544" s="88">
        <v>3</v>
      </c>
      <c r="L544" s="88">
        <v>3</v>
      </c>
      <c r="M544" s="89">
        <v>46198</v>
      </c>
      <c r="N544" s="88">
        <v>0.5</v>
      </c>
      <c r="O544" s="90" t="s">
        <v>432</v>
      </c>
      <c r="Q544" s="91">
        <v>26</v>
      </c>
      <c r="R544" s="91" t="s">
        <v>786</v>
      </c>
      <c r="S544" s="92" t="s">
        <v>751</v>
      </c>
      <c r="T544" s="93" t="s">
        <v>246</v>
      </c>
      <c r="U544" s="94" t="s">
        <v>433</v>
      </c>
      <c r="W544" s="95">
        <v>0.25</v>
      </c>
      <c r="X544" s="96"/>
      <c r="Y544" s="97">
        <f t="shared" si="574"/>
        <v>46198</v>
      </c>
      <c r="Z544" s="98" t="str">
        <f>SUBSTITUTE('Digitas UK Task 26'!$O544, "Complet", "Not Requir")</f>
        <v>Not Required</v>
      </c>
      <c r="AA544" s="98" t="str">
        <f t="shared" si="573"/>
        <v>CM360 Set Up</v>
      </c>
      <c r="AB544" s="99"/>
      <c r="AF544" s="84" t="str">
        <f t="shared" si="577"/>
        <v/>
      </c>
      <c r="AH544" s="84" t="str">
        <f t="shared" si="575"/>
        <v>PL_3_CR_3_AD_3_Jira_0_</v>
      </c>
      <c r="AI544" s="84" t="str">
        <f t="shared" si="576"/>
        <v>PL_3_CR_3_AD_3_Jira_0_</v>
      </c>
      <c r="AJ544" s="84" t="str">
        <f>IF(Z544&lt;&gt;"Done","",(_xlfn.CONCAT("PL_",DigitasUKAdOp_26Team[[#This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45" spans="1:36" ht="15.75" customHeight="1" x14ac:dyDescent="0.3">
      <c r="A545" s="85" t="s">
        <v>808</v>
      </c>
      <c r="B545" s="86">
        <v>46198</v>
      </c>
      <c r="C545" s="87" t="s">
        <v>355</v>
      </c>
      <c r="D545" s="88" t="s">
        <v>514</v>
      </c>
      <c r="E545" s="87" t="s">
        <v>428</v>
      </c>
      <c r="F545" s="88" t="s">
        <v>814</v>
      </c>
      <c r="G545" s="88" t="s">
        <v>815</v>
      </c>
      <c r="H545" s="87" t="s">
        <v>269</v>
      </c>
      <c r="I545" s="87" t="s">
        <v>250</v>
      </c>
      <c r="J545" s="88">
        <v>50</v>
      </c>
      <c r="K545" s="88">
        <v>50</v>
      </c>
      <c r="L545" s="88">
        <v>50</v>
      </c>
      <c r="M545" s="89">
        <v>46198</v>
      </c>
      <c r="N545" s="88">
        <v>2</v>
      </c>
      <c r="O545" s="90" t="s">
        <v>432</v>
      </c>
      <c r="Q545" s="91">
        <v>26</v>
      </c>
      <c r="R545" s="91" t="s">
        <v>786</v>
      </c>
      <c r="S545" s="92" t="s">
        <v>751</v>
      </c>
      <c r="T545" s="93" t="s">
        <v>246</v>
      </c>
      <c r="U545" s="94" t="s">
        <v>433</v>
      </c>
      <c r="W545" s="95">
        <v>1</v>
      </c>
      <c r="X545" s="96"/>
      <c r="Y545" s="97">
        <f t="shared" si="574"/>
        <v>46198</v>
      </c>
      <c r="Z545" s="98" t="str">
        <f>SUBSTITUTE('Digitas UK Task 26'!$O545, "Complet", "Not Requir")</f>
        <v>Not Required</v>
      </c>
      <c r="AA545" s="98" t="str">
        <f t="shared" si="573"/>
        <v>https://jira.publicismedia.com/browse/TAAGPNG-1976</v>
      </c>
      <c r="AB545" s="99"/>
      <c r="AF545" s="84" t="str">
        <f t="shared" si="577"/>
        <v/>
      </c>
      <c r="AH545" s="84" t="str">
        <f t="shared" si="575"/>
        <v>PL_50_CR_50_AD_50_Jira_1976_</v>
      </c>
      <c r="AI545" s="84" t="str">
        <f t="shared" si="576"/>
        <v>PL_50_CR_50_AD_50_Jira_1976_</v>
      </c>
      <c r="AJ545" s="84" t="str">
        <f>IF(Z545&lt;&gt;"Done","",(_xlfn.CONCAT("PL_",DigitasUKAdOp_26Team[[#This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46" spans="1:36" ht="15.75" customHeight="1" x14ac:dyDescent="0.3">
      <c r="A546" s="85" t="s">
        <v>808</v>
      </c>
      <c r="B546" s="86">
        <v>46198</v>
      </c>
      <c r="C546" s="87" t="s">
        <v>355</v>
      </c>
      <c r="D546" s="88" t="s">
        <v>514</v>
      </c>
      <c r="E546" s="87" t="s">
        <v>428</v>
      </c>
      <c r="F546" s="88" t="s">
        <v>816</v>
      </c>
      <c r="G546" s="88" t="s">
        <v>817</v>
      </c>
      <c r="H546" s="87" t="s">
        <v>269</v>
      </c>
      <c r="I546" s="87" t="s">
        <v>250</v>
      </c>
      <c r="J546" s="88">
        <v>50</v>
      </c>
      <c r="K546" s="88">
        <v>50</v>
      </c>
      <c r="L546" s="88">
        <v>50</v>
      </c>
      <c r="M546" s="89">
        <v>46198</v>
      </c>
      <c r="N546" s="88">
        <v>2</v>
      </c>
      <c r="O546" s="90" t="s">
        <v>432</v>
      </c>
      <c r="Q546" s="91">
        <v>26</v>
      </c>
      <c r="R546" s="91" t="s">
        <v>786</v>
      </c>
      <c r="S546" s="92" t="s">
        <v>751</v>
      </c>
      <c r="T546" s="93" t="s">
        <v>246</v>
      </c>
      <c r="U546" s="94" t="s">
        <v>433</v>
      </c>
      <c r="W546" s="95">
        <v>1</v>
      </c>
      <c r="X546" s="96"/>
      <c r="Y546" s="97">
        <f t="shared" si="574"/>
        <v>46198</v>
      </c>
      <c r="Z546" s="98" t="str">
        <f>SUBSTITUTE('Digitas UK Task 26'!$O546, "Complet", "Not Requir")</f>
        <v>Not Required</v>
      </c>
      <c r="AA546" s="98" t="str">
        <f t="shared" si="573"/>
        <v>https://jira.publicismedia.com/browse/TAAGPNG-1978</v>
      </c>
      <c r="AB546" s="99"/>
      <c r="AF546" s="84" t="str">
        <f t="shared" si="577"/>
        <v/>
      </c>
      <c r="AH546" s="84" t="str">
        <f t="shared" si="575"/>
        <v>PL_50_CR_50_AD_50_Jira_1978_</v>
      </c>
      <c r="AI546" s="84" t="str">
        <f t="shared" si="576"/>
        <v>PL_50_CR_50_AD_50_Jira_1978_</v>
      </c>
      <c r="AJ546" s="84" t="str">
        <f>IF(Z546&lt;&gt;"Done","",(_xlfn.CONCAT("PL_",DigitasUKAdOp_26Team[[#This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47" spans="1:36" ht="15.75" customHeight="1" x14ac:dyDescent="0.3">
      <c r="A547" s="85" t="s">
        <v>808</v>
      </c>
      <c r="B547" s="86">
        <v>46198</v>
      </c>
      <c r="C547" s="87" t="s">
        <v>349</v>
      </c>
      <c r="D547" s="88" t="s">
        <v>699</v>
      </c>
      <c r="E547" s="87" t="s">
        <v>428</v>
      </c>
      <c r="F547" s="88" t="s">
        <v>812</v>
      </c>
      <c r="G547" s="88" t="s">
        <v>813</v>
      </c>
      <c r="H547" s="87" t="s">
        <v>443</v>
      </c>
      <c r="I547" s="87" t="s">
        <v>237</v>
      </c>
      <c r="J547" s="88">
        <v>0</v>
      </c>
      <c r="K547" s="88">
        <v>0</v>
      </c>
      <c r="L547" s="88">
        <v>0</v>
      </c>
      <c r="M547" s="89">
        <v>46198</v>
      </c>
      <c r="N547" s="88">
        <v>1</v>
      </c>
      <c r="O547" s="90" t="s">
        <v>432</v>
      </c>
      <c r="Q547" s="91">
        <v>26</v>
      </c>
      <c r="R547" s="91" t="s">
        <v>786</v>
      </c>
      <c r="S547" s="92" t="s">
        <v>751</v>
      </c>
      <c r="T547" s="93" t="s">
        <v>237</v>
      </c>
      <c r="U547" s="94" t="s">
        <v>444</v>
      </c>
      <c r="W547" s="95">
        <v>0</v>
      </c>
      <c r="X547" s="96"/>
      <c r="Y547" s="97">
        <f t="shared" si="574"/>
        <v>46198</v>
      </c>
      <c r="Z547" s="98" t="str">
        <f>SUBSTITUTE('Digitas UK Task 26'!$O547, "Complet", "Not Requir")</f>
        <v>Not Required</v>
      </c>
      <c r="AA547" s="98" t="str">
        <f t="shared" si="573"/>
        <v>CM360 Set Up</v>
      </c>
      <c r="AB547" s="99"/>
      <c r="AF547" s="84" t="str">
        <f t="shared" si="577"/>
        <v/>
      </c>
      <c r="AH547" s="84" t="str">
        <f t="shared" si="575"/>
        <v>PL_0_CR_0_AD_0_Jira_0_</v>
      </c>
      <c r="AI547" s="84" t="str">
        <f t="shared" si="576"/>
        <v/>
      </c>
      <c r="AJ547" s="84" t="str">
        <f>IF(Z547&lt;&gt;"Done","",(_xlfn.CONCAT("PL_",DigitasUKAdOp_26Team[[#This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48" spans="1:36" ht="15.75" customHeight="1" x14ac:dyDescent="0.3">
      <c r="A548" s="85" t="s">
        <v>818</v>
      </c>
      <c r="B548" s="86">
        <v>46199</v>
      </c>
      <c r="C548" s="87" t="s">
        <v>334</v>
      </c>
      <c r="D548" s="88" t="s">
        <v>465</v>
      </c>
      <c r="E548" s="87" t="s">
        <v>428</v>
      </c>
      <c r="F548" s="88" t="s">
        <v>450</v>
      </c>
      <c r="G548" s="88" t="s">
        <v>450</v>
      </c>
      <c r="H548" s="87" t="s">
        <v>443</v>
      </c>
      <c r="I548" s="87" t="s">
        <v>250</v>
      </c>
      <c r="J548" s="88">
        <v>0</v>
      </c>
      <c r="K548" s="88">
        <v>0</v>
      </c>
      <c r="L548" s="88">
        <v>0</v>
      </c>
      <c r="M548" s="89">
        <v>46199</v>
      </c>
      <c r="N548" s="88">
        <v>1</v>
      </c>
      <c r="O548" s="90" t="s">
        <v>432</v>
      </c>
      <c r="Q548" s="91">
        <v>26</v>
      </c>
      <c r="R548" s="91" t="s">
        <v>786</v>
      </c>
      <c r="S548" s="92" t="s">
        <v>760</v>
      </c>
      <c r="T548" s="93" t="s">
        <v>250</v>
      </c>
      <c r="U548" s="94" t="s">
        <v>444</v>
      </c>
      <c r="W548" s="95">
        <v>0</v>
      </c>
      <c r="X548" s="96"/>
      <c r="Y548" s="97">
        <f t="shared" si="574"/>
        <v>46199</v>
      </c>
      <c r="Z548" s="98" t="str">
        <f>SUBSTITUTE('Digitas UK Task 26'!$O548, "Complet", "Not Requir")</f>
        <v>Not Required</v>
      </c>
      <c r="AA548" s="98" t="str">
        <f t="shared" si="573"/>
        <v>NA</v>
      </c>
      <c r="AB548" s="99"/>
      <c r="AF548" s="84" t="str">
        <f t="shared" si="577"/>
        <v/>
      </c>
      <c r="AH548" s="84" t="str">
        <f t="shared" si="575"/>
        <v>PL_0_CR_0_AD_0_Jira_0_</v>
      </c>
      <c r="AI548" s="84" t="str">
        <f t="shared" si="576"/>
        <v/>
      </c>
      <c r="AJ548" s="84" t="str">
        <f>IF(Z548&lt;&gt;"Done","",(_xlfn.CONCAT("PL_",DigitasUKAdOp_26Team[[#This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49" spans="1:36" ht="15.75" customHeight="1" x14ac:dyDescent="0.3">
      <c r="A549" s="85" t="s">
        <v>784</v>
      </c>
      <c r="B549" s="86">
        <v>46202</v>
      </c>
      <c r="C549" s="87" t="s">
        <v>334</v>
      </c>
      <c r="D549" s="88" t="s">
        <v>598</v>
      </c>
      <c r="E549" s="87" t="s">
        <v>428</v>
      </c>
      <c r="F549" s="88" t="s">
        <v>471</v>
      </c>
      <c r="G549" s="88" t="s">
        <v>819</v>
      </c>
      <c r="H549" s="87" t="s">
        <v>269</v>
      </c>
      <c r="I549" s="87" t="s">
        <v>431</v>
      </c>
      <c r="J549" s="88">
        <v>25</v>
      </c>
      <c r="K549" s="88">
        <v>25</v>
      </c>
      <c r="L549" s="88">
        <v>25</v>
      </c>
      <c r="M549" s="89">
        <v>46202</v>
      </c>
      <c r="N549" s="88">
        <v>2</v>
      </c>
      <c r="O549" s="90" t="s">
        <v>432</v>
      </c>
      <c r="Q549" s="91">
        <v>27</v>
      </c>
      <c r="R549" s="91" t="s">
        <v>786</v>
      </c>
      <c r="S549" s="92" t="s">
        <v>736</v>
      </c>
      <c r="T549" s="93" t="s">
        <v>237</v>
      </c>
      <c r="U549" s="94" t="s">
        <v>433</v>
      </c>
      <c r="W549" s="95">
        <v>1</v>
      </c>
      <c r="X549" s="96"/>
      <c r="Y549" s="97">
        <f t="shared" si="574"/>
        <v>46202</v>
      </c>
      <c r="Z549" s="98" t="str">
        <f>SUBSTITUTE('Digitas UK Task 26'!$O549, "Complet", "Not Requir")</f>
        <v>Not Required</v>
      </c>
      <c r="AA549" s="98" t="str">
        <f t="shared" ref="AA549:AA610" si="578">IF(G549="","",G549)</f>
        <v>Klaviyo EMEA - URL Update Request - Saint Barth &amp; Loop Case Study- Display - Q1 2026</v>
      </c>
      <c r="AB549" s="99"/>
      <c r="AF549" s="84" t="str">
        <f t="shared" si="577"/>
        <v/>
      </c>
      <c r="AH549" s="84" t="str">
        <f t="shared" si="575"/>
        <v>PL_25_CR_25_AD_25_Jira_0_</v>
      </c>
      <c r="AI549" s="84" t="str">
        <f t="shared" si="576"/>
        <v>PL_25_CR_25_AD_25_Jira_0_</v>
      </c>
      <c r="AJ549" s="84" t="str">
        <f>IF(Z549&lt;&gt;"Done","",(_xlfn.CONCAT("PL_",DigitasUKAdOp_26Team[[#This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50" spans="1:36" ht="15.75" customHeight="1" x14ac:dyDescent="0.3">
      <c r="A550" s="85" t="s">
        <v>784</v>
      </c>
      <c r="B550" s="86">
        <v>46202</v>
      </c>
      <c r="C550" s="87" t="s">
        <v>334</v>
      </c>
      <c r="D550" s="88" t="s">
        <v>598</v>
      </c>
      <c r="E550" s="87" t="s">
        <v>428</v>
      </c>
      <c r="F550" s="88" t="s">
        <v>466</v>
      </c>
      <c r="G550" s="88" t="s">
        <v>819</v>
      </c>
      <c r="H550" s="87" t="s">
        <v>269</v>
      </c>
      <c r="I550" s="87" t="s">
        <v>250</v>
      </c>
      <c r="J550" s="88">
        <v>20</v>
      </c>
      <c r="K550" s="88">
        <v>20</v>
      </c>
      <c r="L550" s="88">
        <v>20</v>
      </c>
      <c r="M550" s="89">
        <v>46202</v>
      </c>
      <c r="N550" s="88">
        <v>1.5</v>
      </c>
      <c r="O550" s="90" t="s">
        <v>432</v>
      </c>
      <c r="Q550" s="91">
        <v>27</v>
      </c>
      <c r="R550" s="91" t="s">
        <v>786</v>
      </c>
      <c r="S550" s="92" t="s">
        <v>736</v>
      </c>
      <c r="T550" s="93" t="s">
        <v>237</v>
      </c>
      <c r="U550" s="94" t="s">
        <v>433</v>
      </c>
      <c r="W550" s="95">
        <v>0.75</v>
      </c>
      <c r="X550" s="96"/>
      <c r="Y550" s="97">
        <f t="shared" si="574"/>
        <v>46202</v>
      </c>
      <c r="Z550" s="98" t="str">
        <f>SUBSTITUTE('Digitas UK Task 26'!$O550, "Complet", "Not Requir")</f>
        <v>Not Required</v>
      </c>
      <c r="AA550" s="98" t="str">
        <f t="shared" si="578"/>
        <v>Klaviyo EMEA - URL Update Request - Saint Barth &amp; Loop Case Study- Display - Q1 2026</v>
      </c>
      <c r="AB550" s="99"/>
      <c r="AF550" s="84" t="str">
        <f t="shared" si="577"/>
        <v/>
      </c>
      <c r="AH550" s="84" t="str">
        <f t="shared" si="575"/>
        <v>PL_20_CR_20_AD_20_Jira_0_</v>
      </c>
      <c r="AI550" s="84" t="str">
        <f t="shared" si="576"/>
        <v>PL_20_CR_20_AD_20_Jira_0_</v>
      </c>
      <c r="AJ550" s="84" t="str">
        <f>IF(Z550&lt;&gt;"Done","",(_xlfn.CONCAT("PL_",DigitasUKAdOp_26Team[[#This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51" spans="1:36" ht="15.75" customHeight="1" x14ac:dyDescent="0.3">
      <c r="A551" s="85" t="s">
        <v>784</v>
      </c>
      <c r="B551" s="86">
        <v>46202</v>
      </c>
      <c r="C551" s="87" t="s">
        <v>334</v>
      </c>
      <c r="D551" s="88" t="s">
        <v>496</v>
      </c>
      <c r="E551" s="87" t="s">
        <v>428</v>
      </c>
      <c r="F551" s="88" t="s">
        <v>472</v>
      </c>
      <c r="G551" s="88" t="s">
        <v>820</v>
      </c>
      <c r="H551" s="87" t="s">
        <v>269</v>
      </c>
      <c r="I551" s="87" t="s">
        <v>237</v>
      </c>
      <c r="J551" s="88">
        <v>150</v>
      </c>
      <c r="K551" s="88">
        <v>150</v>
      </c>
      <c r="L551" s="88">
        <v>150</v>
      </c>
      <c r="M551" s="89">
        <v>46202</v>
      </c>
      <c r="N551" s="88">
        <v>3</v>
      </c>
      <c r="O551" s="90" t="s">
        <v>432</v>
      </c>
      <c r="Q551" s="91">
        <v>27</v>
      </c>
      <c r="R551" s="91" t="s">
        <v>786</v>
      </c>
      <c r="S551" s="92" t="s">
        <v>736</v>
      </c>
      <c r="T551" s="93" t="s">
        <v>250</v>
      </c>
      <c r="U551" s="94" t="s">
        <v>433</v>
      </c>
      <c r="V551" s="95" t="s">
        <v>821</v>
      </c>
      <c r="W551" s="95">
        <v>1.5</v>
      </c>
      <c r="X551" s="96"/>
      <c r="Y551" s="97">
        <f t="shared" si="574"/>
        <v>46202</v>
      </c>
      <c r="Z551" s="98" t="str">
        <f>SUBSTITUTE('Digitas UK Task 26'!$O551, "Complet", "Not Requir")</f>
        <v>Not Required</v>
      </c>
      <c r="AA551" s="98" t="str">
        <f t="shared" si="578"/>
        <v>Klaviyo EMEA - Trafficking Request - Placement Name Change - IT &amp; ES</v>
      </c>
      <c r="AB551" s="99"/>
      <c r="AF551" s="84" t="str">
        <f t="shared" si="577"/>
        <v/>
      </c>
      <c r="AH551" s="84" t="str">
        <f t="shared" si="575"/>
        <v>PL_150_CR_150_AD_150_Jira_0_</v>
      </c>
      <c r="AI551" s="84" t="str">
        <f t="shared" si="576"/>
        <v>PL_150_CR_150_AD_150_Jira_0_</v>
      </c>
      <c r="AJ551" s="84" t="str">
        <f>IF(Z551&lt;&gt;"Done","",(_xlfn.CONCAT("PL_",DigitasUKAdOp_26Team[[#This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52" spans="1:36" ht="15.75" customHeight="1" x14ac:dyDescent="0.3">
      <c r="A552" s="85" t="s">
        <v>784</v>
      </c>
      <c r="B552" s="86">
        <v>46202</v>
      </c>
      <c r="C552" s="87" t="s">
        <v>334</v>
      </c>
      <c r="D552" s="88" t="s">
        <v>496</v>
      </c>
      <c r="E552" s="87" t="s">
        <v>428</v>
      </c>
      <c r="F552" s="88" t="s">
        <v>470</v>
      </c>
      <c r="G552" s="88" t="s">
        <v>820</v>
      </c>
      <c r="H552" s="87" t="s">
        <v>269</v>
      </c>
      <c r="I552" s="87" t="s">
        <v>246</v>
      </c>
      <c r="J552" s="88">
        <v>150</v>
      </c>
      <c r="K552" s="88">
        <v>150</v>
      </c>
      <c r="L552" s="88">
        <v>150</v>
      </c>
      <c r="M552" s="89">
        <v>46202</v>
      </c>
      <c r="N552" s="88">
        <v>4</v>
      </c>
      <c r="O552" s="90" t="s">
        <v>432</v>
      </c>
      <c r="Q552" s="91">
        <v>27</v>
      </c>
      <c r="R552" s="91" t="s">
        <v>786</v>
      </c>
      <c r="S552" s="92" t="s">
        <v>736</v>
      </c>
      <c r="T552" s="93" t="s">
        <v>250</v>
      </c>
      <c r="U552" s="94" t="s">
        <v>433</v>
      </c>
      <c r="V552" s="95" t="s">
        <v>821</v>
      </c>
      <c r="W552" s="95">
        <v>3</v>
      </c>
      <c r="X552" s="96"/>
      <c r="Y552" s="97">
        <f t="shared" si="574"/>
        <v>46202</v>
      </c>
      <c r="Z552" s="98" t="str">
        <f>SUBSTITUTE('Digitas UK Task 26'!$O552, "Complet", "Not Requir")</f>
        <v>Not Required</v>
      </c>
      <c r="AA552" s="98" t="str">
        <f t="shared" si="578"/>
        <v>Klaviyo EMEA - Trafficking Request - Placement Name Change - IT &amp; ES</v>
      </c>
      <c r="AB552" s="99"/>
      <c r="AF552" s="84" t="str">
        <f t="shared" si="577"/>
        <v/>
      </c>
      <c r="AH552" s="84" t="str">
        <f t="shared" si="575"/>
        <v>PL_150_CR_150_AD_150_Jira_0_</v>
      </c>
      <c r="AI552" s="84" t="str">
        <f t="shared" si="576"/>
        <v>PL_150_CR_150_AD_150_Jira_0_</v>
      </c>
      <c r="AJ552" s="84" t="str">
        <f>IF(Z552&lt;&gt;"Done","",(_xlfn.CONCAT("PL_",DigitasUKAdOp_26Team[[#This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53" spans="1:36" ht="15.75" customHeight="1" x14ac:dyDescent="0.3">
      <c r="A553" s="85" t="s">
        <v>784</v>
      </c>
      <c r="B553" s="86">
        <v>46202</v>
      </c>
      <c r="C553" s="87" t="s">
        <v>355</v>
      </c>
      <c r="D553" s="88" t="s">
        <v>514</v>
      </c>
      <c r="E553" s="87" t="s">
        <v>428</v>
      </c>
      <c r="F553" s="88" t="s">
        <v>822</v>
      </c>
      <c r="G553" s="88" t="s">
        <v>823</v>
      </c>
      <c r="H553" s="87" t="s">
        <v>269</v>
      </c>
      <c r="I553" s="87" t="s">
        <v>250</v>
      </c>
      <c r="J553" s="88">
        <v>25</v>
      </c>
      <c r="K553" s="88">
        <v>25</v>
      </c>
      <c r="L553" s="88">
        <v>25</v>
      </c>
      <c r="M553" s="89">
        <v>46202</v>
      </c>
      <c r="N553" s="88">
        <v>1</v>
      </c>
      <c r="O553" s="90" t="s">
        <v>432</v>
      </c>
      <c r="Q553" s="91">
        <v>27</v>
      </c>
      <c r="R553" s="91" t="s">
        <v>786</v>
      </c>
      <c r="S553" s="92" t="s">
        <v>736</v>
      </c>
      <c r="T553" s="93" t="s">
        <v>246</v>
      </c>
      <c r="U553" s="94" t="s">
        <v>433</v>
      </c>
      <c r="W553" s="95">
        <v>0.5</v>
      </c>
      <c r="X553" s="96"/>
      <c r="Y553" s="97">
        <f t="shared" ref="Y553:Y614" si="579">IF(M553="","",M553)</f>
        <v>46202</v>
      </c>
      <c r="Z553" s="98" t="str">
        <f>SUBSTITUTE('Digitas UK Task 26'!$O553, "Complet", "Not Requir")</f>
        <v>Not Required</v>
      </c>
      <c r="AA553" s="98" t="str">
        <f t="shared" si="578"/>
        <v>https://jira.publicismedia.com/browse/TAAGPNG-1980</v>
      </c>
      <c r="AB553" s="99"/>
      <c r="AF553" s="84" t="str">
        <f t="shared" si="577"/>
        <v/>
      </c>
      <c r="AH553" s="84" t="str">
        <f t="shared" si="575"/>
        <v>PL_25_CR_25_AD_25_Jira_1980_</v>
      </c>
      <c r="AI553" s="84" t="str">
        <f t="shared" si="576"/>
        <v>PL_25_CR_25_AD_25_Jira_1980_</v>
      </c>
      <c r="AJ553" s="84" t="str">
        <f>IF(Z553&lt;&gt;"Done","",(_xlfn.CONCAT("PL_",DigitasUKAdOp_26Team[[#This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54" spans="1:36" ht="15.75" customHeight="1" x14ac:dyDescent="0.3">
      <c r="A554" s="85" t="s">
        <v>784</v>
      </c>
      <c r="B554" s="86">
        <v>46202</v>
      </c>
      <c r="C554" s="87" t="s">
        <v>355</v>
      </c>
      <c r="D554" s="88" t="s">
        <v>514</v>
      </c>
      <c r="E554" s="87" t="s">
        <v>428</v>
      </c>
      <c r="F554" s="88" t="s">
        <v>824</v>
      </c>
      <c r="G554" s="88" t="s">
        <v>825</v>
      </c>
      <c r="H554" s="87" t="s">
        <v>269</v>
      </c>
      <c r="I554" s="87" t="s">
        <v>250</v>
      </c>
      <c r="J554" s="88">
        <v>25</v>
      </c>
      <c r="K554" s="88">
        <v>25</v>
      </c>
      <c r="L554" s="88">
        <v>25</v>
      </c>
      <c r="M554" s="89">
        <v>46202</v>
      </c>
      <c r="N554" s="88">
        <v>1</v>
      </c>
      <c r="O554" s="90" t="s">
        <v>432</v>
      </c>
      <c r="Q554" s="91">
        <v>27</v>
      </c>
      <c r="R554" s="91" t="s">
        <v>786</v>
      </c>
      <c r="S554" s="92" t="s">
        <v>736</v>
      </c>
      <c r="T554" s="93" t="s">
        <v>246</v>
      </c>
      <c r="U554" s="94" t="s">
        <v>433</v>
      </c>
      <c r="W554" s="95">
        <v>0.5</v>
      </c>
      <c r="X554" s="96"/>
      <c r="Y554" s="97">
        <f t="shared" si="579"/>
        <v>46202</v>
      </c>
      <c r="Z554" s="98" t="str">
        <f>SUBSTITUTE('Digitas UK Task 26'!$O554, "Complet", "Not Requir")</f>
        <v>Not Required</v>
      </c>
      <c r="AA554" s="98" t="str">
        <f t="shared" si="578"/>
        <v>https://jira.publicismedia.com/browse/TAAGPNG-1982</v>
      </c>
      <c r="AB554" s="99"/>
      <c r="AF554" s="84" t="str">
        <f t="shared" si="577"/>
        <v/>
      </c>
      <c r="AH554" s="84" t="str">
        <f t="shared" si="575"/>
        <v>PL_25_CR_25_AD_25_Jira_1982_</v>
      </c>
      <c r="AI554" s="84" t="str">
        <f t="shared" si="576"/>
        <v>PL_25_CR_25_AD_25_Jira_1982_</v>
      </c>
      <c r="AJ554" s="84" t="str">
        <f>IF(Z554&lt;&gt;"Done","",(_xlfn.CONCAT("PL_",DigitasUKAdOp_26Team[[#This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55" spans="1:36" ht="15.75" customHeight="1" x14ac:dyDescent="0.3">
      <c r="A555" s="85" t="s">
        <v>784</v>
      </c>
      <c r="B555" s="86">
        <v>46202</v>
      </c>
      <c r="C555" s="87" t="s">
        <v>349</v>
      </c>
      <c r="D555" s="88" t="s">
        <v>699</v>
      </c>
      <c r="E555" s="87" t="s">
        <v>428</v>
      </c>
      <c r="F555" s="88" t="s">
        <v>826</v>
      </c>
      <c r="G555" s="88" t="s">
        <v>827</v>
      </c>
      <c r="H555" s="87" t="s">
        <v>443</v>
      </c>
      <c r="I555" s="87" t="s">
        <v>431</v>
      </c>
      <c r="J555" s="88">
        <v>0</v>
      </c>
      <c r="K555" s="88">
        <v>0</v>
      </c>
      <c r="L555" s="88">
        <v>0</v>
      </c>
      <c r="M555" s="89">
        <v>46202</v>
      </c>
      <c r="N555" s="88">
        <v>2</v>
      </c>
      <c r="O555" s="90" t="s">
        <v>432</v>
      </c>
      <c r="Q555" s="91">
        <v>27</v>
      </c>
      <c r="R555" s="91" t="s">
        <v>786</v>
      </c>
      <c r="S555" s="92" t="s">
        <v>736</v>
      </c>
      <c r="T555" s="93" t="s">
        <v>431</v>
      </c>
      <c r="U555" s="94" t="s">
        <v>444</v>
      </c>
      <c r="W555" s="95">
        <v>0</v>
      </c>
      <c r="X555" s="96"/>
      <c r="Y555" s="97">
        <f t="shared" si="579"/>
        <v>46202</v>
      </c>
      <c r="Z555" s="98" t="str">
        <f>SUBSTITUTE('Digitas UK Task 26'!$O555, "Complet", "Not Requir")</f>
        <v>Not Required</v>
      </c>
      <c r="AA555" s="98" t="str">
        <f t="shared" si="578"/>
        <v>CM360 Setup</v>
      </c>
      <c r="AB555" s="99"/>
      <c r="AF555" s="84" t="str">
        <f t="shared" si="577"/>
        <v/>
      </c>
      <c r="AH555" s="84" t="str">
        <f t="shared" si="575"/>
        <v>PL_0_CR_0_AD_0_Jira_0_</v>
      </c>
      <c r="AI555" s="84" t="str">
        <f t="shared" si="576"/>
        <v/>
      </c>
      <c r="AJ555" s="84" t="str">
        <f>IF(Z555&lt;&gt;"Done","",(_xlfn.CONCAT("PL_",DigitasUKAdOp_26Team[[#This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56" spans="1:36" ht="15.75" customHeight="1" x14ac:dyDescent="0.3">
      <c r="A556" s="85" t="s">
        <v>784</v>
      </c>
      <c r="B556" s="86">
        <v>46202</v>
      </c>
      <c r="C556" s="87" t="s">
        <v>349</v>
      </c>
      <c r="D556" s="88" t="s">
        <v>699</v>
      </c>
      <c r="E556" s="87" t="s">
        <v>428</v>
      </c>
      <c r="F556" s="88" t="s">
        <v>826</v>
      </c>
      <c r="G556" s="88" t="s">
        <v>827</v>
      </c>
      <c r="H556" s="87" t="s">
        <v>269</v>
      </c>
      <c r="I556" s="87" t="s">
        <v>431</v>
      </c>
      <c r="J556" s="88">
        <v>12</v>
      </c>
      <c r="K556" s="88">
        <v>12</v>
      </c>
      <c r="L556" s="88">
        <v>12</v>
      </c>
      <c r="M556" s="89">
        <v>46202</v>
      </c>
      <c r="N556" s="88">
        <v>1</v>
      </c>
      <c r="O556" s="90" t="s">
        <v>432</v>
      </c>
      <c r="Q556" s="91">
        <v>27</v>
      </c>
      <c r="R556" s="91" t="s">
        <v>786</v>
      </c>
      <c r="S556" s="92" t="s">
        <v>736</v>
      </c>
      <c r="T556" s="93" t="s">
        <v>237</v>
      </c>
      <c r="U556" s="94" t="s">
        <v>433</v>
      </c>
      <c r="V556" s="95" t="s">
        <v>821</v>
      </c>
      <c r="W556" s="95">
        <v>0.5</v>
      </c>
      <c r="X556" s="96"/>
      <c r="Y556" s="97">
        <f t="shared" si="579"/>
        <v>46202</v>
      </c>
      <c r="Z556" s="98" t="str">
        <f>SUBSTITUTE('Digitas UK Task 26'!$O556, "Complet", "Not Requir")</f>
        <v>Not Required</v>
      </c>
      <c r="AA556" s="98" t="str">
        <f t="shared" si="578"/>
        <v>CM360 Setup</v>
      </c>
      <c r="AB556" s="99"/>
      <c r="AF556" s="84" t="str">
        <f t="shared" si="577"/>
        <v/>
      </c>
      <c r="AH556" s="84" t="str">
        <f t="shared" si="575"/>
        <v>PL_12_CR_12_AD_12_Jira_0_</v>
      </c>
      <c r="AI556" s="84" t="str">
        <f t="shared" si="576"/>
        <v>PL_12_CR_12_AD_12_Jira_0_</v>
      </c>
      <c r="AJ556" s="84" t="str">
        <f>IF(Z556&lt;&gt;"Done","",(_xlfn.CONCAT("PL_",DigitasUKAdOp_26Team[[#This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57" spans="1:36" ht="15.75" customHeight="1" x14ac:dyDescent="0.3">
      <c r="A557" s="85" t="s">
        <v>784</v>
      </c>
      <c r="B557" s="86">
        <v>46202</v>
      </c>
      <c r="C557" s="87" t="s">
        <v>334</v>
      </c>
      <c r="D557" s="88" t="s">
        <v>465</v>
      </c>
      <c r="E557" s="87" t="s">
        <v>428</v>
      </c>
      <c r="F557" s="88" t="s">
        <v>828</v>
      </c>
      <c r="G557" s="88" t="s">
        <v>829</v>
      </c>
      <c r="H557" s="87" t="s">
        <v>269</v>
      </c>
      <c r="I557" s="87" t="s">
        <v>250</v>
      </c>
      <c r="J557" s="88">
        <v>105</v>
      </c>
      <c r="K557" s="88">
        <v>105</v>
      </c>
      <c r="L557" s="88">
        <v>105</v>
      </c>
      <c r="M557" s="89">
        <v>46202</v>
      </c>
      <c r="N557" s="88">
        <v>4</v>
      </c>
      <c r="O557" s="90" t="s">
        <v>432</v>
      </c>
      <c r="Q557" s="91">
        <v>27</v>
      </c>
      <c r="R557" s="91" t="s">
        <v>786</v>
      </c>
      <c r="S557" s="92" t="s">
        <v>736</v>
      </c>
      <c r="T557" s="93" t="s">
        <v>237</v>
      </c>
      <c r="U557" s="94" t="s">
        <v>433</v>
      </c>
      <c r="V557" s="95" t="s">
        <v>821</v>
      </c>
      <c r="W557" s="95">
        <v>3</v>
      </c>
      <c r="X557" s="96"/>
      <c r="Y557" s="97">
        <f t="shared" si="579"/>
        <v>46202</v>
      </c>
      <c r="Z557" s="98" t="str">
        <f>SUBSTITUTE('Digitas UK Task 26'!$O557, "Complet", "Not Requir")</f>
        <v>Not Required</v>
      </c>
      <c r="AA557" s="98" t="str">
        <f t="shared" si="578"/>
        <v>RE:  Klaviyo EMEA - Trafficking Request - Placement Name Change - UKI &amp; FR</v>
      </c>
      <c r="AB557" s="99"/>
      <c r="AF557" s="84" t="str">
        <f t="shared" si="577"/>
        <v/>
      </c>
      <c r="AH557" s="84" t="str">
        <f t="shared" si="575"/>
        <v>PL_105_CR_105_AD_105_Jira_0_</v>
      </c>
      <c r="AI557" s="84" t="str">
        <f t="shared" si="576"/>
        <v>PL_105_CR_105_AD_105_Jira_0_</v>
      </c>
      <c r="AJ557" s="84" t="str">
        <f>IF(Z557&lt;&gt;"Done","",(_xlfn.CONCAT("PL_",DigitasUKAdOp_26Team[[#This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58" spans="1:36" ht="15.75" customHeight="1" x14ac:dyDescent="0.3">
      <c r="A558" s="85" t="s">
        <v>784</v>
      </c>
      <c r="B558" s="86">
        <v>46202</v>
      </c>
      <c r="C558" s="87" t="s">
        <v>334</v>
      </c>
      <c r="D558" s="88" t="s">
        <v>496</v>
      </c>
      <c r="E558" s="87" t="s">
        <v>428</v>
      </c>
      <c r="F558" s="88" t="s">
        <v>472</v>
      </c>
      <c r="G558" s="88" t="s">
        <v>820</v>
      </c>
      <c r="H558" s="87" t="s">
        <v>443</v>
      </c>
      <c r="I558" s="87" t="s">
        <v>237</v>
      </c>
      <c r="J558" s="88">
        <v>0</v>
      </c>
      <c r="K558" s="88">
        <v>0</v>
      </c>
      <c r="L558" s="88">
        <v>0</v>
      </c>
      <c r="M558" s="89">
        <v>46202</v>
      </c>
      <c r="N558" s="88">
        <v>1.25</v>
      </c>
      <c r="O558" s="90" t="s">
        <v>432</v>
      </c>
      <c r="Q558" s="91">
        <v>27</v>
      </c>
      <c r="R558" s="91" t="s">
        <v>786</v>
      </c>
      <c r="S558" s="92" t="s">
        <v>736</v>
      </c>
      <c r="T558" s="93" t="s">
        <v>237</v>
      </c>
      <c r="U558" s="94" t="s">
        <v>444</v>
      </c>
      <c r="W558" s="95">
        <v>0</v>
      </c>
      <c r="X558" s="96"/>
      <c r="Y558" s="97">
        <f t="shared" si="579"/>
        <v>46202</v>
      </c>
      <c r="Z558" s="98" t="str">
        <f>SUBSTITUTE('Digitas UK Task 26'!$O558, "Complet", "Not Requir")</f>
        <v>Not Required</v>
      </c>
      <c r="AA558" s="98" t="str">
        <f t="shared" si="578"/>
        <v>Klaviyo EMEA - Trafficking Request - Placement Name Change - IT &amp; ES</v>
      </c>
      <c r="AB558" s="99"/>
      <c r="AF558" s="84" t="str">
        <f t="shared" si="577"/>
        <v/>
      </c>
      <c r="AH558" s="84" t="str">
        <f t="shared" si="575"/>
        <v>PL_0_CR_0_AD_0_Jira_0_</v>
      </c>
      <c r="AI558" s="84" t="str">
        <f t="shared" si="576"/>
        <v/>
      </c>
      <c r="AJ558" s="84" t="str">
        <f>IF(Z558&lt;&gt;"Done","",(_xlfn.CONCAT("PL_",DigitasUKAdOp_26Team[[#This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59" spans="1:36" ht="15.75" customHeight="1" x14ac:dyDescent="0.3">
      <c r="A559" s="85" t="s">
        <v>784</v>
      </c>
      <c r="B559" s="86">
        <v>46202</v>
      </c>
      <c r="C559" s="87" t="s">
        <v>334</v>
      </c>
      <c r="D559" s="88" t="s">
        <v>465</v>
      </c>
      <c r="E559" s="87" t="s">
        <v>428</v>
      </c>
      <c r="F559" s="88" t="s">
        <v>828</v>
      </c>
      <c r="G559" s="88" t="s">
        <v>829</v>
      </c>
      <c r="H559" s="87" t="s">
        <v>443</v>
      </c>
      <c r="I559" s="87" t="s">
        <v>237</v>
      </c>
      <c r="J559" s="88">
        <v>0</v>
      </c>
      <c r="K559" s="88">
        <v>0</v>
      </c>
      <c r="L559" s="88">
        <v>0</v>
      </c>
      <c r="M559" s="89">
        <v>46202</v>
      </c>
      <c r="N559" s="88">
        <v>1.5</v>
      </c>
      <c r="O559" s="90" t="s">
        <v>432</v>
      </c>
      <c r="Q559" s="91">
        <v>27</v>
      </c>
      <c r="R559" s="91" t="s">
        <v>786</v>
      </c>
      <c r="S559" s="92" t="s">
        <v>736</v>
      </c>
      <c r="T559" s="93" t="s">
        <v>237</v>
      </c>
      <c r="U559" s="94" t="s">
        <v>444</v>
      </c>
      <c r="W559" s="95">
        <v>0</v>
      </c>
      <c r="X559" s="96"/>
      <c r="Y559" s="97">
        <f t="shared" si="579"/>
        <v>46202</v>
      </c>
      <c r="Z559" s="98" t="str">
        <f>SUBSTITUTE('Digitas UK Task 26'!$O559, "Complet", "Not Requir")</f>
        <v>Not Required</v>
      </c>
      <c r="AA559" s="98" t="str">
        <f t="shared" si="578"/>
        <v>RE:  Klaviyo EMEA - Trafficking Request - Placement Name Change - UKI &amp; FR</v>
      </c>
      <c r="AB559" s="99"/>
      <c r="AF559" s="84" t="str">
        <f t="shared" si="577"/>
        <v/>
      </c>
      <c r="AH559" s="84" t="str">
        <f t="shared" si="575"/>
        <v>PL_0_CR_0_AD_0_Jira_0_</v>
      </c>
      <c r="AI559" s="84" t="str">
        <f t="shared" si="576"/>
        <v/>
      </c>
      <c r="AJ559" s="84" t="str">
        <f>IF(Z559&lt;&gt;"Done","",(_xlfn.CONCAT("PL_",DigitasUKAdOp_26Team[[#This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60" spans="1:36" ht="15.75" customHeight="1" x14ac:dyDescent="0.3">
      <c r="A560" s="85" t="s">
        <v>791</v>
      </c>
      <c r="B560" s="86">
        <v>46203</v>
      </c>
      <c r="C560" s="87" t="s">
        <v>334</v>
      </c>
      <c r="D560" s="88" t="s">
        <v>465</v>
      </c>
      <c r="E560" s="87" t="s">
        <v>428</v>
      </c>
      <c r="F560" s="88" t="s">
        <v>473</v>
      </c>
      <c r="G560" s="88" t="s">
        <v>829</v>
      </c>
      <c r="H560" s="87" t="s">
        <v>269</v>
      </c>
      <c r="I560" s="87" t="s">
        <v>250</v>
      </c>
      <c r="J560" s="88">
        <v>60</v>
      </c>
      <c r="K560" s="88">
        <v>60</v>
      </c>
      <c r="L560" s="88">
        <v>60</v>
      </c>
      <c r="M560" s="89">
        <v>46203</v>
      </c>
      <c r="N560" s="88">
        <v>2</v>
      </c>
      <c r="O560" s="90" t="s">
        <v>432</v>
      </c>
      <c r="Q560" s="91">
        <v>27</v>
      </c>
      <c r="R560" s="91" t="s">
        <v>786</v>
      </c>
      <c r="S560" s="92" t="s">
        <v>740</v>
      </c>
      <c r="T560" s="93" t="s">
        <v>237</v>
      </c>
      <c r="U560" s="94" t="s">
        <v>433</v>
      </c>
      <c r="W560" s="95">
        <v>1.5</v>
      </c>
      <c r="X560" s="96"/>
      <c r="Y560" s="97">
        <f t="shared" si="579"/>
        <v>46203</v>
      </c>
      <c r="Z560" s="98" t="str">
        <f>SUBSTITUTE('Digitas UK Task 26'!$O560, "Complet", "Not Requir")</f>
        <v>Not Required</v>
      </c>
      <c r="AA560" s="98" t="str">
        <f t="shared" si="578"/>
        <v>RE:  Klaviyo EMEA - Trafficking Request - Placement Name Change - UKI &amp; FR</v>
      </c>
      <c r="AB560" s="99"/>
      <c r="AF560" s="84" t="str">
        <f t="shared" si="577"/>
        <v/>
      </c>
      <c r="AH560" s="84" t="str">
        <f t="shared" si="575"/>
        <v>PL_60_CR_60_AD_60_Jira_0_</v>
      </c>
      <c r="AI560" s="84" t="str">
        <f t="shared" si="576"/>
        <v>PL_60_CR_60_AD_60_Jira_0_</v>
      </c>
      <c r="AJ560" s="84" t="str">
        <f>IF(Z560&lt;&gt;"Done","",(_xlfn.CONCAT("PL_",DigitasUKAdOp_26Team[[#This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61" spans="1:36" ht="15.75" customHeight="1" x14ac:dyDescent="0.3">
      <c r="A561" s="85" t="s">
        <v>791</v>
      </c>
      <c r="B561" s="86">
        <v>46203</v>
      </c>
      <c r="C561" s="87" t="s">
        <v>334</v>
      </c>
      <c r="D561" s="88" t="s">
        <v>598</v>
      </c>
      <c r="E561" s="87" t="s">
        <v>428</v>
      </c>
      <c r="F561" s="88" t="s">
        <v>830</v>
      </c>
      <c r="G561" s="88" t="s">
        <v>831</v>
      </c>
      <c r="H561" s="87" t="s">
        <v>269</v>
      </c>
      <c r="I561" s="87" t="s">
        <v>246</v>
      </c>
      <c r="J561" s="88">
        <v>10</v>
      </c>
      <c r="K561" s="88">
        <v>10</v>
      </c>
      <c r="L561" s="88">
        <v>10</v>
      </c>
      <c r="M561" s="89">
        <v>46203</v>
      </c>
      <c r="N561" s="88">
        <v>1</v>
      </c>
      <c r="O561" s="90" t="s">
        <v>432</v>
      </c>
      <c r="Q561" s="91">
        <v>27</v>
      </c>
      <c r="R561" s="91" t="s">
        <v>786</v>
      </c>
      <c r="S561" s="92" t="s">
        <v>740</v>
      </c>
      <c r="T561" s="93" t="s">
        <v>237</v>
      </c>
      <c r="U561" s="94" t="s">
        <v>433</v>
      </c>
      <c r="W561" s="95">
        <v>0.5</v>
      </c>
      <c r="X561" s="96"/>
      <c r="Y561" s="97">
        <f t="shared" si="579"/>
        <v>46203</v>
      </c>
      <c r="Z561" s="98" t="str">
        <f>SUBSTITUTE('Digitas UK Task 26'!$O561, "Complet", "Not Requir")</f>
        <v>Not Required</v>
      </c>
      <c r="AA561" s="98" t="str">
        <f t="shared" si="578"/>
        <v>Klaviyo EMEA - Trafficking Request - World Cup - Hammer &amp; Humantra - DE - Display - Q2 2026</v>
      </c>
      <c r="AB561" s="99"/>
      <c r="AF561" s="84" t="str">
        <f t="shared" si="577"/>
        <v/>
      </c>
      <c r="AH561" s="84" t="str">
        <f t="shared" ref="AH561:AH622" si="580">IF(B561="","",_xlfn.CONCAT("PL_",J561,"_CR_",K561,"_AD_",L561,"_Jira_",IF(AND(C561="P&amp;G",ISNUMBER(SEARCH("TAAGPNG-",G561))),MID(G561,SEARCH("TAAGPNG-",G561)+8,LEN(G561)-SEARCH("TAAGPNG-",G561)-7),"0"),"_"))</f>
        <v>PL_10_CR_10_AD_10_Jira_0_</v>
      </c>
      <c r="AI561" s="84" t="str">
        <f t="shared" si="576"/>
        <v>PL_10_CR_10_AD_10_Jira_0_</v>
      </c>
      <c r="AJ561" s="84" t="str">
        <f>IF(Z561&lt;&gt;"Done","",(_xlfn.CONCAT("PL_",DigitasUKAdOp_26Team[[#This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62" spans="1:36" ht="15.75" customHeight="1" x14ac:dyDescent="0.3">
      <c r="A562" s="85" t="s">
        <v>791</v>
      </c>
      <c r="B562" s="86">
        <v>46203</v>
      </c>
      <c r="C562" s="87" t="s">
        <v>349</v>
      </c>
      <c r="D562" s="88" t="s">
        <v>699</v>
      </c>
      <c r="E562" s="87" t="s">
        <v>428</v>
      </c>
      <c r="F562" s="88" t="s">
        <v>832</v>
      </c>
      <c r="G562" s="88" t="s">
        <v>833</v>
      </c>
      <c r="H562" s="87" t="s">
        <v>451</v>
      </c>
      <c r="I562" s="87" t="s">
        <v>250</v>
      </c>
      <c r="J562" s="88">
        <v>50</v>
      </c>
      <c r="K562" s="88">
        <v>50</v>
      </c>
      <c r="L562" s="88">
        <v>50</v>
      </c>
      <c r="M562" s="89">
        <v>46203</v>
      </c>
      <c r="N562" s="88">
        <v>1</v>
      </c>
      <c r="O562" s="90" t="s">
        <v>432</v>
      </c>
      <c r="Q562" s="91">
        <v>27</v>
      </c>
      <c r="R562" s="91" t="s">
        <v>786</v>
      </c>
      <c r="S562" s="92" t="s">
        <v>740</v>
      </c>
      <c r="T562" s="93" t="s">
        <v>250</v>
      </c>
      <c r="U562" s="94" t="s">
        <v>444</v>
      </c>
      <c r="W562" s="95">
        <v>0</v>
      </c>
      <c r="X562" s="96"/>
      <c r="Y562" s="97">
        <f t="shared" si="579"/>
        <v>46203</v>
      </c>
      <c r="Z562" s="98" t="str">
        <f>SUBSTITUTE('Digitas UK Task 26'!$O562, "Complet", "Not Requir")</f>
        <v>Not Required</v>
      </c>
      <c r="AA562" s="98" t="str">
        <f t="shared" si="578"/>
        <v>RE: CM360 Setup</v>
      </c>
      <c r="AB562" s="99"/>
      <c r="AF562" s="84" t="str">
        <f t="shared" si="577"/>
        <v/>
      </c>
      <c r="AH562" s="84" t="str">
        <f t="shared" si="580"/>
        <v>PL_50_CR_50_AD_50_Jira_0_</v>
      </c>
      <c r="AI562" s="84" t="str">
        <f t="shared" si="576"/>
        <v/>
      </c>
      <c r="AJ562" s="84" t="str">
        <f>IF(Z562&lt;&gt;"Done","",(_xlfn.CONCAT("PL_",DigitasUKAdOp_26Team[[#This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63" spans="1:36" ht="15.75" customHeight="1" x14ac:dyDescent="0.3">
      <c r="A563" s="85" t="s">
        <v>791</v>
      </c>
      <c r="B563" s="86">
        <v>46203</v>
      </c>
      <c r="C563" s="87" t="s">
        <v>349</v>
      </c>
      <c r="D563" s="88" t="s">
        <v>699</v>
      </c>
      <c r="E563" s="87" t="s">
        <v>428</v>
      </c>
      <c r="F563" s="88" t="s">
        <v>826</v>
      </c>
      <c r="G563" s="88" t="s">
        <v>827</v>
      </c>
      <c r="H563" s="87" t="s">
        <v>269</v>
      </c>
      <c r="I563" s="87" t="s">
        <v>431</v>
      </c>
      <c r="J563" s="88">
        <v>12</v>
      </c>
      <c r="K563" s="88">
        <v>12</v>
      </c>
      <c r="L563" s="88">
        <v>12</v>
      </c>
      <c r="M563" s="89">
        <v>46203</v>
      </c>
      <c r="N563" s="88">
        <v>0.5</v>
      </c>
      <c r="O563" s="90" t="s">
        <v>432</v>
      </c>
      <c r="Q563" s="91">
        <v>27</v>
      </c>
      <c r="R563" s="91" t="s">
        <v>786</v>
      </c>
      <c r="S563" s="92" t="s">
        <v>740</v>
      </c>
      <c r="T563" s="93" t="s">
        <v>237</v>
      </c>
      <c r="U563" s="94" t="s">
        <v>433</v>
      </c>
      <c r="V563" s="95" t="s">
        <v>834</v>
      </c>
      <c r="W563" s="95">
        <v>0.5</v>
      </c>
      <c r="X563" s="96"/>
      <c r="Y563" s="97">
        <f t="shared" si="579"/>
        <v>46203</v>
      </c>
      <c r="Z563" s="98" t="str">
        <f>SUBSTITUTE('Digitas UK Task 26'!$O563, "Complet", "Not Requir")</f>
        <v>Not Required</v>
      </c>
      <c r="AA563" s="98" t="str">
        <f t="shared" si="578"/>
        <v>CM360 Setup</v>
      </c>
      <c r="AB563" s="99"/>
      <c r="AF563" s="84" t="str">
        <f t="shared" si="577"/>
        <v/>
      </c>
      <c r="AH563" s="84" t="str">
        <f t="shared" si="580"/>
        <v>PL_12_CR_12_AD_12_Jira_0_</v>
      </c>
      <c r="AI563" s="84" t="str">
        <f t="shared" si="576"/>
        <v>PL_12_CR_12_AD_12_Jira_0_</v>
      </c>
      <c r="AJ563" s="84" t="str">
        <f>IF(Z563&lt;&gt;"Done","",(_xlfn.CONCAT("PL_",DigitasUKAdOp_26Team[[#This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64" spans="1:36" ht="15.75" customHeight="1" x14ac:dyDescent="0.3">
      <c r="A564" s="85" t="s">
        <v>791</v>
      </c>
      <c r="B564" s="86">
        <v>46203</v>
      </c>
      <c r="C564" s="87" t="s">
        <v>349</v>
      </c>
      <c r="D564" s="88" t="s">
        <v>699</v>
      </c>
      <c r="E564" s="87" t="s">
        <v>428</v>
      </c>
      <c r="F564" s="88" t="s">
        <v>835</v>
      </c>
      <c r="G564" s="88" t="s">
        <v>833</v>
      </c>
      <c r="H564" s="87" t="s">
        <v>521</v>
      </c>
      <c r="I564" s="87" t="s">
        <v>431</v>
      </c>
      <c r="J564" s="88">
        <v>3</v>
      </c>
      <c r="K564" s="88">
        <v>3</v>
      </c>
      <c r="L564" s="88">
        <v>3</v>
      </c>
      <c r="M564" s="89">
        <v>46203</v>
      </c>
      <c r="N564" s="88">
        <v>0.5</v>
      </c>
      <c r="O564" s="90" t="s">
        <v>432</v>
      </c>
      <c r="Q564" s="91">
        <v>27</v>
      </c>
      <c r="R564" s="91" t="s">
        <v>786</v>
      </c>
      <c r="S564" s="92" t="s">
        <v>740</v>
      </c>
      <c r="T564" s="93" t="s">
        <v>431</v>
      </c>
      <c r="U564" s="94" t="s">
        <v>444</v>
      </c>
      <c r="W564" s="95">
        <v>0</v>
      </c>
      <c r="X564" s="96"/>
      <c r="Y564" s="97">
        <f t="shared" si="579"/>
        <v>46203</v>
      </c>
      <c r="Z564" s="98" t="str">
        <f>SUBSTITUTE('Digitas UK Task 26'!$O564, "Complet", "Not Requir")</f>
        <v>Not Required</v>
      </c>
      <c r="AA564" s="98" t="str">
        <f t="shared" si="578"/>
        <v>RE: CM360 Setup</v>
      </c>
      <c r="AB564" s="99"/>
      <c r="AF564" s="84" t="str">
        <f t="shared" si="577"/>
        <v/>
      </c>
      <c r="AH564" s="84" t="str">
        <f t="shared" si="580"/>
        <v>PL_3_CR_3_AD_3_Jira_0_</v>
      </c>
      <c r="AI564" s="84" t="str">
        <f t="shared" si="576"/>
        <v/>
      </c>
      <c r="AJ564" s="84" t="str">
        <f>IF(Z564&lt;&gt;"Done","",(_xlfn.CONCAT("PL_",DigitasUKAdOp_26Team[[#This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65" spans="1:36" ht="15.75" customHeight="1" x14ac:dyDescent="0.3">
      <c r="A565" s="85" t="s">
        <v>791</v>
      </c>
      <c r="B565" s="86">
        <v>46203</v>
      </c>
      <c r="C565" s="87" t="s">
        <v>349</v>
      </c>
      <c r="D565" s="88" t="s">
        <v>699</v>
      </c>
      <c r="E565" s="87" t="s">
        <v>428</v>
      </c>
      <c r="F565" s="88" t="s">
        <v>835</v>
      </c>
      <c r="G565" s="88" t="s">
        <v>833</v>
      </c>
      <c r="H565" s="87" t="s">
        <v>443</v>
      </c>
      <c r="I565" s="87" t="s">
        <v>431</v>
      </c>
      <c r="J565" s="88">
        <v>0</v>
      </c>
      <c r="K565" s="88">
        <v>0</v>
      </c>
      <c r="L565" s="88">
        <v>0</v>
      </c>
      <c r="M565" s="89">
        <v>46203</v>
      </c>
      <c r="N565" s="88">
        <v>1.5</v>
      </c>
      <c r="O565" s="90" t="s">
        <v>432</v>
      </c>
      <c r="Q565" s="91">
        <v>27</v>
      </c>
      <c r="R565" s="91" t="s">
        <v>786</v>
      </c>
      <c r="S565" s="92" t="s">
        <v>740</v>
      </c>
      <c r="T565" s="93" t="s">
        <v>431</v>
      </c>
      <c r="U565" s="94" t="s">
        <v>444</v>
      </c>
      <c r="W565" s="95">
        <v>0</v>
      </c>
      <c r="X565" s="96"/>
      <c r="Y565" s="97">
        <f t="shared" si="579"/>
        <v>46203</v>
      </c>
      <c r="Z565" s="98" t="str">
        <f>SUBSTITUTE('Digitas UK Task 26'!$O565, "Complet", "Not Requir")</f>
        <v>Not Required</v>
      </c>
      <c r="AA565" s="98" t="str">
        <f t="shared" si="578"/>
        <v>RE: CM360 Setup</v>
      </c>
      <c r="AB565" s="99"/>
      <c r="AF565" s="84" t="str">
        <f t="shared" si="577"/>
        <v/>
      </c>
      <c r="AH565" s="84" t="str">
        <f t="shared" si="580"/>
        <v>PL_0_CR_0_AD_0_Jira_0_</v>
      </c>
      <c r="AI565" s="84" t="str">
        <f t="shared" si="576"/>
        <v/>
      </c>
      <c r="AJ565" s="84" t="str">
        <f>IF(Z565&lt;&gt;"Done","",(_xlfn.CONCAT("PL_",DigitasUKAdOp_26Team[[#This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66" spans="1:36" ht="15.75" customHeight="1" x14ac:dyDescent="0.3">
      <c r="A566" s="85" t="s">
        <v>791</v>
      </c>
      <c r="B566" s="86">
        <v>46203</v>
      </c>
      <c r="C566" s="87" t="s">
        <v>338</v>
      </c>
      <c r="D566" s="88" t="s">
        <v>440</v>
      </c>
      <c r="E566" s="87" t="s">
        <v>428</v>
      </c>
      <c r="F566" s="88" t="s">
        <v>450</v>
      </c>
      <c r="G566" s="88" t="s">
        <v>450</v>
      </c>
      <c r="H566" s="87" t="s">
        <v>443</v>
      </c>
      <c r="I566" s="87" t="s">
        <v>237</v>
      </c>
      <c r="J566" s="88">
        <v>0</v>
      </c>
      <c r="K566" s="88">
        <v>0</v>
      </c>
      <c r="L566" s="88">
        <v>0</v>
      </c>
      <c r="M566" s="89">
        <v>46203</v>
      </c>
      <c r="N566" s="88">
        <v>1</v>
      </c>
      <c r="O566" s="90" t="s">
        <v>432</v>
      </c>
      <c r="Q566" s="91">
        <v>27</v>
      </c>
      <c r="R566" s="91" t="s">
        <v>786</v>
      </c>
      <c r="S566" s="92" t="s">
        <v>740</v>
      </c>
      <c r="T566" s="93" t="s">
        <v>237</v>
      </c>
      <c r="U566" s="94" t="s">
        <v>444</v>
      </c>
      <c r="W566" s="95">
        <v>0</v>
      </c>
      <c r="X566" s="96"/>
      <c r="Y566" s="97">
        <f t="shared" si="579"/>
        <v>46203</v>
      </c>
      <c r="Z566" s="98" t="str">
        <f>SUBSTITUTE('Digitas UK Task 26'!$O566, "Complet", "Not Requir")</f>
        <v>Not Required</v>
      </c>
      <c r="AA566" s="98" t="str">
        <f t="shared" si="578"/>
        <v>NA</v>
      </c>
      <c r="AB566" s="99"/>
      <c r="AF566" s="84" t="str">
        <f t="shared" si="577"/>
        <v/>
      </c>
      <c r="AH566" s="84" t="str">
        <f t="shared" si="580"/>
        <v>PL_0_CR_0_AD_0_Jira_0_</v>
      </c>
      <c r="AI566" s="84" t="str">
        <f t="shared" si="576"/>
        <v/>
      </c>
      <c r="AJ566" s="84" t="str">
        <f>IF(Z566&lt;&gt;"Done","",(_xlfn.CONCAT("PL_",DigitasUKAdOp_26Team[[#This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67" spans="1:36" ht="15.75" customHeight="1" x14ac:dyDescent="0.3">
      <c r="A567" s="85" t="s">
        <v>836</v>
      </c>
      <c r="B567" s="86">
        <v>46204</v>
      </c>
      <c r="C567" s="87" t="s">
        <v>349</v>
      </c>
      <c r="D567" s="88" t="s">
        <v>699</v>
      </c>
      <c r="E567" s="87" t="s">
        <v>428</v>
      </c>
      <c r="F567" s="88" t="s">
        <v>450</v>
      </c>
      <c r="G567" s="88" t="s">
        <v>450</v>
      </c>
      <c r="H567" s="87" t="s">
        <v>443</v>
      </c>
      <c r="I567" s="87" t="s">
        <v>250</v>
      </c>
      <c r="J567" s="88">
        <v>0</v>
      </c>
      <c r="K567" s="88">
        <v>0</v>
      </c>
      <c r="L567" s="88">
        <v>0</v>
      </c>
      <c r="M567" s="89">
        <v>46204</v>
      </c>
      <c r="N567" s="88">
        <v>0.5</v>
      </c>
      <c r="O567" s="90" t="s">
        <v>432</v>
      </c>
      <c r="Q567" s="91">
        <v>27</v>
      </c>
      <c r="R567" s="91" t="s">
        <v>837</v>
      </c>
      <c r="S567" s="92" t="s">
        <v>748</v>
      </c>
      <c r="T567" s="93" t="s">
        <v>250</v>
      </c>
      <c r="U567" s="94" t="s">
        <v>444</v>
      </c>
      <c r="W567" s="95">
        <v>0</v>
      </c>
      <c r="X567" s="96"/>
      <c r="Y567" s="97">
        <f t="shared" si="579"/>
        <v>46204</v>
      </c>
      <c r="Z567" s="98" t="str">
        <f>SUBSTITUTE('Digitas UK Task 26'!$O567, "Complet", "Not Requir")</f>
        <v>Not Required</v>
      </c>
      <c r="AA567" s="98" t="str">
        <f t="shared" si="578"/>
        <v>NA</v>
      </c>
      <c r="AB567" s="99"/>
      <c r="AF567" s="84" t="str">
        <f t="shared" si="577"/>
        <v/>
      </c>
      <c r="AH567" s="84" t="str">
        <f t="shared" si="580"/>
        <v>PL_0_CR_0_AD_0_Jira_0_</v>
      </c>
      <c r="AI567" s="84" t="str">
        <f t="shared" ref="AI567:AI628" si="581">IF(U567&lt;&gt;"Done","",_xlfn.CONCAT("PL_",J567,"_CR_",K567,"_AD_",L567,"_Jira_",IF(AND(C567="P&amp;G",ISNUMBER(SEARCH("TAAGPNG-",G567))),MID(G567,SEARCH("TAAGPNG-",G567)+8,LEN(G567)-SEARCH("TAAGPNG-",G567)-7),"0"),"_"))</f>
        <v/>
      </c>
      <c r="AJ567" s="84" t="str">
        <f>IF(Z567&lt;&gt;"Done","",(_xlfn.CONCAT("PL_",DigitasUKAdOp_26Team[[#This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68" spans="1:36" ht="15.75" customHeight="1" x14ac:dyDescent="0.3">
      <c r="A568" s="85" t="s">
        <v>836</v>
      </c>
      <c r="B568" s="86">
        <v>46204</v>
      </c>
      <c r="C568" s="87" t="s">
        <v>349</v>
      </c>
      <c r="D568" s="88" t="s">
        <v>699</v>
      </c>
      <c r="E568" s="87" t="s">
        <v>428</v>
      </c>
      <c r="F568" s="88" t="s">
        <v>450</v>
      </c>
      <c r="G568" s="88" t="s">
        <v>450</v>
      </c>
      <c r="H568" s="87" t="s">
        <v>443</v>
      </c>
      <c r="I568" s="87" t="s">
        <v>237</v>
      </c>
      <c r="J568" s="88">
        <v>0</v>
      </c>
      <c r="K568" s="88">
        <v>0</v>
      </c>
      <c r="L568" s="88">
        <v>0</v>
      </c>
      <c r="M568" s="89">
        <v>46204</v>
      </c>
      <c r="N568" s="88">
        <v>0.5</v>
      </c>
      <c r="O568" s="90" t="s">
        <v>432</v>
      </c>
      <c r="Q568" s="91">
        <v>27</v>
      </c>
      <c r="R568" s="91" t="s">
        <v>837</v>
      </c>
      <c r="S568" s="92" t="s">
        <v>748</v>
      </c>
      <c r="T568" s="93" t="s">
        <v>237</v>
      </c>
      <c r="U568" s="94" t="s">
        <v>444</v>
      </c>
      <c r="W568" s="95">
        <v>0</v>
      </c>
      <c r="X568" s="96"/>
      <c r="Y568" s="97">
        <f t="shared" si="579"/>
        <v>46204</v>
      </c>
      <c r="Z568" s="98" t="str">
        <f>SUBSTITUTE('Digitas UK Task 26'!$O568, "Complet", "Not Requir")</f>
        <v>Not Required</v>
      </c>
      <c r="AA568" s="98" t="str">
        <f t="shared" si="578"/>
        <v>NA</v>
      </c>
      <c r="AB568" s="99"/>
      <c r="AF568" s="84" t="str">
        <f t="shared" si="577"/>
        <v/>
      </c>
      <c r="AH568" s="84" t="str">
        <f t="shared" si="580"/>
        <v>PL_0_CR_0_AD_0_Jira_0_</v>
      </c>
      <c r="AI568" s="84" t="str">
        <f t="shared" si="581"/>
        <v/>
      </c>
      <c r="AJ568" s="84" t="str">
        <f>IF(Z568&lt;&gt;"Done","",(_xlfn.CONCAT("PL_",DigitasUKAdOp_26Team[[#This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69" spans="1:36" ht="15.75" customHeight="1" x14ac:dyDescent="0.3">
      <c r="A569" s="85" t="s">
        <v>836</v>
      </c>
      <c r="B569" s="86">
        <v>46204</v>
      </c>
      <c r="C569" s="87" t="s">
        <v>349</v>
      </c>
      <c r="D569" s="88" t="s">
        <v>699</v>
      </c>
      <c r="E569" s="87" t="s">
        <v>428</v>
      </c>
      <c r="F569" s="88" t="s">
        <v>450</v>
      </c>
      <c r="G569" s="88" t="s">
        <v>450</v>
      </c>
      <c r="H569" s="87" t="s">
        <v>443</v>
      </c>
      <c r="I569" s="87" t="s">
        <v>431</v>
      </c>
      <c r="J569" s="88">
        <v>0</v>
      </c>
      <c r="K569" s="88">
        <v>0</v>
      </c>
      <c r="L569" s="88">
        <v>0</v>
      </c>
      <c r="M569" s="89">
        <v>46204</v>
      </c>
      <c r="N569" s="88">
        <v>0.5</v>
      </c>
      <c r="O569" s="90" t="s">
        <v>432</v>
      </c>
      <c r="Q569" s="91">
        <v>27</v>
      </c>
      <c r="R569" s="91" t="s">
        <v>837</v>
      </c>
      <c r="S569" s="92" t="s">
        <v>748</v>
      </c>
      <c r="T569" s="93" t="s">
        <v>431</v>
      </c>
      <c r="U569" s="94" t="s">
        <v>444</v>
      </c>
      <c r="W569" s="95">
        <v>0</v>
      </c>
      <c r="X569" s="96"/>
      <c r="Y569" s="97">
        <f t="shared" si="579"/>
        <v>46204</v>
      </c>
      <c r="Z569" s="98" t="str">
        <f>SUBSTITUTE('Digitas UK Task 26'!$O569, "Complet", "Not Requir")</f>
        <v>Not Required</v>
      </c>
      <c r="AA569" s="98" t="str">
        <f t="shared" si="578"/>
        <v>NA</v>
      </c>
      <c r="AB569" s="99"/>
      <c r="AF569" s="84" t="str">
        <f t="shared" si="577"/>
        <v/>
      </c>
      <c r="AH569" s="84" t="str">
        <f t="shared" si="580"/>
        <v>PL_0_CR_0_AD_0_Jira_0_</v>
      </c>
      <c r="AI569" s="84" t="str">
        <f t="shared" si="581"/>
        <v/>
      </c>
      <c r="AJ569" s="84" t="str">
        <f>IF(Z569&lt;&gt;"Done","",(_xlfn.CONCAT("PL_",DigitasUKAdOp_26Team[[#This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70" spans="1:36" ht="15.75" customHeight="1" x14ac:dyDescent="0.3">
      <c r="A570" s="85" t="s">
        <v>838</v>
      </c>
      <c r="B570" s="86">
        <v>46206</v>
      </c>
      <c r="C570" s="87" t="s">
        <v>334</v>
      </c>
      <c r="D570" s="88" t="s">
        <v>465</v>
      </c>
      <c r="E570" s="87" t="s">
        <v>428</v>
      </c>
      <c r="F570" s="88" t="s">
        <v>805</v>
      </c>
      <c r="G570" s="88" t="s">
        <v>839</v>
      </c>
      <c r="H570" s="87" t="s">
        <v>269</v>
      </c>
      <c r="I570" s="87" t="s">
        <v>250</v>
      </c>
      <c r="J570" s="88">
        <v>30</v>
      </c>
      <c r="K570" s="88">
        <v>30</v>
      </c>
      <c r="L570" s="88">
        <v>30</v>
      </c>
      <c r="M570" s="89">
        <v>46206</v>
      </c>
      <c r="N570" s="88">
        <v>2</v>
      </c>
      <c r="O570" s="90" t="s">
        <v>432</v>
      </c>
      <c r="P570" s="88" t="s">
        <v>840</v>
      </c>
      <c r="Q570" s="91">
        <v>27</v>
      </c>
      <c r="R570" s="91" t="s">
        <v>837</v>
      </c>
      <c r="S570" s="92" t="s">
        <v>760</v>
      </c>
      <c r="T570" s="93" t="s">
        <v>237</v>
      </c>
      <c r="U570" s="94" t="s">
        <v>433</v>
      </c>
      <c r="W570" s="95">
        <v>0.75</v>
      </c>
      <c r="X570" s="96"/>
      <c r="Y570" s="97">
        <f t="shared" si="579"/>
        <v>46206</v>
      </c>
      <c r="Z570" s="98" t="str">
        <f>SUBSTITUTE('Digitas UK Task 26'!$O570, "Complet", "Not Requir")</f>
        <v>Not Required</v>
      </c>
      <c r="AA570" s="98" t="str">
        <f t="shared" si="578"/>
        <v>Klaviyo EMEA - Trafficking Request - Prospecting - Omnichannel Whatsapp Refreshed - Q2 2026</v>
      </c>
      <c r="AB570" s="99"/>
      <c r="AF570" s="84" t="str">
        <f t="shared" si="577"/>
        <v/>
      </c>
      <c r="AH570" s="84" t="str">
        <f t="shared" si="580"/>
        <v>PL_30_CR_30_AD_30_Jira_0_</v>
      </c>
      <c r="AI570" s="84" t="str">
        <f t="shared" si="581"/>
        <v>PL_30_CR_30_AD_30_Jira_0_</v>
      </c>
      <c r="AJ570" s="84" t="str">
        <f>IF(Z570&lt;&gt;"Done","",(_xlfn.CONCAT("PL_",DigitasUKAdOp_26Team[[#This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71" spans="1:36" ht="15.75" customHeight="1" x14ac:dyDescent="0.3">
      <c r="A571" s="85" t="s">
        <v>838</v>
      </c>
      <c r="B571" s="86">
        <v>46206</v>
      </c>
      <c r="C571" s="87" t="s">
        <v>334</v>
      </c>
      <c r="D571" s="88" t="s">
        <v>465</v>
      </c>
      <c r="E571" s="87" t="s">
        <v>428</v>
      </c>
      <c r="F571" s="88" t="s">
        <v>473</v>
      </c>
      <c r="G571" s="88" t="s">
        <v>839</v>
      </c>
      <c r="H571" s="87" t="s">
        <v>269</v>
      </c>
      <c r="I571" s="87" t="s">
        <v>246</v>
      </c>
      <c r="J571" s="88">
        <v>30</v>
      </c>
      <c r="K571" s="88">
        <v>30</v>
      </c>
      <c r="L571" s="88">
        <v>30</v>
      </c>
      <c r="M571" s="89">
        <v>46206</v>
      </c>
      <c r="N571" s="88">
        <v>2</v>
      </c>
      <c r="O571" s="90" t="s">
        <v>432</v>
      </c>
      <c r="Q571" s="91">
        <v>27</v>
      </c>
      <c r="R571" s="91" t="s">
        <v>837</v>
      </c>
      <c r="S571" s="92" t="s">
        <v>760</v>
      </c>
      <c r="T571" s="93" t="s">
        <v>250</v>
      </c>
      <c r="U571" s="94" t="s">
        <v>433</v>
      </c>
      <c r="V571" s="95" t="s">
        <v>841</v>
      </c>
      <c r="W571" s="95">
        <v>1</v>
      </c>
      <c r="X571" s="96"/>
      <c r="Y571" s="97">
        <f t="shared" si="579"/>
        <v>46206</v>
      </c>
      <c r="Z571" s="98" t="str">
        <f>SUBSTITUTE('Digitas UK Task 26'!$O571, "Complet", "Not Requir")</f>
        <v>Not Required</v>
      </c>
      <c r="AA571" s="98" t="str">
        <f t="shared" si="578"/>
        <v>Klaviyo EMEA - Trafficking Request - Prospecting - Omnichannel Whatsapp Refreshed - Q2 2026</v>
      </c>
      <c r="AB571" s="99"/>
      <c r="AF571" s="84" t="str">
        <f t="shared" si="577"/>
        <v/>
      </c>
      <c r="AH571" s="84" t="str">
        <f t="shared" si="580"/>
        <v>PL_30_CR_30_AD_30_Jira_0_</v>
      </c>
      <c r="AI571" s="84" t="str">
        <f t="shared" si="581"/>
        <v>PL_30_CR_30_AD_30_Jira_0_</v>
      </c>
      <c r="AJ571" s="84" t="str">
        <f>IF(Z571&lt;&gt;"Done","",(_xlfn.CONCAT("PL_",DigitasUKAdOp_26Team[[#This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72" spans="1:36" ht="15.75" customHeight="1" x14ac:dyDescent="0.3">
      <c r="A572" s="85" t="s">
        <v>838</v>
      </c>
      <c r="B572" s="86">
        <v>46206</v>
      </c>
      <c r="C572" s="87" t="s">
        <v>334</v>
      </c>
      <c r="D572" s="88" t="s">
        <v>465</v>
      </c>
      <c r="E572" s="87" t="s">
        <v>428</v>
      </c>
      <c r="F572" s="88" t="s">
        <v>472</v>
      </c>
      <c r="G572" s="88" t="s">
        <v>839</v>
      </c>
      <c r="H572" s="87" t="s">
        <v>269</v>
      </c>
      <c r="I572" s="87" t="s">
        <v>237</v>
      </c>
      <c r="J572" s="88">
        <v>30</v>
      </c>
      <c r="K572" s="88">
        <v>30</v>
      </c>
      <c r="L572" s="88">
        <v>30</v>
      </c>
      <c r="M572" s="89">
        <v>46206</v>
      </c>
      <c r="N572" s="88">
        <v>1</v>
      </c>
      <c r="O572" s="90" t="s">
        <v>432</v>
      </c>
      <c r="Q572" s="91">
        <v>27</v>
      </c>
      <c r="R572" s="91" t="s">
        <v>837</v>
      </c>
      <c r="S572" s="92" t="s">
        <v>760</v>
      </c>
      <c r="T572" s="93" t="s">
        <v>250</v>
      </c>
      <c r="U572" s="94" t="s">
        <v>433</v>
      </c>
      <c r="W572" s="95">
        <v>0.5</v>
      </c>
      <c r="X572" s="96"/>
      <c r="Y572" s="97">
        <f t="shared" si="579"/>
        <v>46206</v>
      </c>
      <c r="Z572" s="98" t="str">
        <f>SUBSTITUTE('Digitas UK Task 26'!$O572, "Complet", "Not Requir")</f>
        <v>Not Required</v>
      </c>
      <c r="AA572" s="98" t="str">
        <f t="shared" si="578"/>
        <v>Klaviyo EMEA - Trafficking Request - Prospecting - Omnichannel Whatsapp Refreshed - Q2 2026</v>
      </c>
      <c r="AB572" s="99"/>
      <c r="AF572" s="84" t="str">
        <f t="shared" si="577"/>
        <v/>
      </c>
      <c r="AH572" s="84" t="str">
        <f t="shared" si="580"/>
        <v>PL_30_CR_30_AD_30_Jira_0_</v>
      </c>
      <c r="AI572" s="84" t="str">
        <f t="shared" si="581"/>
        <v>PL_30_CR_30_AD_30_Jira_0_</v>
      </c>
      <c r="AJ572" s="84" t="str">
        <f>IF(Z572&lt;&gt;"Done","",(_xlfn.CONCAT("PL_",DigitasUKAdOp_26Team[[#This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73" spans="1:36" ht="15.75" customHeight="1" x14ac:dyDescent="0.3">
      <c r="A573" s="85" t="s">
        <v>838</v>
      </c>
      <c r="B573" s="86">
        <v>46206</v>
      </c>
      <c r="C573" s="87" t="s">
        <v>334</v>
      </c>
      <c r="D573" s="88" t="s">
        <v>465</v>
      </c>
      <c r="E573" s="87" t="s">
        <v>428</v>
      </c>
      <c r="F573" s="88" t="s">
        <v>466</v>
      </c>
      <c r="G573" s="88" t="s">
        <v>839</v>
      </c>
      <c r="H573" s="87" t="s">
        <v>443</v>
      </c>
      <c r="I573" s="87" t="s">
        <v>431</v>
      </c>
      <c r="J573" s="88">
        <v>0</v>
      </c>
      <c r="K573" s="88">
        <v>0</v>
      </c>
      <c r="L573" s="88">
        <v>0</v>
      </c>
      <c r="M573" s="89">
        <v>46206</v>
      </c>
      <c r="N573" s="88">
        <v>0.5</v>
      </c>
      <c r="O573" s="90" t="s">
        <v>432</v>
      </c>
      <c r="Q573" s="91">
        <v>27</v>
      </c>
      <c r="R573" s="91" t="s">
        <v>837</v>
      </c>
      <c r="S573" s="92" t="s">
        <v>760</v>
      </c>
      <c r="T573" s="93" t="s">
        <v>431</v>
      </c>
      <c r="U573" s="94" t="s">
        <v>444</v>
      </c>
      <c r="W573" s="95">
        <v>0</v>
      </c>
      <c r="X573" s="96"/>
      <c r="Y573" s="97">
        <f t="shared" si="579"/>
        <v>46206</v>
      </c>
      <c r="Z573" s="98" t="str">
        <f>SUBSTITUTE('Digitas UK Task 26'!$O573, "Complet", "Not Requir")</f>
        <v>Not Required</v>
      </c>
      <c r="AA573" s="98" t="str">
        <f t="shared" si="578"/>
        <v>Klaviyo EMEA - Trafficking Request - Prospecting - Omnichannel Whatsapp Refreshed - Q2 2026</v>
      </c>
      <c r="AB573" s="99"/>
      <c r="AF573" s="84" t="str">
        <f t="shared" si="577"/>
        <v/>
      </c>
      <c r="AH573" s="84" t="str">
        <f t="shared" si="580"/>
        <v>PL_0_CR_0_AD_0_Jira_0_</v>
      </c>
      <c r="AI573" s="84" t="str">
        <f t="shared" si="581"/>
        <v/>
      </c>
      <c r="AJ573" s="84" t="str">
        <f>IF(Z573&lt;&gt;"Done","",(_xlfn.CONCAT("PL_",DigitasUKAdOp_26Team[[#This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74" spans="1:36" ht="15.75" customHeight="1" x14ac:dyDescent="0.3">
      <c r="A574" s="85" t="s">
        <v>838</v>
      </c>
      <c r="B574" s="86">
        <v>46206</v>
      </c>
      <c r="C574" s="87" t="s">
        <v>334</v>
      </c>
      <c r="D574" s="88" t="s">
        <v>465</v>
      </c>
      <c r="E574" s="87" t="s">
        <v>428</v>
      </c>
      <c r="F574" s="88" t="s">
        <v>466</v>
      </c>
      <c r="G574" s="88" t="s">
        <v>839</v>
      </c>
      <c r="H574" s="87" t="s">
        <v>269</v>
      </c>
      <c r="I574" s="87" t="s">
        <v>431</v>
      </c>
      <c r="J574" s="88">
        <v>9</v>
      </c>
      <c r="K574" s="88">
        <v>9</v>
      </c>
      <c r="L574" s="88">
        <v>9</v>
      </c>
      <c r="M574" s="89">
        <v>46206</v>
      </c>
      <c r="N574" s="88">
        <v>0.75</v>
      </c>
      <c r="O574" s="90" t="s">
        <v>432</v>
      </c>
      <c r="Q574" s="91">
        <v>27</v>
      </c>
      <c r="R574" s="91" t="s">
        <v>837</v>
      </c>
      <c r="S574" s="92" t="s">
        <v>760</v>
      </c>
      <c r="T574" s="93" t="s">
        <v>237</v>
      </c>
      <c r="U574" s="94" t="s">
        <v>433</v>
      </c>
      <c r="W574" s="95">
        <v>0.25</v>
      </c>
      <c r="X574" s="96"/>
      <c r="Y574" s="97">
        <f t="shared" si="579"/>
        <v>46206</v>
      </c>
      <c r="Z574" s="98" t="str">
        <f>SUBSTITUTE('Digitas UK Task 26'!$O574, "Complet", "Not Requir")</f>
        <v>Not Required</v>
      </c>
      <c r="AA574" s="98" t="str">
        <f t="shared" si="578"/>
        <v>Klaviyo EMEA - Trafficking Request - Prospecting - Omnichannel Whatsapp Refreshed - Q2 2026</v>
      </c>
      <c r="AB574" s="99"/>
      <c r="AF574" s="84" t="str">
        <f t="shared" si="577"/>
        <v/>
      </c>
      <c r="AH574" s="84" t="str">
        <f t="shared" si="580"/>
        <v>PL_9_CR_9_AD_9_Jira_0_</v>
      </c>
      <c r="AI574" s="84" t="str">
        <f t="shared" si="581"/>
        <v>PL_9_CR_9_AD_9_Jira_0_</v>
      </c>
      <c r="AJ574" s="84" t="str">
        <f>IF(Z574&lt;&gt;"Done","",(_xlfn.CONCAT("PL_",DigitasUKAdOp_26Team[[#This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75" spans="1:36" ht="15.75" customHeight="1" x14ac:dyDescent="0.3">
      <c r="A575" s="85" t="s">
        <v>838</v>
      </c>
      <c r="B575" s="86">
        <v>46206</v>
      </c>
      <c r="C575" s="87" t="s">
        <v>334</v>
      </c>
      <c r="D575" s="88" t="s">
        <v>465</v>
      </c>
      <c r="E575" s="87" t="s">
        <v>428</v>
      </c>
      <c r="F575" s="88" t="s">
        <v>498</v>
      </c>
      <c r="G575" s="88" t="s">
        <v>839</v>
      </c>
      <c r="H575" s="87" t="s">
        <v>269</v>
      </c>
      <c r="I575" s="87" t="s">
        <v>246</v>
      </c>
      <c r="J575" s="88">
        <v>30</v>
      </c>
      <c r="K575" s="88">
        <v>30</v>
      </c>
      <c r="L575" s="88">
        <v>30</v>
      </c>
      <c r="M575" s="89">
        <v>46206</v>
      </c>
      <c r="N575" s="88">
        <v>2</v>
      </c>
      <c r="O575" s="90" t="s">
        <v>432</v>
      </c>
      <c r="Q575" s="91">
        <v>27</v>
      </c>
      <c r="R575" s="91" t="s">
        <v>837</v>
      </c>
      <c r="S575" s="92" t="s">
        <v>760</v>
      </c>
      <c r="T575" s="93" t="s">
        <v>250</v>
      </c>
      <c r="U575" s="94" t="s">
        <v>433</v>
      </c>
      <c r="V575" s="95" t="s">
        <v>841</v>
      </c>
      <c r="W575" s="95">
        <v>1</v>
      </c>
      <c r="X575" s="96"/>
      <c r="Y575" s="97">
        <f t="shared" si="579"/>
        <v>46206</v>
      </c>
      <c r="Z575" s="98" t="str">
        <f>SUBSTITUTE('Digitas UK Task 26'!$O575, "Complet", "Not Requir")</f>
        <v>Not Required</v>
      </c>
      <c r="AA575" s="98" t="str">
        <f t="shared" si="578"/>
        <v>Klaviyo EMEA - Trafficking Request - Prospecting - Omnichannel Whatsapp Refreshed - Q2 2026</v>
      </c>
      <c r="AB575" s="99"/>
      <c r="AF575" s="84" t="str">
        <f t="shared" si="577"/>
        <v/>
      </c>
      <c r="AH575" s="84" t="str">
        <f t="shared" si="580"/>
        <v>PL_30_CR_30_AD_30_Jira_0_</v>
      </c>
      <c r="AI575" s="84" t="str">
        <f t="shared" si="581"/>
        <v>PL_30_CR_30_AD_30_Jira_0_</v>
      </c>
      <c r="AJ575" s="84" t="str">
        <f>IF(Z575&lt;&gt;"Done","",(_xlfn.CONCAT("PL_",DigitasUKAdOp_26Team[[#This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76" spans="1:36" ht="15.75" customHeight="1" x14ac:dyDescent="0.3">
      <c r="A576" s="85" t="s">
        <v>838</v>
      </c>
      <c r="B576" s="86">
        <v>46206</v>
      </c>
      <c r="C576" s="87" t="s">
        <v>334</v>
      </c>
      <c r="D576" s="88" t="s">
        <v>465</v>
      </c>
      <c r="E576" s="87" t="s">
        <v>428</v>
      </c>
      <c r="F576" s="88" t="s">
        <v>842</v>
      </c>
      <c r="G576" s="88" t="s">
        <v>839</v>
      </c>
      <c r="H576" s="87" t="s">
        <v>269</v>
      </c>
      <c r="I576" s="87" t="s">
        <v>250</v>
      </c>
      <c r="J576" s="88">
        <v>10</v>
      </c>
      <c r="K576" s="88">
        <v>10</v>
      </c>
      <c r="L576" s="88">
        <v>10</v>
      </c>
      <c r="M576" s="89">
        <v>46206</v>
      </c>
      <c r="N576" s="88">
        <v>1</v>
      </c>
      <c r="O576" s="90" t="s">
        <v>432</v>
      </c>
      <c r="P576" s="88" t="s">
        <v>840</v>
      </c>
      <c r="Q576" s="91">
        <v>27</v>
      </c>
      <c r="R576" s="91" t="s">
        <v>837</v>
      </c>
      <c r="S576" s="92" t="s">
        <v>760</v>
      </c>
      <c r="T576" s="93" t="s">
        <v>237</v>
      </c>
      <c r="U576" s="94" t="s">
        <v>433</v>
      </c>
      <c r="W576" s="95">
        <v>0.25</v>
      </c>
      <c r="X576" s="96"/>
      <c r="Y576" s="97">
        <f t="shared" si="579"/>
        <v>46206</v>
      </c>
      <c r="Z576" s="98" t="str">
        <f>SUBSTITUTE('Digitas UK Task 26'!$O576, "Complet", "Not Requir")</f>
        <v>Not Required</v>
      </c>
      <c r="AA576" s="98" t="str">
        <f t="shared" si="578"/>
        <v>Klaviyo EMEA - Trafficking Request - Prospecting - Omnichannel Whatsapp Refreshed - Q2 2026</v>
      </c>
      <c r="AB576" s="99"/>
      <c r="AF576" s="84" t="str">
        <f t="shared" si="577"/>
        <v/>
      </c>
      <c r="AH576" s="84" t="str">
        <f t="shared" si="580"/>
        <v>PL_10_CR_10_AD_10_Jira_0_</v>
      </c>
      <c r="AI576" s="84" t="str">
        <f t="shared" si="581"/>
        <v>PL_10_CR_10_AD_10_Jira_0_</v>
      </c>
      <c r="AJ576" s="84" t="str">
        <f>IF(Z576&lt;&gt;"Done","",(_xlfn.CONCAT("PL_",DigitasUKAdOp_26Team[[#This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77" spans="1:36" ht="15.75" customHeight="1" x14ac:dyDescent="0.3">
      <c r="A577" s="85" t="s">
        <v>838</v>
      </c>
      <c r="B577" s="86">
        <v>46206</v>
      </c>
      <c r="C577" s="87" t="s">
        <v>334</v>
      </c>
      <c r="D577" s="88" t="s">
        <v>465</v>
      </c>
      <c r="E577" s="87" t="s">
        <v>428</v>
      </c>
      <c r="F577" s="88" t="s">
        <v>470</v>
      </c>
      <c r="G577" s="88" t="s">
        <v>839</v>
      </c>
      <c r="H577" s="87" t="s">
        <v>269</v>
      </c>
      <c r="I577" s="87" t="s">
        <v>237</v>
      </c>
      <c r="J577" s="88">
        <v>30</v>
      </c>
      <c r="K577" s="88">
        <v>30</v>
      </c>
      <c r="L577" s="88">
        <v>30</v>
      </c>
      <c r="M577" s="89">
        <v>46206</v>
      </c>
      <c r="N577" s="88">
        <v>1</v>
      </c>
      <c r="O577" s="90" t="s">
        <v>432</v>
      </c>
      <c r="Q577" s="91">
        <v>27</v>
      </c>
      <c r="R577" s="91" t="s">
        <v>837</v>
      </c>
      <c r="S577" s="92" t="s">
        <v>760</v>
      </c>
      <c r="T577" s="93" t="s">
        <v>250</v>
      </c>
      <c r="U577" s="94" t="s">
        <v>433</v>
      </c>
      <c r="W577" s="95">
        <v>0.5</v>
      </c>
      <c r="X577" s="96"/>
      <c r="Y577" s="97">
        <f t="shared" si="579"/>
        <v>46206</v>
      </c>
      <c r="Z577" s="98" t="str">
        <f>SUBSTITUTE('Digitas UK Task 26'!$O577, "Complet", "Not Requir")</f>
        <v>Not Required</v>
      </c>
      <c r="AA577" s="98" t="str">
        <f t="shared" si="578"/>
        <v>Klaviyo EMEA - Trafficking Request - Prospecting - Omnichannel Whatsapp Refreshed - Q2 2026</v>
      </c>
      <c r="AB577" s="99"/>
      <c r="AF577" s="84" t="str">
        <f t="shared" si="577"/>
        <v/>
      </c>
      <c r="AH577" s="84" t="str">
        <f t="shared" si="580"/>
        <v>PL_30_CR_30_AD_30_Jira_0_</v>
      </c>
      <c r="AI577" s="84" t="str">
        <f t="shared" si="581"/>
        <v>PL_30_CR_30_AD_30_Jira_0_</v>
      </c>
      <c r="AJ577" s="84" t="str">
        <f>IF(Z577&lt;&gt;"Done","",(_xlfn.CONCAT("PL_",DigitasUKAdOp_26Team[[#This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78" spans="1:36" ht="15.75" customHeight="1" x14ac:dyDescent="0.3">
      <c r="A578" s="85" t="s">
        <v>838</v>
      </c>
      <c r="B578" s="86">
        <v>46206</v>
      </c>
      <c r="C578" s="87" t="s">
        <v>334</v>
      </c>
      <c r="D578" s="88" t="s">
        <v>465</v>
      </c>
      <c r="E578" s="87" t="s">
        <v>428</v>
      </c>
      <c r="F578" s="88" t="s">
        <v>498</v>
      </c>
      <c r="G578" s="88" t="s">
        <v>843</v>
      </c>
      <c r="H578" s="87" t="s">
        <v>269</v>
      </c>
      <c r="I578" s="87" t="s">
        <v>431</v>
      </c>
      <c r="J578" s="88">
        <v>2</v>
      </c>
      <c r="K578" s="88">
        <v>2</v>
      </c>
      <c r="L578" s="88">
        <v>2</v>
      </c>
      <c r="M578" s="89">
        <v>46206</v>
      </c>
      <c r="N578" s="88">
        <v>0.5</v>
      </c>
      <c r="O578" s="90" t="s">
        <v>432</v>
      </c>
      <c r="Q578" s="91">
        <v>27</v>
      </c>
      <c r="R578" s="91" t="s">
        <v>837</v>
      </c>
      <c r="S578" s="92" t="s">
        <v>760</v>
      </c>
      <c r="T578" s="93" t="s">
        <v>246</v>
      </c>
      <c r="U578" s="94" t="s">
        <v>433</v>
      </c>
      <c r="W578" s="95">
        <v>0.25</v>
      </c>
      <c r="X578" s="96"/>
      <c r="Y578" s="97">
        <f t="shared" si="579"/>
        <v>46206</v>
      </c>
      <c r="Z578" s="98" t="str">
        <f>SUBSTITUTE('Digitas UK Task 26'!$O578, "Complet", "Not Requir")</f>
        <v>Not Required</v>
      </c>
      <c r="AA578" s="98" t="str">
        <f t="shared" si="578"/>
        <v>Klaviyo EMEA - Trafficking Request - Demand Gen - Omnichannel Whatsapp Refreshed - Q2 2026</v>
      </c>
      <c r="AB578" s="99"/>
      <c r="AF578" s="84" t="str">
        <f t="shared" si="577"/>
        <v/>
      </c>
      <c r="AH578" s="84" t="str">
        <f t="shared" si="580"/>
        <v>PL_2_CR_2_AD_2_Jira_0_</v>
      </c>
      <c r="AI578" s="84" t="str">
        <f t="shared" si="581"/>
        <v>PL_2_CR_2_AD_2_Jira_0_</v>
      </c>
      <c r="AJ578" s="84" t="str">
        <f>IF(Z578&lt;&gt;"Done","",(_xlfn.CONCAT("PL_",DigitasUKAdOp_26Team[[#This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79" spans="1:36" ht="15.75" customHeight="1" x14ac:dyDescent="0.3">
      <c r="A579" s="85" t="s">
        <v>838</v>
      </c>
      <c r="B579" s="86">
        <v>46206</v>
      </c>
      <c r="C579" s="87" t="s">
        <v>334</v>
      </c>
      <c r="D579" s="88" t="s">
        <v>465</v>
      </c>
      <c r="E579" s="87" t="s">
        <v>428</v>
      </c>
      <c r="F579" s="88" t="s">
        <v>842</v>
      </c>
      <c r="G579" s="88" t="s">
        <v>843</v>
      </c>
      <c r="H579" s="87" t="s">
        <v>269</v>
      </c>
      <c r="I579" s="87" t="s">
        <v>431</v>
      </c>
      <c r="J579" s="88">
        <v>1</v>
      </c>
      <c r="K579" s="88">
        <v>1</v>
      </c>
      <c r="L579" s="88">
        <v>1</v>
      </c>
      <c r="M579" s="89">
        <v>46206</v>
      </c>
      <c r="N579" s="88">
        <v>0.5</v>
      </c>
      <c r="O579" s="90" t="s">
        <v>432</v>
      </c>
      <c r="Q579" s="91">
        <v>27</v>
      </c>
      <c r="R579" s="91" t="s">
        <v>837</v>
      </c>
      <c r="S579" s="92" t="s">
        <v>760</v>
      </c>
      <c r="T579" s="93" t="s">
        <v>246</v>
      </c>
      <c r="U579" s="94" t="s">
        <v>433</v>
      </c>
      <c r="W579" s="95">
        <v>0.25</v>
      </c>
      <c r="X579" s="96"/>
      <c r="Y579" s="97">
        <f t="shared" si="579"/>
        <v>46206</v>
      </c>
      <c r="Z579" s="98" t="str">
        <f>SUBSTITUTE('Digitas UK Task 26'!$O579, "Complet", "Not Requir")</f>
        <v>Not Required</v>
      </c>
      <c r="AA579" s="98" t="str">
        <f t="shared" si="578"/>
        <v>Klaviyo EMEA - Trafficking Request - Demand Gen - Omnichannel Whatsapp Refreshed - Q2 2026</v>
      </c>
      <c r="AB579" s="99"/>
      <c r="AF579" s="84" t="str">
        <f t="shared" si="577"/>
        <v/>
      </c>
      <c r="AH579" s="84" t="str">
        <f t="shared" si="580"/>
        <v>PL_1_CR_1_AD_1_Jira_0_</v>
      </c>
      <c r="AI579" s="84" t="str">
        <f t="shared" si="581"/>
        <v>PL_1_CR_1_AD_1_Jira_0_</v>
      </c>
      <c r="AJ579" s="84" t="str">
        <f>IF(Z579&lt;&gt;"Done","",(_xlfn.CONCAT("PL_",DigitasUKAdOp_26Team[[#This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80" spans="1:36" ht="15.75" customHeight="1" x14ac:dyDescent="0.3">
      <c r="A580" s="85" t="s">
        <v>838</v>
      </c>
      <c r="B580" s="86">
        <v>46206</v>
      </c>
      <c r="C580" s="87" t="s">
        <v>334</v>
      </c>
      <c r="D580" s="88" t="s">
        <v>465</v>
      </c>
      <c r="E580" s="87" t="s">
        <v>428</v>
      </c>
      <c r="F580" s="88" t="s">
        <v>805</v>
      </c>
      <c r="G580" s="88" t="s">
        <v>843</v>
      </c>
      <c r="H580" s="87" t="s">
        <v>269</v>
      </c>
      <c r="I580" s="87" t="s">
        <v>246</v>
      </c>
      <c r="J580" s="88">
        <v>2</v>
      </c>
      <c r="K580" s="88">
        <v>2</v>
      </c>
      <c r="L580" s="88">
        <v>2</v>
      </c>
      <c r="M580" s="89">
        <v>46206</v>
      </c>
      <c r="N580" s="88">
        <v>0.5</v>
      </c>
      <c r="O580" s="90" t="s">
        <v>432</v>
      </c>
      <c r="Q580" s="91">
        <v>27</v>
      </c>
      <c r="R580" s="91" t="s">
        <v>837</v>
      </c>
      <c r="S580" s="92" t="s">
        <v>760</v>
      </c>
      <c r="T580" s="93" t="s">
        <v>237</v>
      </c>
      <c r="U580" s="94" t="s">
        <v>433</v>
      </c>
      <c r="V580" s="95" t="s">
        <v>844</v>
      </c>
      <c r="W580" s="95">
        <v>0.25</v>
      </c>
      <c r="X580" s="96"/>
      <c r="Y580" s="97">
        <f t="shared" si="579"/>
        <v>46206</v>
      </c>
      <c r="Z580" s="98" t="str">
        <f>SUBSTITUTE('Digitas UK Task 26'!$O580, "Complet", "Not Requir")</f>
        <v>Not Required</v>
      </c>
      <c r="AA580" s="98" t="str">
        <f t="shared" si="578"/>
        <v>Klaviyo EMEA - Trafficking Request - Demand Gen - Omnichannel Whatsapp Refreshed - Q2 2026</v>
      </c>
      <c r="AB580" s="99"/>
      <c r="AF580" s="84" t="str">
        <f t="shared" si="577"/>
        <v/>
      </c>
      <c r="AH580" s="84" t="str">
        <f t="shared" si="580"/>
        <v>PL_2_CR_2_AD_2_Jira_0_</v>
      </c>
      <c r="AI580" s="84" t="str">
        <f t="shared" si="581"/>
        <v>PL_2_CR_2_AD_2_Jira_0_</v>
      </c>
      <c r="AJ580" s="84" t="str">
        <f>IF(Z580&lt;&gt;"Done","",(_xlfn.CONCAT("PL_",DigitasUKAdOp_26Team[[#This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81" spans="1:36" ht="15.75" customHeight="1" x14ac:dyDescent="0.3">
      <c r="A581" s="85" t="s">
        <v>838</v>
      </c>
      <c r="B581" s="86">
        <v>46206</v>
      </c>
      <c r="C581" s="87" t="s">
        <v>334</v>
      </c>
      <c r="D581" s="88" t="s">
        <v>465</v>
      </c>
      <c r="E581" s="87" t="s">
        <v>428</v>
      </c>
      <c r="F581" s="88" t="s">
        <v>473</v>
      </c>
      <c r="G581" s="88" t="s">
        <v>843</v>
      </c>
      <c r="H581" s="87" t="s">
        <v>269</v>
      </c>
      <c r="I581" s="87" t="s">
        <v>250</v>
      </c>
      <c r="J581" s="88">
        <v>2</v>
      </c>
      <c r="K581" s="88">
        <v>2</v>
      </c>
      <c r="L581" s="88">
        <v>2</v>
      </c>
      <c r="M581" s="89">
        <v>46206</v>
      </c>
      <c r="N581" s="88">
        <v>0.5</v>
      </c>
      <c r="O581" s="90" t="s">
        <v>432</v>
      </c>
      <c r="P581" s="88" t="s">
        <v>840</v>
      </c>
      <c r="Q581" s="91">
        <v>27</v>
      </c>
      <c r="R581" s="91" t="s">
        <v>837</v>
      </c>
      <c r="S581" s="92" t="s">
        <v>760</v>
      </c>
      <c r="T581" s="93" t="s">
        <v>237</v>
      </c>
      <c r="U581" s="94" t="s">
        <v>433</v>
      </c>
      <c r="V581" s="95" t="s">
        <v>844</v>
      </c>
      <c r="W581" s="95">
        <v>0.25</v>
      </c>
      <c r="X581" s="96"/>
      <c r="Y581" s="97">
        <f t="shared" si="579"/>
        <v>46206</v>
      </c>
      <c r="Z581" s="98" t="str">
        <f>SUBSTITUTE('Digitas UK Task 26'!$O581, "Complet", "Not Requir")</f>
        <v>Not Required</v>
      </c>
      <c r="AA581" s="98" t="str">
        <f t="shared" si="578"/>
        <v>Klaviyo EMEA - Trafficking Request - Demand Gen - Omnichannel Whatsapp Refreshed - Q2 2026</v>
      </c>
      <c r="AB581" s="99"/>
      <c r="AF581" s="84" t="str">
        <f t="shared" si="577"/>
        <v/>
      </c>
      <c r="AH581" s="84" t="str">
        <f t="shared" si="580"/>
        <v>PL_2_CR_2_AD_2_Jira_0_</v>
      </c>
      <c r="AI581" s="84" t="str">
        <f t="shared" si="581"/>
        <v>PL_2_CR_2_AD_2_Jira_0_</v>
      </c>
      <c r="AJ581" s="84" t="str">
        <f>IF(Z581&lt;&gt;"Done","",(_xlfn.CONCAT("PL_",DigitasUKAdOp_26Team[[#This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82" spans="1:36" ht="15.75" customHeight="1" x14ac:dyDescent="0.3">
      <c r="A582" s="85" t="s">
        <v>838</v>
      </c>
      <c r="B582" s="86">
        <v>46206</v>
      </c>
      <c r="C582" s="87" t="s">
        <v>334</v>
      </c>
      <c r="D582" s="88" t="s">
        <v>465</v>
      </c>
      <c r="E582" s="87" t="s">
        <v>428</v>
      </c>
      <c r="F582" s="88" t="s">
        <v>470</v>
      </c>
      <c r="G582" s="88" t="s">
        <v>839</v>
      </c>
      <c r="H582" s="87" t="s">
        <v>443</v>
      </c>
      <c r="I582" s="87" t="s">
        <v>237</v>
      </c>
      <c r="J582" s="88">
        <v>0</v>
      </c>
      <c r="K582" s="88">
        <v>0</v>
      </c>
      <c r="L582" s="88">
        <v>0</v>
      </c>
      <c r="M582" s="89">
        <v>46206</v>
      </c>
      <c r="N582" s="88">
        <v>1</v>
      </c>
      <c r="O582" s="90" t="s">
        <v>432</v>
      </c>
      <c r="Q582" s="91">
        <v>27</v>
      </c>
      <c r="R582" s="91" t="s">
        <v>837</v>
      </c>
      <c r="S582" s="92" t="s">
        <v>760</v>
      </c>
      <c r="T582" s="93" t="s">
        <v>237</v>
      </c>
      <c r="U582" s="94" t="s">
        <v>444</v>
      </c>
      <c r="W582" s="95">
        <v>0</v>
      </c>
      <c r="X582" s="96"/>
      <c r="Y582" s="97">
        <f t="shared" si="579"/>
        <v>46206</v>
      </c>
      <c r="Z582" s="98" t="str">
        <f>SUBSTITUTE('Digitas UK Task 26'!$O582, "Complet", "Not Requir")</f>
        <v>Not Required</v>
      </c>
      <c r="AA582" s="98" t="str">
        <f t="shared" si="578"/>
        <v>Klaviyo EMEA - Trafficking Request - Prospecting - Omnichannel Whatsapp Refreshed - Q2 2026</v>
      </c>
      <c r="AB582" s="99"/>
      <c r="AF582" s="84" t="str">
        <f t="shared" si="577"/>
        <v/>
      </c>
      <c r="AH582" s="84" t="str">
        <f t="shared" si="580"/>
        <v>PL_0_CR_0_AD_0_Jira_0_</v>
      </c>
      <c r="AI582" s="84" t="str">
        <f t="shared" si="581"/>
        <v/>
      </c>
      <c r="AJ582" s="84" t="str">
        <f>IF(Z582&lt;&gt;"Done","",(_xlfn.CONCAT("PL_",DigitasUKAdOp_26Team[[#This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83" spans="1:36" ht="15.75" customHeight="1" x14ac:dyDescent="0.3">
      <c r="A583" s="85" t="s">
        <v>838</v>
      </c>
      <c r="B583" s="86">
        <v>46206</v>
      </c>
      <c r="C583" s="87" t="s">
        <v>334</v>
      </c>
      <c r="D583" s="88" t="s">
        <v>465</v>
      </c>
      <c r="E583" s="87" t="s">
        <v>428</v>
      </c>
      <c r="F583" s="88" t="s">
        <v>472</v>
      </c>
      <c r="G583" s="88" t="s">
        <v>839</v>
      </c>
      <c r="H583" s="87" t="s">
        <v>443</v>
      </c>
      <c r="I583" s="87" t="s">
        <v>237</v>
      </c>
      <c r="J583" s="88">
        <v>0</v>
      </c>
      <c r="K583" s="88">
        <v>0</v>
      </c>
      <c r="L583" s="88">
        <v>0</v>
      </c>
      <c r="M583" s="89">
        <v>46206</v>
      </c>
      <c r="N583" s="88">
        <v>1</v>
      </c>
      <c r="O583" s="90" t="s">
        <v>432</v>
      </c>
      <c r="Q583" s="91">
        <v>27</v>
      </c>
      <c r="R583" s="91" t="s">
        <v>837</v>
      </c>
      <c r="S583" s="92" t="s">
        <v>760</v>
      </c>
      <c r="T583" s="93" t="s">
        <v>237</v>
      </c>
      <c r="U583" s="94" t="s">
        <v>444</v>
      </c>
      <c r="W583" s="95">
        <v>0</v>
      </c>
      <c r="X583" s="96"/>
      <c r="Y583" s="97">
        <f t="shared" si="579"/>
        <v>46206</v>
      </c>
      <c r="Z583" s="98" t="str">
        <f>SUBSTITUTE('Digitas UK Task 26'!$O583, "Complet", "Not Requir")</f>
        <v>Not Required</v>
      </c>
      <c r="AA583" s="98" t="str">
        <f t="shared" si="578"/>
        <v>Klaviyo EMEA - Trafficking Request - Prospecting - Omnichannel Whatsapp Refreshed - Q2 2026</v>
      </c>
      <c r="AB583" s="99"/>
      <c r="AF583" s="84" t="str">
        <f t="shared" si="577"/>
        <v/>
      </c>
      <c r="AH583" s="84" t="str">
        <f t="shared" si="580"/>
        <v>PL_0_CR_0_AD_0_Jira_0_</v>
      </c>
      <c r="AI583" s="84" t="str">
        <f t="shared" si="581"/>
        <v/>
      </c>
      <c r="AJ583" s="84" t="str">
        <f>IF(Z583&lt;&gt;"Done","",(_xlfn.CONCAT("PL_",DigitasUKAdOp_26Team[[#This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84" spans="1:36" ht="15.75" customHeight="1" x14ac:dyDescent="0.3">
      <c r="A584" s="85" t="s">
        <v>838</v>
      </c>
      <c r="B584" s="86">
        <v>46206</v>
      </c>
      <c r="C584" s="87" t="s">
        <v>334</v>
      </c>
      <c r="D584" s="88" t="s">
        <v>598</v>
      </c>
      <c r="E584" s="87" t="s">
        <v>428</v>
      </c>
      <c r="F584" s="88" t="s">
        <v>505</v>
      </c>
      <c r="G584" s="88" t="s">
        <v>839</v>
      </c>
      <c r="H584" s="87" t="s">
        <v>443</v>
      </c>
      <c r="I584" s="87" t="s">
        <v>246</v>
      </c>
      <c r="J584" s="88">
        <v>0</v>
      </c>
      <c r="K584" s="88">
        <v>0</v>
      </c>
      <c r="L584" s="88">
        <v>0</v>
      </c>
      <c r="M584" s="89">
        <v>46206</v>
      </c>
      <c r="N584" s="88">
        <v>1</v>
      </c>
      <c r="O584" s="90" t="s">
        <v>432</v>
      </c>
      <c r="Q584" s="91">
        <v>27</v>
      </c>
      <c r="R584" s="91" t="s">
        <v>837</v>
      </c>
      <c r="S584" s="92" t="s">
        <v>760</v>
      </c>
      <c r="T584" s="93" t="s">
        <v>246</v>
      </c>
      <c r="U584" s="94" t="s">
        <v>444</v>
      </c>
      <c r="W584" s="95">
        <v>0</v>
      </c>
      <c r="X584" s="96"/>
      <c r="Y584" s="97">
        <f t="shared" si="579"/>
        <v>46206</v>
      </c>
      <c r="Z584" s="98" t="str">
        <f>SUBSTITUTE('Digitas UK Task 26'!$O584, "Complet", "Not Requir")</f>
        <v>Not Required</v>
      </c>
      <c r="AA584" s="98" t="str">
        <f t="shared" si="578"/>
        <v>Klaviyo EMEA - Trafficking Request - Prospecting - Omnichannel Whatsapp Refreshed - Q2 2026</v>
      </c>
      <c r="AB584" s="99"/>
      <c r="AF584" s="84" t="str">
        <f t="shared" si="577"/>
        <v/>
      </c>
      <c r="AH584" s="84" t="str">
        <f t="shared" si="580"/>
        <v>PL_0_CR_0_AD_0_Jira_0_</v>
      </c>
      <c r="AI584" s="84" t="str">
        <f t="shared" si="581"/>
        <v/>
      </c>
      <c r="AJ584" s="84" t="str">
        <f>IF(Z584&lt;&gt;"Done","",(_xlfn.CONCAT("PL_",DigitasUKAdOp_26Team[[#This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85" spans="1:36" ht="15.75" customHeight="1" x14ac:dyDescent="0.3">
      <c r="A585" s="85" t="s">
        <v>838</v>
      </c>
      <c r="B585" s="86">
        <v>46206</v>
      </c>
      <c r="C585" s="87" t="s">
        <v>334</v>
      </c>
      <c r="D585" s="88" t="s">
        <v>598</v>
      </c>
      <c r="E585" s="87" t="s">
        <v>428</v>
      </c>
      <c r="F585" s="88" t="s">
        <v>498</v>
      </c>
      <c r="G585" s="88" t="s">
        <v>839</v>
      </c>
      <c r="H585" s="87" t="s">
        <v>443</v>
      </c>
      <c r="I585" s="87" t="s">
        <v>246</v>
      </c>
      <c r="J585" s="88">
        <v>0</v>
      </c>
      <c r="K585" s="88">
        <v>0</v>
      </c>
      <c r="L585" s="88">
        <v>0</v>
      </c>
      <c r="M585" s="89">
        <v>46206</v>
      </c>
      <c r="N585" s="88">
        <v>1</v>
      </c>
      <c r="O585" s="90" t="s">
        <v>432</v>
      </c>
      <c r="Q585" s="91">
        <v>27</v>
      </c>
      <c r="R585" s="91" t="s">
        <v>837</v>
      </c>
      <c r="S585" s="92" t="s">
        <v>760</v>
      </c>
      <c r="T585" s="93" t="s">
        <v>246</v>
      </c>
      <c r="U585" s="94" t="s">
        <v>444</v>
      </c>
      <c r="W585" s="95">
        <v>0</v>
      </c>
      <c r="X585" s="96"/>
      <c r="Y585" s="97">
        <f t="shared" si="579"/>
        <v>46206</v>
      </c>
      <c r="Z585" s="98" t="str">
        <f>SUBSTITUTE('Digitas UK Task 26'!$O585, "Complet", "Not Requir")</f>
        <v>Not Required</v>
      </c>
      <c r="AA585" s="98" t="str">
        <f t="shared" si="578"/>
        <v>Klaviyo EMEA - Trafficking Request - Prospecting - Omnichannel Whatsapp Refreshed - Q2 2026</v>
      </c>
      <c r="AB585" s="99"/>
      <c r="AF585" s="84" t="str">
        <f t="shared" si="577"/>
        <v/>
      </c>
      <c r="AH585" s="84" t="str">
        <f t="shared" si="580"/>
        <v>PL_0_CR_0_AD_0_Jira_0_</v>
      </c>
      <c r="AI585" s="84" t="str">
        <f t="shared" si="581"/>
        <v/>
      </c>
      <c r="AJ585" s="84" t="str">
        <f>IF(Z585&lt;&gt;"Done","",(_xlfn.CONCAT("PL_",DigitasUKAdOp_26Team[[#This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86" spans="1:36" ht="15.75" customHeight="1" x14ac:dyDescent="0.3">
      <c r="A586" s="85" t="s">
        <v>845</v>
      </c>
      <c r="B586" s="86">
        <v>46209</v>
      </c>
      <c r="C586" s="87" t="s">
        <v>334</v>
      </c>
      <c r="D586" s="88" t="s">
        <v>465</v>
      </c>
      <c r="E586" s="87" t="s">
        <v>428</v>
      </c>
      <c r="F586" s="88" t="s">
        <v>842</v>
      </c>
      <c r="G586" s="88" t="s">
        <v>843</v>
      </c>
      <c r="H586" s="87" t="s">
        <v>269</v>
      </c>
      <c r="I586" s="87" t="s">
        <v>431</v>
      </c>
      <c r="J586" s="88">
        <v>1</v>
      </c>
      <c r="K586" s="88">
        <v>1</v>
      </c>
      <c r="L586" s="88">
        <v>1</v>
      </c>
      <c r="M586" s="89">
        <v>46209</v>
      </c>
      <c r="N586" s="88">
        <v>0.5</v>
      </c>
      <c r="O586" s="90" t="s">
        <v>432</v>
      </c>
      <c r="P586" s="88" t="s">
        <v>846</v>
      </c>
      <c r="Q586" s="91">
        <v>28</v>
      </c>
      <c r="R586" s="91" t="s">
        <v>837</v>
      </c>
      <c r="S586" s="92" t="s">
        <v>736</v>
      </c>
      <c r="T586" s="93" t="s">
        <v>246</v>
      </c>
      <c r="U586" s="94" t="s">
        <v>433</v>
      </c>
      <c r="W586" s="95">
        <v>0.25</v>
      </c>
      <c r="X586" s="96"/>
      <c r="Y586" s="97">
        <f t="shared" si="579"/>
        <v>46209</v>
      </c>
      <c r="Z586" s="98" t="str">
        <f>SUBSTITUTE('Digitas UK Task 26'!$O586, "Complet", "Not Requir")</f>
        <v>Not Required</v>
      </c>
      <c r="AA586" s="98" t="str">
        <f t="shared" si="578"/>
        <v>Klaviyo EMEA - Trafficking Request - Demand Gen - Omnichannel Whatsapp Refreshed - Q2 2026</v>
      </c>
      <c r="AB586" s="99"/>
      <c r="AF586" s="84" t="str">
        <f t="shared" si="577"/>
        <v/>
      </c>
      <c r="AH586" s="84" t="str">
        <f t="shared" si="580"/>
        <v>PL_1_CR_1_AD_1_Jira_0_</v>
      </c>
      <c r="AI586" s="84" t="str">
        <f t="shared" si="581"/>
        <v>PL_1_CR_1_AD_1_Jira_0_</v>
      </c>
      <c r="AJ586" s="84" t="str">
        <f>IF(Z586&lt;&gt;"Done","",(_xlfn.CONCAT("PL_",DigitasUKAdOp_26Team[[#This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87" spans="1:36" ht="15.75" customHeight="1" x14ac:dyDescent="0.3">
      <c r="A587" s="85" t="str">
        <f t="shared" ref="A587:A610" si="582">IF(B587="","",TEXT(B587,"MMM : DDDD"))</f>
        <v/>
      </c>
      <c r="C587" s="87"/>
      <c r="E587" s="87"/>
      <c r="H587" s="87"/>
      <c r="I587" s="87"/>
      <c r="O587" s="90" t="str">
        <f t="shared" ref="O587:O630" si="583">IF(F587="","","In-process")</f>
        <v/>
      </c>
      <c r="Q587" s="91" t="str">
        <f t="shared" ref="Q587:Q590" si="584">IF(B587="","",WEEKNUM(B587))</f>
        <v/>
      </c>
      <c r="R587" s="91" t="str">
        <f t="shared" ref="R587:R597" si="585">IF(B587="","",TEXT(B587,"MMM"))</f>
        <v/>
      </c>
      <c r="S587" s="92" t="str">
        <f t="shared" ref="S587:S590" si="586">IF(B587="","",TEXT(B587,"DDDD"))</f>
        <v/>
      </c>
      <c r="T587" s="93"/>
      <c r="U587" s="94" t="str">
        <f t="shared" ref="U587:U610" si="587">IF(O587="Completed","Pending","")</f>
        <v/>
      </c>
      <c r="X587" s="96"/>
      <c r="Y587" s="97" t="str">
        <f t="shared" si="579"/>
        <v/>
      </c>
      <c r="Z587" s="98" t="str">
        <f>SUBSTITUTE('Digitas UK Task 26'!$O587, "Complet", "Not Requir")</f>
        <v/>
      </c>
      <c r="AA587" s="98" t="str">
        <f t="shared" si="578"/>
        <v/>
      </c>
      <c r="AB587" s="99"/>
      <c r="AF587" s="84" t="str">
        <f t="shared" si="577"/>
        <v/>
      </c>
      <c r="AH587" s="84" t="str">
        <f t="shared" si="580"/>
        <v/>
      </c>
      <c r="AI587" s="84" t="str">
        <f t="shared" si="581"/>
        <v/>
      </c>
      <c r="AJ587" s="84" t="str">
        <f>IF(Z587&lt;&gt;"Done","",(_xlfn.CONCAT("PL_",DigitasUKAdOp_26Team[[#This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88" spans="1:36" ht="15.75" customHeight="1" x14ac:dyDescent="0.3">
      <c r="A588" s="85" t="str">
        <f t="shared" si="582"/>
        <v/>
      </c>
      <c r="C588" s="87"/>
      <c r="E588" s="87"/>
      <c r="H588" s="87"/>
      <c r="I588" s="87"/>
      <c r="O588" s="90" t="str">
        <f t="shared" si="583"/>
        <v/>
      </c>
      <c r="Q588" s="91" t="str">
        <f t="shared" si="584"/>
        <v/>
      </c>
      <c r="R588" s="91" t="str">
        <f t="shared" si="585"/>
        <v/>
      </c>
      <c r="S588" s="92" t="str">
        <f t="shared" si="586"/>
        <v/>
      </c>
      <c r="T588" s="93"/>
      <c r="U588" s="94" t="str">
        <f t="shared" si="587"/>
        <v/>
      </c>
      <c r="X588" s="96"/>
      <c r="Y588" s="97" t="str">
        <f t="shared" si="579"/>
        <v/>
      </c>
      <c r="Z588" s="98" t="str">
        <f>SUBSTITUTE('Digitas UK Task 26'!$O588, "Complet", "Not Requir")</f>
        <v/>
      </c>
      <c r="AA588" s="98" t="str">
        <f t="shared" si="578"/>
        <v/>
      </c>
      <c r="AB588" s="99"/>
      <c r="AF588" s="84" t="str">
        <f t="shared" si="577"/>
        <v/>
      </c>
      <c r="AH588" s="84" t="str">
        <f t="shared" si="580"/>
        <v/>
      </c>
      <c r="AI588" s="84" t="str">
        <f t="shared" si="581"/>
        <v/>
      </c>
      <c r="AJ588" s="84" t="str">
        <f>IF(Z588&lt;&gt;"Done","",(_xlfn.CONCAT("PL_",DigitasUKAdOp_26Team[[#This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89" spans="1:36" ht="15.75" customHeight="1" x14ac:dyDescent="0.3">
      <c r="A589" s="85" t="str">
        <f t="shared" si="582"/>
        <v/>
      </c>
      <c r="C589" s="87"/>
      <c r="E589" s="87"/>
      <c r="H589" s="87"/>
      <c r="I589" s="87"/>
      <c r="O589" s="90" t="str">
        <f t="shared" si="583"/>
        <v/>
      </c>
      <c r="Q589" s="91" t="str">
        <f t="shared" si="584"/>
        <v/>
      </c>
      <c r="R589" s="91" t="str">
        <f t="shared" si="585"/>
        <v/>
      </c>
      <c r="S589" s="92" t="str">
        <f t="shared" si="586"/>
        <v/>
      </c>
      <c r="T589" s="93"/>
      <c r="U589" s="94" t="str">
        <f t="shared" si="587"/>
        <v/>
      </c>
      <c r="X589" s="96"/>
      <c r="Y589" s="97" t="str">
        <f t="shared" si="579"/>
        <v/>
      </c>
      <c r="Z589" s="98" t="str">
        <f>SUBSTITUTE('Digitas UK Task 26'!$O589, "Complet", "Not Requir")</f>
        <v/>
      </c>
      <c r="AA589" s="98" t="str">
        <f t="shared" si="578"/>
        <v/>
      </c>
      <c r="AB589" s="99"/>
      <c r="AF589" s="84" t="str">
        <f t="shared" si="577"/>
        <v/>
      </c>
      <c r="AH589" s="84" t="str">
        <f t="shared" si="580"/>
        <v/>
      </c>
      <c r="AI589" s="84" t="str">
        <f t="shared" si="581"/>
        <v/>
      </c>
      <c r="AJ589" s="84" t="str">
        <f>IF(Z589&lt;&gt;"Done","",(_xlfn.CONCAT("PL_",DigitasUKAdOp_26Team[[#This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90" spans="1:36" ht="15.75" customHeight="1" x14ac:dyDescent="0.3">
      <c r="A590" s="85" t="str">
        <f t="shared" si="582"/>
        <v/>
      </c>
      <c r="C590" s="87"/>
      <c r="E590" s="87"/>
      <c r="H590" s="87"/>
      <c r="I590" s="87"/>
      <c r="O590" s="90" t="str">
        <f t="shared" si="583"/>
        <v/>
      </c>
      <c r="Q590" s="91" t="str">
        <f t="shared" si="584"/>
        <v/>
      </c>
      <c r="R590" s="91" t="str">
        <f t="shared" si="585"/>
        <v/>
      </c>
      <c r="S590" s="92" t="str">
        <f t="shared" si="586"/>
        <v/>
      </c>
      <c r="T590" s="93"/>
      <c r="U590" s="94" t="str">
        <f t="shared" si="587"/>
        <v/>
      </c>
      <c r="X590" s="96"/>
      <c r="Y590" s="97" t="str">
        <f t="shared" si="579"/>
        <v/>
      </c>
      <c r="Z590" s="98" t="str">
        <f>SUBSTITUTE('Digitas UK Task 26'!$O590, "Complet", "Not Requir")</f>
        <v/>
      </c>
      <c r="AA590" s="98" t="str">
        <f t="shared" si="578"/>
        <v/>
      </c>
      <c r="AB590" s="99"/>
      <c r="AF590" s="84" t="str">
        <f t="shared" si="577"/>
        <v/>
      </c>
      <c r="AH590" s="84" t="str">
        <f t="shared" si="580"/>
        <v/>
      </c>
      <c r="AI590" s="84" t="str">
        <f t="shared" si="581"/>
        <v/>
      </c>
      <c r="AJ590" s="84" t="str">
        <f>IF(Z590&lt;&gt;"Done","",(_xlfn.CONCAT("PL_",DigitasUKAdOp_26Team[[#This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91" spans="1:36" ht="15.75" customHeight="1" x14ac:dyDescent="0.3">
      <c r="A591" s="85" t="str">
        <f t="shared" si="582"/>
        <v/>
      </c>
      <c r="C591" s="87"/>
      <c r="E591" s="87"/>
      <c r="H591" s="87"/>
      <c r="I591" s="87"/>
      <c r="O591" s="90" t="str">
        <f t="shared" si="583"/>
        <v/>
      </c>
      <c r="Q591" s="91" t="str">
        <f t="shared" ref="Q591:Q654" si="588">IF(B591="","",WEEKNUM(B591))</f>
        <v/>
      </c>
      <c r="R591" s="91" t="str">
        <f t="shared" si="585"/>
        <v/>
      </c>
      <c r="S591" s="92" t="str">
        <f t="shared" ref="S591:S654" si="589">IF(B591="","",TEXT(B591,"DDDD"))</f>
        <v/>
      </c>
      <c r="T591" s="93"/>
      <c r="U591" s="94" t="str">
        <f t="shared" si="587"/>
        <v/>
      </c>
      <c r="X591" s="96"/>
      <c r="Y591" s="97" t="str">
        <f t="shared" si="579"/>
        <v/>
      </c>
      <c r="Z591" s="98" t="str">
        <f>SUBSTITUTE('Digitas UK Task 26'!$O591, "Complet", "Not Requir")</f>
        <v/>
      </c>
      <c r="AA591" s="98" t="str">
        <f t="shared" si="578"/>
        <v/>
      </c>
      <c r="AB591" s="99"/>
      <c r="AF591" s="84" t="str">
        <f t="shared" si="577"/>
        <v/>
      </c>
      <c r="AH591" s="84" t="str">
        <f t="shared" si="580"/>
        <v/>
      </c>
      <c r="AI591" s="84" t="str">
        <f t="shared" si="581"/>
        <v/>
      </c>
      <c r="AJ591" s="84" t="str">
        <f>IF(Z591&lt;&gt;"Done","",(_xlfn.CONCAT("PL_",DigitasUKAdOp_26Team[[#This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92" spans="1:36" ht="15.75" customHeight="1" x14ac:dyDescent="0.3">
      <c r="A592" s="85" t="str">
        <f t="shared" si="582"/>
        <v/>
      </c>
      <c r="C592" s="87"/>
      <c r="E592" s="87"/>
      <c r="H592" s="87"/>
      <c r="I592" s="87"/>
      <c r="O592" s="90" t="str">
        <f t="shared" si="583"/>
        <v/>
      </c>
      <c r="Q592" s="91" t="str">
        <f t="shared" si="588"/>
        <v/>
      </c>
      <c r="R592" s="91" t="str">
        <f t="shared" si="585"/>
        <v/>
      </c>
      <c r="S592" s="92" t="str">
        <f t="shared" si="589"/>
        <v/>
      </c>
      <c r="T592" s="93"/>
      <c r="U592" s="94" t="str">
        <f t="shared" si="587"/>
        <v/>
      </c>
      <c r="X592" s="96"/>
      <c r="Y592" s="97" t="str">
        <f t="shared" si="579"/>
        <v/>
      </c>
      <c r="Z592" s="98" t="str">
        <f>SUBSTITUTE('Digitas UK Task 26'!$O592, "Complet", "Not Requir")</f>
        <v/>
      </c>
      <c r="AA592" s="98" t="str">
        <f t="shared" si="578"/>
        <v/>
      </c>
      <c r="AB592" s="99"/>
      <c r="AF592" s="84" t="str">
        <f t="shared" si="577"/>
        <v/>
      </c>
      <c r="AH592" s="84" t="str">
        <f t="shared" si="580"/>
        <v/>
      </c>
      <c r="AI592" s="84" t="str">
        <f t="shared" si="581"/>
        <v/>
      </c>
      <c r="AJ592" s="84" t="str">
        <f>IF(Z592&lt;&gt;"Done","",(_xlfn.CONCAT("PL_",DigitasUKAdOp_26Team[[#This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93" spans="1:36" ht="15.75" customHeight="1" x14ac:dyDescent="0.3">
      <c r="A593" s="85" t="str">
        <f t="shared" si="582"/>
        <v/>
      </c>
      <c r="C593" s="87"/>
      <c r="E593" s="87"/>
      <c r="H593" s="87"/>
      <c r="I593" s="87"/>
      <c r="O593" s="90" t="str">
        <f t="shared" si="583"/>
        <v/>
      </c>
      <c r="Q593" s="91" t="str">
        <f t="shared" si="588"/>
        <v/>
      </c>
      <c r="R593" s="91" t="str">
        <f t="shared" si="585"/>
        <v/>
      </c>
      <c r="S593" s="92" t="str">
        <f t="shared" si="589"/>
        <v/>
      </c>
      <c r="T593" s="93"/>
      <c r="U593" s="94" t="str">
        <f t="shared" si="587"/>
        <v/>
      </c>
      <c r="X593" s="96"/>
      <c r="Y593" s="97" t="str">
        <f t="shared" si="579"/>
        <v/>
      </c>
      <c r="Z593" s="98" t="str">
        <f>SUBSTITUTE('Digitas UK Task 26'!$O593, "Complet", "Not Requir")</f>
        <v/>
      </c>
      <c r="AA593" s="98" t="str">
        <f t="shared" si="578"/>
        <v/>
      </c>
      <c r="AB593" s="99"/>
      <c r="AF593" s="84" t="str">
        <f t="shared" si="577"/>
        <v/>
      </c>
      <c r="AH593" s="84" t="str">
        <f t="shared" si="580"/>
        <v/>
      </c>
      <c r="AI593" s="84" t="str">
        <f t="shared" si="581"/>
        <v/>
      </c>
      <c r="AJ593" s="84" t="str">
        <f>IF(Z593&lt;&gt;"Done","",(_xlfn.CONCAT("PL_",DigitasUKAdOp_26Team[[#This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94" spans="1:36" ht="15.75" customHeight="1" x14ac:dyDescent="0.3">
      <c r="A594" s="85" t="str">
        <f t="shared" si="582"/>
        <v/>
      </c>
      <c r="C594" s="87"/>
      <c r="E594" s="87"/>
      <c r="H594" s="87"/>
      <c r="I594" s="87"/>
      <c r="O594" s="90" t="str">
        <f t="shared" si="583"/>
        <v/>
      </c>
      <c r="Q594" s="91" t="str">
        <f t="shared" si="588"/>
        <v/>
      </c>
      <c r="R594" s="91" t="str">
        <f t="shared" si="585"/>
        <v/>
      </c>
      <c r="S594" s="92" t="str">
        <f t="shared" si="589"/>
        <v/>
      </c>
      <c r="T594" s="93"/>
      <c r="U594" s="94" t="str">
        <f t="shared" si="587"/>
        <v/>
      </c>
      <c r="X594" s="96"/>
      <c r="Y594" s="97" t="str">
        <f t="shared" si="579"/>
        <v/>
      </c>
      <c r="Z594" s="98" t="str">
        <f>SUBSTITUTE('Digitas UK Task 26'!$O594, "Complet", "Not Requir")</f>
        <v/>
      </c>
      <c r="AA594" s="98" t="str">
        <f t="shared" si="578"/>
        <v/>
      </c>
      <c r="AB594" s="99"/>
      <c r="AF594" s="84" t="str">
        <f t="shared" si="577"/>
        <v/>
      </c>
      <c r="AH594" s="84" t="str">
        <f t="shared" si="580"/>
        <v/>
      </c>
      <c r="AI594" s="84" t="str">
        <f t="shared" si="581"/>
        <v/>
      </c>
      <c r="AJ594" s="84" t="str">
        <f>IF(Z594&lt;&gt;"Done","",(_xlfn.CONCAT("PL_",DigitasUKAdOp_26Team[[#This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95" spans="1:36" ht="15.75" customHeight="1" x14ac:dyDescent="0.3">
      <c r="A595" s="85" t="str">
        <f t="shared" si="582"/>
        <v/>
      </c>
      <c r="C595" s="87"/>
      <c r="E595" s="87"/>
      <c r="H595" s="87"/>
      <c r="I595" s="87"/>
      <c r="O595" s="90" t="str">
        <f t="shared" si="583"/>
        <v/>
      </c>
      <c r="Q595" s="91" t="str">
        <f t="shared" si="588"/>
        <v/>
      </c>
      <c r="R595" s="91" t="str">
        <f t="shared" si="585"/>
        <v/>
      </c>
      <c r="S595" s="92" t="str">
        <f t="shared" si="589"/>
        <v/>
      </c>
      <c r="T595" s="93"/>
      <c r="U595" s="94" t="str">
        <f t="shared" si="587"/>
        <v/>
      </c>
      <c r="X595" s="96"/>
      <c r="Y595" s="97" t="str">
        <f t="shared" si="579"/>
        <v/>
      </c>
      <c r="Z595" s="98" t="str">
        <f>SUBSTITUTE('Digitas UK Task 26'!$O595, "Complet", "Not Requir")</f>
        <v/>
      </c>
      <c r="AA595" s="98" t="str">
        <f t="shared" si="578"/>
        <v/>
      </c>
      <c r="AB595" s="99"/>
      <c r="AF595" s="84" t="str">
        <f t="shared" si="577"/>
        <v/>
      </c>
      <c r="AH595" s="84" t="str">
        <f t="shared" si="580"/>
        <v/>
      </c>
      <c r="AI595" s="84" t="str">
        <f t="shared" si="581"/>
        <v/>
      </c>
      <c r="AJ595" s="84" t="str">
        <f>IF(Z595&lt;&gt;"Done","",(_xlfn.CONCAT("PL_",DigitasUKAdOp_26Team[[#This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96" spans="1:36" ht="15.75" customHeight="1" x14ac:dyDescent="0.3">
      <c r="A596" s="85" t="str">
        <f t="shared" si="582"/>
        <v/>
      </c>
      <c r="C596" s="87"/>
      <c r="E596" s="87"/>
      <c r="H596" s="87"/>
      <c r="I596" s="87"/>
      <c r="O596" s="90" t="str">
        <f t="shared" si="583"/>
        <v/>
      </c>
      <c r="Q596" s="91" t="str">
        <f t="shared" si="588"/>
        <v/>
      </c>
      <c r="R596" s="91" t="str">
        <f t="shared" si="585"/>
        <v/>
      </c>
      <c r="S596" s="92" t="str">
        <f t="shared" si="589"/>
        <v/>
      </c>
      <c r="T596" s="93"/>
      <c r="U596" s="94" t="str">
        <f t="shared" si="587"/>
        <v/>
      </c>
      <c r="X596" s="96"/>
      <c r="Y596" s="97" t="str">
        <f t="shared" si="579"/>
        <v/>
      </c>
      <c r="Z596" s="98" t="str">
        <f>SUBSTITUTE('Digitas UK Task 26'!$O596, "Complet", "Not Requir")</f>
        <v/>
      </c>
      <c r="AA596" s="98" t="str">
        <f t="shared" si="578"/>
        <v/>
      </c>
      <c r="AB596" s="99"/>
      <c r="AF596" s="84" t="str">
        <f t="shared" si="577"/>
        <v/>
      </c>
      <c r="AH596" s="84" t="str">
        <f t="shared" si="580"/>
        <v/>
      </c>
      <c r="AI596" s="84" t="str">
        <f t="shared" si="581"/>
        <v/>
      </c>
      <c r="AJ596" s="84" t="str">
        <f>IF(Z596&lt;&gt;"Done","",(_xlfn.CONCAT("PL_",DigitasUKAdOp_26Team[[#This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97" spans="1:36" ht="15.75" customHeight="1" x14ac:dyDescent="0.3">
      <c r="A597" s="85" t="str">
        <f t="shared" si="582"/>
        <v/>
      </c>
      <c r="C597" s="87"/>
      <c r="E597" s="87"/>
      <c r="H597" s="87"/>
      <c r="I597" s="87"/>
      <c r="O597" s="90" t="str">
        <f t="shared" si="583"/>
        <v/>
      </c>
      <c r="Q597" s="91" t="str">
        <f t="shared" si="588"/>
        <v/>
      </c>
      <c r="R597" s="91" t="str">
        <f t="shared" si="585"/>
        <v/>
      </c>
      <c r="S597" s="92" t="str">
        <f t="shared" si="589"/>
        <v/>
      </c>
      <c r="T597" s="93"/>
      <c r="U597" s="94" t="str">
        <f t="shared" si="587"/>
        <v/>
      </c>
      <c r="X597" s="96"/>
      <c r="Y597" s="97" t="str">
        <f t="shared" si="579"/>
        <v/>
      </c>
      <c r="Z597" s="98" t="str">
        <f>SUBSTITUTE('Digitas UK Task 26'!$O597, "Complet", "Not Requir")</f>
        <v/>
      </c>
      <c r="AA597" s="98" t="str">
        <f t="shared" si="578"/>
        <v/>
      </c>
      <c r="AB597" s="99"/>
      <c r="AF597" s="84" t="str">
        <f t="shared" ref="AF597:AF660" si="590">IF(AD597="","",WEEKNUM(AD597))</f>
        <v/>
      </c>
      <c r="AH597" s="84" t="str">
        <f t="shared" si="580"/>
        <v/>
      </c>
      <c r="AI597" s="84" t="str">
        <f t="shared" si="581"/>
        <v/>
      </c>
      <c r="AJ597" s="84" t="str">
        <f>IF(Z597&lt;&gt;"Done","",(_xlfn.CONCAT("PL_",DigitasUKAdOp_26Team[[#This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98" spans="1:36" ht="15.75" customHeight="1" x14ac:dyDescent="0.3">
      <c r="A598" s="85" t="str">
        <f t="shared" si="582"/>
        <v/>
      </c>
      <c r="C598" s="87"/>
      <c r="E598" s="87"/>
      <c r="H598" s="87"/>
      <c r="I598" s="87"/>
      <c r="O598" s="90" t="str">
        <f t="shared" si="583"/>
        <v/>
      </c>
      <c r="Q598" s="91" t="str">
        <f t="shared" si="588"/>
        <v/>
      </c>
      <c r="R598" s="91" t="str">
        <f t="shared" ref="R598:R661" si="591">IF(B598="","",TEXT(B598,"MMM"))</f>
        <v/>
      </c>
      <c r="S598" s="92" t="str">
        <f t="shared" si="589"/>
        <v/>
      </c>
      <c r="T598" s="93"/>
      <c r="U598" s="94" t="str">
        <f t="shared" si="587"/>
        <v/>
      </c>
      <c r="X598" s="96"/>
      <c r="Y598" s="97" t="str">
        <f t="shared" si="579"/>
        <v/>
      </c>
      <c r="Z598" s="98" t="str">
        <f>SUBSTITUTE('Digitas UK Task 26'!$O598, "Complet", "Not Requir")</f>
        <v/>
      </c>
      <c r="AA598" s="98" t="str">
        <f t="shared" si="578"/>
        <v/>
      </c>
      <c r="AB598" s="99"/>
      <c r="AF598" s="84" t="str">
        <f t="shared" si="590"/>
        <v/>
      </c>
      <c r="AH598" s="84" t="str">
        <f t="shared" si="580"/>
        <v/>
      </c>
      <c r="AI598" s="84" t="str">
        <f t="shared" si="581"/>
        <v/>
      </c>
      <c r="AJ598" s="84" t="str">
        <f>IF(Z598&lt;&gt;"Done","",(_xlfn.CONCAT("PL_",DigitasUKAdOp_26Team[[#This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599" spans="1:36" ht="15.75" customHeight="1" x14ac:dyDescent="0.3">
      <c r="A599" s="85" t="str">
        <f t="shared" si="582"/>
        <v/>
      </c>
      <c r="C599" s="87"/>
      <c r="E599" s="87"/>
      <c r="H599" s="87"/>
      <c r="I599" s="87"/>
      <c r="O599" s="90" t="str">
        <f t="shared" si="583"/>
        <v/>
      </c>
      <c r="Q599" s="91" t="str">
        <f t="shared" si="588"/>
        <v/>
      </c>
      <c r="R599" s="91" t="str">
        <f t="shared" si="591"/>
        <v/>
      </c>
      <c r="S599" s="92" t="str">
        <f t="shared" si="589"/>
        <v/>
      </c>
      <c r="T599" s="93"/>
      <c r="U599" s="94" t="str">
        <f t="shared" si="587"/>
        <v/>
      </c>
      <c r="X599" s="96"/>
      <c r="Y599" s="97" t="str">
        <f t="shared" si="579"/>
        <v/>
      </c>
      <c r="Z599" s="98" t="str">
        <f>SUBSTITUTE('Digitas UK Task 26'!$O599, "Complet", "Not Requir")</f>
        <v/>
      </c>
      <c r="AA599" s="98" t="str">
        <f t="shared" si="578"/>
        <v/>
      </c>
      <c r="AB599" s="99"/>
      <c r="AF599" s="84" t="str">
        <f t="shared" si="590"/>
        <v/>
      </c>
      <c r="AH599" s="84" t="str">
        <f t="shared" si="580"/>
        <v/>
      </c>
      <c r="AI599" s="84" t="str">
        <f t="shared" si="581"/>
        <v/>
      </c>
      <c r="AJ599" s="84" t="str">
        <f>IF(Z599&lt;&gt;"Done","",(_xlfn.CONCAT("PL_",DigitasUKAdOp_26Team[[#This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00" spans="1:36" ht="15.75" customHeight="1" x14ac:dyDescent="0.3">
      <c r="A600" s="85" t="str">
        <f t="shared" si="582"/>
        <v/>
      </c>
      <c r="C600" s="87"/>
      <c r="E600" s="87"/>
      <c r="H600" s="87"/>
      <c r="I600" s="87"/>
      <c r="O600" s="90" t="str">
        <f t="shared" si="583"/>
        <v/>
      </c>
      <c r="Q600" s="91" t="str">
        <f t="shared" si="588"/>
        <v/>
      </c>
      <c r="R600" s="91" t="str">
        <f t="shared" si="591"/>
        <v/>
      </c>
      <c r="S600" s="92" t="str">
        <f t="shared" si="589"/>
        <v/>
      </c>
      <c r="T600" s="93"/>
      <c r="U600" s="94" t="str">
        <f t="shared" si="587"/>
        <v/>
      </c>
      <c r="X600" s="96"/>
      <c r="Y600" s="97" t="str">
        <f t="shared" si="579"/>
        <v/>
      </c>
      <c r="Z600" s="98" t="str">
        <f>SUBSTITUTE('Digitas UK Task 26'!$O600, "Complet", "Not Requir")</f>
        <v/>
      </c>
      <c r="AA600" s="98" t="str">
        <f t="shared" si="578"/>
        <v/>
      </c>
      <c r="AB600" s="99"/>
      <c r="AF600" s="84" t="str">
        <f t="shared" si="590"/>
        <v/>
      </c>
      <c r="AH600" s="84" t="str">
        <f t="shared" si="580"/>
        <v/>
      </c>
      <c r="AI600" s="84" t="str">
        <f t="shared" si="581"/>
        <v/>
      </c>
      <c r="AJ600" s="84" t="str">
        <f>IF(Z600&lt;&gt;"Done","",(_xlfn.CONCAT("PL_",DigitasUKAdOp_26Team[[#This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01" spans="1:36" ht="15.75" customHeight="1" x14ac:dyDescent="0.3">
      <c r="A601" s="85" t="str">
        <f t="shared" si="582"/>
        <v/>
      </c>
      <c r="C601" s="87"/>
      <c r="E601" s="87"/>
      <c r="H601" s="87"/>
      <c r="I601" s="87"/>
      <c r="O601" s="90" t="str">
        <f t="shared" si="583"/>
        <v/>
      </c>
      <c r="Q601" s="91" t="str">
        <f t="shared" si="588"/>
        <v/>
      </c>
      <c r="R601" s="91" t="str">
        <f t="shared" si="591"/>
        <v/>
      </c>
      <c r="S601" s="92" t="str">
        <f t="shared" si="589"/>
        <v/>
      </c>
      <c r="T601" s="93"/>
      <c r="U601" s="94" t="str">
        <f t="shared" si="587"/>
        <v/>
      </c>
      <c r="X601" s="96"/>
      <c r="Y601" s="97" t="str">
        <f t="shared" si="579"/>
        <v/>
      </c>
      <c r="Z601" s="98" t="str">
        <f>SUBSTITUTE('Digitas UK Task 26'!$O601, "Complet", "Not Requir")</f>
        <v/>
      </c>
      <c r="AA601" s="98" t="str">
        <f t="shared" si="578"/>
        <v/>
      </c>
      <c r="AB601" s="99"/>
      <c r="AF601" s="84" t="str">
        <f t="shared" si="590"/>
        <v/>
      </c>
      <c r="AH601" s="84" t="str">
        <f t="shared" si="580"/>
        <v/>
      </c>
      <c r="AI601" s="84" t="str">
        <f t="shared" si="581"/>
        <v/>
      </c>
      <c r="AJ601" s="84" t="str">
        <f>IF(Z601&lt;&gt;"Done","",(_xlfn.CONCAT("PL_",DigitasUKAdOp_26Team[[#This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02" spans="1:36" ht="15.75" customHeight="1" x14ac:dyDescent="0.3">
      <c r="A602" s="85" t="str">
        <f t="shared" si="582"/>
        <v/>
      </c>
      <c r="C602" s="87"/>
      <c r="E602" s="87"/>
      <c r="H602" s="87"/>
      <c r="I602" s="87"/>
      <c r="O602" s="90" t="str">
        <f t="shared" si="583"/>
        <v/>
      </c>
      <c r="Q602" s="91" t="str">
        <f t="shared" si="588"/>
        <v/>
      </c>
      <c r="R602" s="91" t="str">
        <f t="shared" si="591"/>
        <v/>
      </c>
      <c r="S602" s="92" t="str">
        <f t="shared" si="589"/>
        <v/>
      </c>
      <c r="T602" s="93"/>
      <c r="U602" s="94" t="str">
        <f t="shared" si="587"/>
        <v/>
      </c>
      <c r="X602" s="96"/>
      <c r="Y602" s="97" t="str">
        <f t="shared" si="579"/>
        <v/>
      </c>
      <c r="Z602" s="98" t="str">
        <f>SUBSTITUTE('Digitas UK Task 26'!$O602, "Complet", "Not Requir")</f>
        <v/>
      </c>
      <c r="AA602" s="98" t="str">
        <f t="shared" si="578"/>
        <v/>
      </c>
      <c r="AB602" s="99"/>
      <c r="AF602" s="84" t="str">
        <f t="shared" si="590"/>
        <v/>
      </c>
      <c r="AH602" s="84" t="str">
        <f t="shared" si="580"/>
        <v/>
      </c>
      <c r="AI602" s="84" t="str">
        <f t="shared" si="581"/>
        <v/>
      </c>
      <c r="AJ602" s="84" t="str">
        <f>IF(Z602&lt;&gt;"Done","",(_xlfn.CONCAT("PL_",DigitasUKAdOp_26Team[[#This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03" spans="1:36" ht="15.75" customHeight="1" x14ac:dyDescent="0.3">
      <c r="A603" s="85" t="str">
        <f t="shared" si="582"/>
        <v/>
      </c>
      <c r="C603" s="87"/>
      <c r="E603" s="87"/>
      <c r="H603" s="87"/>
      <c r="I603" s="87"/>
      <c r="O603" s="90" t="str">
        <f t="shared" si="583"/>
        <v/>
      </c>
      <c r="Q603" s="91" t="str">
        <f t="shared" si="588"/>
        <v/>
      </c>
      <c r="R603" s="91" t="str">
        <f t="shared" si="591"/>
        <v/>
      </c>
      <c r="S603" s="92" t="str">
        <f t="shared" si="589"/>
        <v/>
      </c>
      <c r="T603" s="93"/>
      <c r="U603" s="94" t="str">
        <f t="shared" si="587"/>
        <v/>
      </c>
      <c r="X603" s="96"/>
      <c r="Y603" s="97" t="str">
        <f t="shared" si="579"/>
        <v/>
      </c>
      <c r="Z603" s="98" t="str">
        <f>SUBSTITUTE('Digitas UK Task 26'!$O603, "Complet", "Not Requir")</f>
        <v/>
      </c>
      <c r="AA603" s="98" t="str">
        <f t="shared" si="578"/>
        <v/>
      </c>
      <c r="AB603" s="99"/>
      <c r="AF603" s="84" t="str">
        <f t="shared" si="590"/>
        <v/>
      </c>
      <c r="AH603" s="84" t="str">
        <f t="shared" si="580"/>
        <v/>
      </c>
      <c r="AI603" s="84" t="str">
        <f t="shared" si="581"/>
        <v/>
      </c>
      <c r="AJ603" s="84" t="str">
        <f>IF(Z603&lt;&gt;"Done","",(_xlfn.CONCAT("PL_",DigitasUKAdOp_26Team[[#This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04" spans="1:36" ht="15.75" customHeight="1" x14ac:dyDescent="0.3">
      <c r="A604" s="85" t="str">
        <f t="shared" si="582"/>
        <v/>
      </c>
      <c r="C604" s="87"/>
      <c r="E604" s="87"/>
      <c r="H604" s="87"/>
      <c r="I604" s="87"/>
      <c r="O604" s="90" t="str">
        <f t="shared" si="583"/>
        <v/>
      </c>
      <c r="Q604" s="91" t="str">
        <f t="shared" si="588"/>
        <v/>
      </c>
      <c r="R604" s="91" t="str">
        <f t="shared" si="591"/>
        <v/>
      </c>
      <c r="S604" s="92" t="str">
        <f t="shared" si="589"/>
        <v/>
      </c>
      <c r="T604" s="93"/>
      <c r="U604" s="94" t="str">
        <f t="shared" si="587"/>
        <v/>
      </c>
      <c r="X604" s="96"/>
      <c r="Y604" s="97" t="str">
        <f t="shared" si="579"/>
        <v/>
      </c>
      <c r="Z604" s="98" t="str">
        <f>SUBSTITUTE('Digitas UK Task 26'!$O604, "Complet", "Not Requir")</f>
        <v/>
      </c>
      <c r="AA604" s="98" t="str">
        <f t="shared" si="578"/>
        <v/>
      </c>
      <c r="AB604" s="99"/>
      <c r="AF604" s="84" t="str">
        <f t="shared" si="590"/>
        <v/>
      </c>
      <c r="AH604" s="84" t="str">
        <f t="shared" si="580"/>
        <v/>
      </c>
      <c r="AI604" s="84" t="str">
        <f t="shared" si="581"/>
        <v/>
      </c>
      <c r="AJ604" s="84" t="str">
        <f>IF(Z604&lt;&gt;"Done","",(_xlfn.CONCAT("PL_",DigitasUKAdOp_26Team[[#This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05" spans="1:36" ht="15.75" customHeight="1" x14ac:dyDescent="0.3">
      <c r="A605" s="85" t="str">
        <f t="shared" si="582"/>
        <v/>
      </c>
      <c r="C605" s="87"/>
      <c r="E605" s="87"/>
      <c r="H605" s="87"/>
      <c r="I605" s="87"/>
      <c r="O605" s="90" t="str">
        <f t="shared" si="583"/>
        <v/>
      </c>
      <c r="Q605" s="91" t="str">
        <f t="shared" si="588"/>
        <v/>
      </c>
      <c r="R605" s="91" t="str">
        <f t="shared" si="591"/>
        <v/>
      </c>
      <c r="S605" s="92" t="str">
        <f t="shared" si="589"/>
        <v/>
      </c>
      <c r="T605" s="93"/>
      <c r="U605" s="94" t="str">
        <f t="shared" si="587"/>
        <v/>
      </c>
      <c r="X605" s="96"/>
      <c r="Y605" s="97" t="str">
        <f t="shared" si="579"/>
        <v/>
      </c>
      <c r="Z605" s="98" t="str">
        <f>SUBSTITUTE('Digitas UK Task 26'!$O605, "Complet", "Not Requir")</f>
        <v/>
      </c>
      <c r="AA605" s="98" t="str">
        <f t="shared" si="578"/>
        <v/>
      </c>
      <c r="AB605" s="99"/>
      <c r="AF605" s="84" t="str">
        <f t="shared" si="590"/>
        <v/>
      </c>
      <c r="AH605" s="84" t="str">
        <f t="shared" si="580"/>
        <v/>
      </c>
      <c r="AI605" s="84" t="str">
        <f t="shared" si="581"/>
        <v/>
      </c>
      <c r="AJ605" s="84" t="str">
        <f>IF(Z605&lt;&gt;"Done","",(_xlfn.CONCAT("PL_",DigitasUKAdOp_26Team[[#This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06" spans="1:36" ht="15.75" customHeight="1" x14ac:dyDescent="0.3">
      <c r="A606" s="85" t="str">
        <f t="shared" si="582"/>
        <v/>
      </c>
      <c r="C606" s="87"/>
      <c r="E606" s="87"/>
      <c r="H606" s="87"/>
      <c r="I606" s="87"/>
      <c r="O606" s="90" t="str">
        <f t="shared" si="583"/>
        <v/>
      </c>
      <c r="Q606" s="91" t="str">
        <f t="shared" si="588"/>
        <v/>
      </c>
      <c r="R606" s="91" t="str">
        <f t="shared" si="591"/>
        <v/>
      </c>
      <c r="S606" s="92" t="str">
        <f t="shared" si="589"/>
        <v/>
      </c>
      <c r="T606" s="93"/>
      <c r="U606" s="94" t="str">
        <f t="shared" si="587"/>
        <v/>
      </c>
      <c r="X606" s="96"/>
      <c r="Y606" s="97" t="str">
        <f t="shared" si="579"/>
        <v/>
      </c>
      <c r="Z606" s="98" t="str">
        <f>SUBSTITUTE('Digitas UK Task 26'!$O606, "Complet", "Not Requir")</f>
        <v/>
      </c>
      <c r="AA606" s="98" t="str">
        <f t="shared" si="578"/>
        <v/>
      </c>
      <c r="AB606" s="99"/>
      <c r="AF606" s="84" t="str">
        <f t="shared" si="590"/>
        <v/>
      </c>
      <c r="AH606" s="84" t="str">
        <f t="shared" si="580"/>
        <v/>
      </c>
      <c r="AI606" s="84" t="str">
        <f t="shared" si="581"/>
        <v/>
      </c>
      <c r="AJ606" s="84" t="str">
        <f>IF(Z606&lt;&gt;"Done","",(_xlfn.CONCAT("PL_",DigitasUKAdOp_26Team[[#This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07" spans="1:36" ht="15.75" customHeight="1" x14ac:dyDescent="0.3">
      <c r="A607" s="85" t="str">
        <f t="shared" si="582"/>
        <v/>
      </c>
      <c r="C607" s="87"/>
      <c r="E607" s="87"/>
      <c r="H607" s="87"/>
      <c r="I607" s="87"/>
      <c r="O607" s="90" t="str">
        <f t="shared" si="583"/>
        <v/>
      </c>
      <c r="Q607" s="91" t="str">
        <f t="shared" si="588"/>
        <v/>
      </c>
      <c r="R607" s="91" t="str">
        <f t="shared" si="591"/>
        <v/>
      </c>
      <c r="S607" s="92" t="str">
        <f t="shared" si="589"/>
        <v/>
      </c>
      <c r="T607" s="93"/>
      <c r="U607" s="94" t="str">
        <f t="shared" si="587"/>
        <v/>
      </c>
      <c r="X607" s="96"/>
      <c r="Y607" s="97" t="str">
        <f t="shared" si="579"/>
        <v/>
      </c>
      <c r="Z607" s="98" t="str">
        <f>SUBSTITUTE('Digitas UK Task 26'!$O607, "Complet", "Not Requir")</f>
        <v/>
      </c>
      <c r="AA607" s="98" t="str">
        <f t="shared" si="578"/>
        <v/>
      </c>
      <c r="AB607" s="99"/>
      <c r="AF607" s="84" t="str">
        <f t="shared" si="590"/>
        <v/>
      </c>
      <c r="AH607" s="84" t="str">
        <f t="shared" si="580"/>
        <v/>
      </c>
      <c r="AI607" s="84" t="str">
        <f t="shared" si="581"/>
        <v/>
      </c>
      <c r="AJ607" s="84" t="str">
        <f>IF(Z607&lt;&gt;"Done","",(_xlfn.CONCAT("PL_",DigitasUKAdOp_26Team[[#This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08" spans="1:36" ht="15.75" customHeight="1" x14ac:dyDescent="0.3">
      <c r="A608" s="85" t="str">
        <f t="shared" si="582"/>
        <v/>
      </c>
      <c r="C608" s="87"/>
      <c r="E608" s="87"/>
      <c r="H608" s="87"/>
      <c r="I608" s="87"/>
      <c r="O608" s="90" t="str">
        <f t="shared" si="583"/>
        <v/>
      </c>
      <c r="Q608" s="91" t="str">
        <f t="shared" si="588"/>
        <v/>
      </c>
      <c r="R608" s="91" t="str">
        <f t="shared" si="591"/>
        <v/>
      </c>
      <c r="S608" s="92" t="str">
        <f t="shared" si="589"/>
        <v/>
      </c>
      <c r="T608" s="93"/>
      <c r="U608" s="94" t="str">
        <f t="shared" si="587"/>
        <v/>
      </c>
      <c r="X608" s="96"/>
      <c r="Y608" s="97" t="str">
        <f t="shared" si="579"/>
        <v/>
      </c>
      <c r="Z608" s="98" t="str">
        <f>SUBSTITUTE('Digitas UK Task 26'!$O608, "Complet", "Not Requir")</f>
        <v/>
      </c>
      <c r="AA608" s="98" t="str">
        <f t="shared" si="578"/>
        <v/>
      </c>
      <c r="AB608" s="99"/>
      <c r="AF608" s="84" t="str">
        <f t="shared" si="590"/>
        <v/>
      </c>
      <c r="AH608" s="84" t="str">
        <f t="shared" si="580"/>
        <v/>
      </c>
      <c r="AI608" s="84" t="str">
        <f t="shared" si="581"/>
        <v/>
      </c>
      <c r="AJ608" s="84" t="str">
        <f>IF(Z608&lt;&gt;"Done","",(_xlfn.CONCAT("PL_",DigitasUKAdOp_26Team[[#This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09" spans="1:36" ht="15.75" customHeight="1" x14ac:dyDescent="0.3">
      <c r="A609" s="85" t="str">
        <f t="shared" si="582"/>
        <v/>
      </c>
      <c r="C609" s="87"/>
      <c r="E609" s="87"/>
      <c r="H609" s="87"/>
      <c r="I609" s="87"/>
      <c r="O609" s="90" t="str">
        <f t="shared" si="583"/>
        <v/>
      </c>
      <c r="Q609" s="91" t="str">
        <f t="shared" si="588"/>
        <v/>
      </c>
      <c r="R609" s="91" t="str">
        <f t="shared" si="591"/>
        <v/>
      </c>
      <c r="S609" s="92" t="str">
        <f t="shared" si="589"/>
        <v/>
      </c>
      <c r="T609" s="93"/>
      <c r="U609" s="94" t="str">
        <f t="shared" si="587"/>
        <v/>
      </c>
      <c r="X609" s="96"/>
      <c r="Y609" s="97" t="str">
        <f t="shared" si="579"/>
        <v/>
      </c>
      <c r="Z609" s="98" t="str">
        <f>SUBSTITUTE('Digitas UK Task 26'!$O609, "Complet", "Not Requir")</f>
        <v/>
      </c>
      <c r="AA609" s="98" t="str">
        <f t="shared" si="578"/>
        <v/>
      </c>
      <c r="AB609" s="99"/>
      <c r="AF609" s="84" t="str">
        <f t="shared" si="590"/>
        <v/>
      </c>
      <c r="AH609" s="84" t="str">
        <f t="shared" si="580"/>
        <v/>
      </c>
      <c r="AI609" s="84" t="str">
        <f t="shared" si="581"/>
        <v/>
      </c>
      <c r="AJ609" s="84" t="str">
        <f>IF(Z609&lt;&gt;"Done","",(_xlfn.CONCAT("PL_",DigitasUKAdOp_26Team[[#This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10" spans="1:36" ht="15.75" customHeight="1" x14ac:dyDescent="0.3">
      <c r="A610" s="85" t="str">
        <f t="shared" si="582"/>
        <v/>
      </c>
      <c r="C610" s="87"/>
      <c r="E610" s="87"/>
      <c r="H610" s="87"/>
      <c r="I610" s="87"/>
      <c r="O610" s="90" t="str">
        <f t="shared" si="583"/>
        <v/>
      </c>
      <c r="Q610" s="91" t="str">
        <f t="shared" si="588"/>
        <v/>
      </c>
      <c r="R610" s="91" t="str">
        <f t="shared" si="591"/>
        <v/>
      </c>
      <c r="S610" s="92" t="str">
        <f t="shared" si="589"/>
        <v/>
      </c>
      <c r="T610" s="93"/>
      <c r="U610" s="94" t="str">
        <f t="shared" si="587"/>
        <v/>
      </c>
      <c r="X610" s="96"/>
      <c r="Y610" s="97" t="str">
        <f t="shared" si="579"/>
        <v/>
      </c>
      <c r="Z610" s="98" t="str">
        <f>SUBSTITUTE('Digitas UK Task 26'!$O610, "Complet", "Not Requir")</f>
        <v/>
      </c>
      <c r="AA610" s="98" t="str">
        <f t="shared" si="578"/>
        <v/>
      </c>
      <c r="AB610" s="99"/>
      <c r="AF610" s="84" t="str">
        <f t="shared" si="590"/>
        <v/>
      </c>
      <c r="AH610" s="84" t="str">
        <f t="shared" si="580"/>
        <v/>
      </c>
      <c r="AI610" s="84" t="str">
        <f t="shared" si="581"/>
        <v/>
      </c>
      <c r="AJ610" s="84" t="str">
        <f>IF(Z610&lt;&gt;"Done","",(_xlfn.CONCAT("PL_",DigitasUKAdOp_26Team[[#This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11" spans="1:36" ht="15.75" customHeight="1" x14ac:dyDescent="0.3">
      <c r="A611" s="85" t="str">
        <f t="shared" ref="A611:A674" si="592">IF(B611="","",TEXT(B611,"MMM : DDDD"))</f>
        <v/>
      </c>
      <c r="C611" s="87"/>
      <c r="E611" s="87"/>
      <c r="H611" s="87"/>
      <c r="I611" s="87"/>
      <c r="O611" s="90" t="str">
        <f t="shared" si="583"/>
        <v/>
      </c>
      <c r="Q611" s="91" t="str">
        <f t="shared" si="588"/>
        <v/>
      </c>
      <c r="R611" s="91" t="str">
        <f t="shared" si="591"/>
        <v/>
      </c>
      <c r="S611" s="92" t="str">
        <f t="shared" si="589"/>
        <v/>
      </c>
      <c r="T611" s="93"/>
      <c r="U611" s="94" t="str">
        <f t="shared" ref="U611:U674" si="593">IF(O611="Completed","Pending","")</f>
        <v/>
      </c>
      <c r="X611" s="96"/>
      <c r="Y611" s="97" t="str">
        <f t="shared" si="579"/>
        <v/>
      </c>
      <c r="Z611" s="98" t="str">
        <f>SUBSTITUTE('Digitas UK Task 26'!$O611, "Complet", "Not Requir")</f>
        <v/>
      </c>
      <c r="AA611" s="98" t="str">
        <f t="shared" ref="AA611:AA674" si="594">IF(G611="","",G611)</f>
        <v/>
      </c>
      <c r="AB611" s="99"/>
      <c r="AF611" s="84" t="str">
        <f t="shared" si="590"/>
        <v/>
      </c>
      <c r="AH611" s="84" t="str">
        <f t="shared" si="580"/>
        <v/>
      </c>
      <c r="AI611" s="84" t="str">
        <f t="shared" si="581"/>
        <v/>
      </c>
      <c r="AJ611" s="84" t="str">
        <f>IF(Z611&lt;&gt;"Done","",(_xlfn.CONCAT("PL_",DigitasUKAdOp_26Team[[#This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12" spans="1:36" ht="15.75" customHeight="1" x14ac:dyDescent="0.3">
      <c r="A612" s="85" t="str">
        <f t="shared" si="592"/>
        <v/>
      </c>
      <c r="C612" s="87"/>
      <c r="E612" s="87"/>
      <c r="H612" s="87"/>
      <c r="I612" s="87"/>
      <c r="O612" s="90" t="str">
        <f t="shared" si="583"/>
        <v/>
      </c>
      <c r="Q612" s="91" t="str">
        <f t="shared" si="588"/>
        <v/>
      </c>
      <c r="R612" s="91" t="str">
        <f t="shared" si="591"/>
        <v/>
      </c>
      <c r="S612" s="92" t="str">
        <f t="shared" si="589"/>
        <v/>
      </c>
      <c r="T612" s="93"/>
      <c r="U612" s="94" t="str">
        <f t="shared" si="593"/>
        <v/>
      </c>
      <c r="X612" s="96"/>
      <c r="Y612" s="97" t="str">
        <f t="shared" si="579"/>
        <v/>
      </c>
      <c r="Z612" s="98" t="str">
        <f>SUBSTITUTE('Digitas UK Task 26'!$O612, "Complet", "Not Requir")</f>
        <v/>
      </c>
      <c r="AA612" s="98" t="str">
        <f t="shared" si="594"/>
        <v/>
      </c>
      <c r="AB612" s="99"/>
      <c r="AF612" s="84" t="str">
        <f t="shared" si="590"/>
        <v/>
      </c>
      <c r="AH612" s="84" t="str">
        <f t="shared" si="580"/>
        <v/>
      </c>
      <c r="AI612" s="84" t="str">
        <f t="shared" si="581"/>
        <v/>
      </c>
      <c r="AJ612" s="84" t="str">
        <f>IF(Z612&lt;&gt;"Done","",(_xlfn.CONCAT("PL_",DigitasUKAdOp_26Team[[#This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13" spans="1:36" ht="15.75" customHeight="1" x14ac:dyDescent="0.3">
      <c r="A613" s="85" t="str">
        <f t="shared" si="592"/>
        <v/>
      </c>
      <c r="C613" s="87"/>
      <c r="E613" s="87"/>
      <c r="H613" s="87"/>
      <c r="I613" s="87"/>
      <c r="O613" s="90" t="str">
        <f t="shared" si="583"/>
        <v/>
      </c>
      <c r="Q613" s="91" t="str">
        <f t="shared" si="588"/>
        <v/>
      </c>
      <c r="R613" s="91" t="str">
        <f t="shared" si="591"/>
        <v/>
      </c>
      <c r="S613" s="92" t="str">
        <f t="shared" si="589"/>
        <v/>
      </c>
      <c r="T613" s="93"/>
      <c r="U613" s="94" t="str">
        <f t="shared" si="593"/>
        <v/>
      </c>
      <c r="X613" s="96"/>
      <c r="Y613" s="97" t="str">
        <f t="shared" si="579"/>
        <v/>
      </c>
      <c r="Z613" s="98" t="str">
        <f>SUBSTITUTE('Digitas UK Task 26'!$O613, "Complet", "Not Requir")</f>
        <v/>
      </c>
      <c r="AA613" s="98" t="str">
        <f t="shared" si="594"/>
        <v/>
      </c>
      <c r="AB613" s="99"/>
      <c r="AF613" s="84" t="str">
        <f t="shared" si="590"/>
        <v/>
      </c>
      <c r="AH613" s="84" t="str">
        <f t="shared" si="580"/>
        <v/>
      </c>
      <c r="AI613" s="84" t="str">
        <f t="shared" si="581"/>
        <v/>
      </c>
      <c r="AJ613" s="84" t="str">
        <f>IF(Z613&lt;&gt;"Done","",(_xlfn.CONCAT("PL_",DigitasUKAdOp_26Team[[#This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14" spans="1:36" ht="15.75" customHeight="1" x14ac:dyDescent="0.3">
      <c r="A614" s="85" t="str">
        <f t="shared" si="592"/>
        <v/>
      </c>
      <c r="C614" s="87"/>
      <c r="E614" s="87"/>
      <c r="H614" s="87"/>
      <c r="I614" s="87"/>
      <c r="O614" s="90" t="str">
        <f t="shared" si="583"/>
        <v/>
      </c>
      <c r="Q614" s="91" t="str">
        <f t="shared" si="588"/>
        <v/>
      </c>
      <c r="R614" s="91" t="str">
        <f t="shared" si="591"/>
        <v/>
      </c>
      <c r="S614" s="92" t="str">
        <f t="shared" si="589"/>
        <v/>
      </c>
      <c r="T614" s="93"/>
      <c r="U614" s="94" t="str">
        <f t="shared" si="593"/>
        <v/>
      </c>
      <c r="X614" s="96"/>
      <c r="Y614" s="97" t="str">
        <f t="shared" si="579"/>
        <v/>
      </c>
      <c r="Z614" s="98" t="str">
        <f>SUBSTITUTE('Digitas UK Task 26'!$O614, "Complet", "Not Requir")</f>
        <v/>
      </c>
      <c r="AA614" s="98" t="str">
        <f t="shared" si="594"/>
        <v/>
      </c>
      <c r="AB614" s="99"/>
      <c r="AF614" s="84" t="str">
        <f t="shared" si="590"/>
        <v/>
      </c>
      <c r="AH614" s="84" t="str">
        <f t="shared" si="580"/>
        <v/>
      </c>
      <c r="AI614" s="84" t="str">
        <f t="shared" si="581"/>
        <v/>
      </c>
      <c r="AJ614" s="84" t="str">
        <f>IF(Z614&lt;&gt;"Done","",(_xlfn.CONCAT("PL_",DigitasUKAdOp_26Team[[#This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15" spans="1:36" ht="15.75" customHeight="1" x14ac:dyDescent="0.3">
      <c r="A615" s="85" t="str">
        <f t="shared" si="592"/>
        <v/>
      </c>
      <c r="C615" s="87"/>
      <c r="E615" s="87"/>
      <c r="H615" s="87"/>
      <c r="I615" s="87"/>
      <c r="O615" s="90" t="str">
        <f t="shared" si="583"/>
        <v/>
      </c>
      <c r="Q615" s="91" t="str">
        <f t="shared" si="588"/>
        <v/>
      </c>
      <c r="R615" s="91" t="str">
        <f t="shared" si="591"/>
        <v/>
      </c>
      <c r="S615" s="92" t="str">
        <f t="shared" si="589"/>
        <v/>
      </c>
      <c r="T615" s="93"/>
      <c r="U615" s="94" t="str">
        <f t="shared" si="593"/>
        <v/>
      </c>
      <c r="X615" s="96"/>
      <c r="Y615" s="97" t="str">
        <f t="shared" ref="Y615:Y678" si="595">IF(M615="","",M615)</f>
        <v/>
      </c>
      <c r="Z615" s="98" t="str">
        <f>SUBSTITUTE('Digitas UK Task 26'!$O615, "Complet", "Not Requir")</f>
        <v/>
      </c>
      <c r="AA615" s="98" t="str">
        <f t="shared" si="594"/>
        <v/>
      </c>
      <c r="AB615" s="99"/>
      <c r="AF615" s="84" t="str">
        <f t="shared" si="590"/>
        <v/>
      </c>
      <c r="AH615" s="84" t="str">
        <f t="shared" si="580"/>
        <v/>
      </c>
      <c r="AI615" s="84" t="str">
        <f t="shared" si="581"/>
        <v/>
      </c>
      <c r="AJ615" s="84" t="str">
        <f>IF(Z615&lt;&gt;"Done","",(_xlfn.CONCAT("PL_",DigitasUKAdOp_26Team[[#This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16" spans="1:36" ht="15.75" customHeight="1" x14ac:dyDescent="0.3">
      <c r="A616" s="85" t="str">
        <f t="shared" si="592"/>
        <v/>
      </c>
      <c r="C616" s="87"/>
      <c r="E616" s="87"/>
      <c r="H616" s="87"/>
      <c r="I616" s="87"/>
      <c r="O616" s="90" t="str">
        <f t="shared" si="583"/>
        <v/>
      </c>
      <c r="Q616" s="91" t="str">
        <f t="shared" si="588"/>
        <v/>
      </c>
      <c r="R616" s="91" t="str">
        <f t="shared" si="591"/>
        <v/>
      </c>
      <c r="S616" s="92" t="str">
        <f t="shared" si="589"/>
        <v/>
      </c>
      <c r="T616" s="93"/>
      <c r="U616" s="94" t="str">
        <f t="shared" si="593"/>
        <v/>
      </c>
      <c r="X616" s="96"/>
      <c r="Y616" s="97" t="str">
        <f t="shared" si="595"/>
        <v/>
      </c>
      <c r="Z616" s="98" t="str">
        <f>SUBSTITUTE('Digitas UK Task 26'!$O616, "Complet", "Not Requir")</f>
        <v/>
      </c>
      <c r="AA616" s="98" t="str">
        <f t="shared" si="594"/>
        <v/>
      </c>
      <c r="AB616" s="99"/>
      <c r="AF616" s="84" t="str">
        <f t="shared" si="590"/>
        <v/>
      </c>
      <c r="AH616" s="84" t="str">
        <f t="shared" si="580"/>
        <v/>
      </c>
      <c r="AI616" s="84" t="str">
        <f t="shared" si="581"/>
        <v/>
      </c>
      <c r="AJ616" s="84" t="str">
        <f>IF(Z616&lt;&gt;"Done","",(_xlfn.CONCAT("PL_",DigitasUKAdOp_26Team[[#This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17" spans="1:36" ht="15.75" customHeight="1" x14ac:dyDescent="0.3">
      <c r="A617" s="85" t="str">
        <f t="shared" si="592"/>
        <v/>
      </c>
      <c r="C617" s="87"/>
      <c r="E617" s="87"/>
      <c r="H617" s="87"/>
      <c r="I617" s="87"/>
      <c r="O617" s="90" t="str">
        <f t="shared" si="583"/>
        <v/>
      </c>
      <c r="Q617" s="91" t="str">
        <f t="shared" si="588"/>
        <v/>
      </c>
      <c r="R617" s="91" t="str">
        <f t="shared" si="591"/>
        <v/>
      </c>
      <c r="S617" s="92" t="str">
        <f t="shared" si="589"/>
        <v/>
      </c>
      <c r="T617" s="93"/>
      <c r="U617" s="94" t="str">
        <f t="shared" si="593"/>
        <v/>
      </c>
      <c r="X617" s="96"/>
      <c r="Y617" s="97" t="str">
        <f t="shared" si="595"/>
        <v/>
      </c>
      <c r="Z617" s="98" t="str">
        <f>SUBSTITUTE('Digitas UK Task 26'!$O617, "Complet", "Not Requir")</f>
        <v/>
      </c>
      <c r="AA617" s="98" t="str">
        <f t="shared" si="594"/>
        <v/>
      </c>
      <c r="AB617" s="99"/>
      <c r="AF617" s="84" t="str">
        <f t="shared" si="590"/>
        <v/>
      </c>
      <c r="AH617" s="84" t="str">
        <f t="shared" si="580"/>
        <v/>
      </c>
      <c r="AI617" s="84" t="str">
        <f t="shared" si="581"/>
        <v/>
      </c>
      <c r="AJ617" s="84" t="str">
        <f>IF(Z617&lt;&gt;"Done","",(_xlfn.CONCAT("PL_",DigitasUKAdOp_26Team[[#This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18" spans="1:36" ht="15.75" customHeight="1" x14ac:dyDescent="0.3">
      <c r="A618" s="85" t="str">
        <f t="shared" si="592"/>
        <v/>
      </c>
      <c r="C618" s="87"/>
      <c r="E618" s="87"/>
      <c r="H618" s="87"/>
      <c r="I618" s="87"/>
      <c r="O618" s="90" t="str">
        <f t="shared" si="583"/>
        <v/>
      </c>
      <c r="Q618" s="91" t="str">
        <f t="shared" si="588"/>
        <v/>
      </c>
      <c r="R618" s="91" t="str">
        <f t="shared" si="591"/>
        <v/>
      </c>
      <c r="S618" s="92" t="str">
        <f t="shared" si="589"/>
        <v/>
      </c>
      <c r="T618" s="93"/>
      <c r="U618" s="94" t="str">
        <f t="shared" si="593"/>
        <v/>
      </c>
      <c r="X618" s="96"/>
      <c r="Y618" s="97" t="str">
        <f t="shared" si="595"/>
        <v/>
      </c>
      <c r="Z618" s="98" t="str">
        <f>SUBSTITUTE('Digitas UK Task 26'!$O618, "Complet", "Not Requir")</f>
        <v/>
      </c>
      <c r="AA618" s="98" t="str">
        <f t="shared" si="594"/>
        <v/>
      </c>
      <c r="AB618" s="99"/>
      <c r="AF618" s="84" t="str">
        <f t="shared" si="590"/>
        <v/>
      </c>
      <c r="AH618" s="84" t="str">
        <f t="shared" si="580"/>
        <v/>
      </c>
      <c r="AI618" s="84" t="str">
        <f t="shared" si="581"/>
        <v/>
      </c>
      <c r="AJ618" s="84" t="str">
        <f>IF(Z618&lt;&gt;"Done","",(_xlfn.CONCAT("PL_",DigitasUKAdOp_26Team[[#This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19" spans="1:36" ht="15.75" customHeight="1" x14ac:dyDescent="0.3">
      <c r="A619" s="85" t="str">
        <f t="shared" si="592"/>
        <v/>
      </c>
      <c r="C619" s="87"/>
      <c r="E619" s="87"/>
      <c r="H619" s="87"/>
      <c r="I619" s="87"/>
      <c r="O619" s="90" t="str">
        <f t="shared" si="583"/>
        <v/>
      </c>
      <c r="Q619" s="91" t="str">
        <f t="shared" si="588"/>
        <v/>
      </c>
      <c r="R619" s="91" t="str">
        <f t="shared" si="591"/>
        <v/>
      </c>
      <c r="S619" s="92" t="str">
        <f t="shared" si="589"/>
        <v/>
      </c>
      <c r="T619" s="93"/>
      <c r="U619" s="94" t="str">
        <f t="shared" si="593"/>
        <v/>
      </c>
      <c r="X619" s="96"/>
      <c r="Y619" s="97" t="str">
        <f t="shared" si="595"/>
        <v/>
      </c>
      <c r="Z619" s="98" t="str">
        <f>SUBSTITUTE('Digitas UK Task 26'!$O619, "Complet", "Not Requir")</f>
        <v/>
      </c>
      <c r="AA619" s="98" t="str">
        <f t="shared" si="594"/>
        <v/>
      </c>
      <c r="AB619" s="99"/>
      <c r="AF619" s="84" t="str">
        <f t="shared" si="590"/>
        <v/>
      </c>
      <c r="AH619" s="84" t="str">
        <f t="shared" si="580"/>
        <v/>
      </c>
      <c r="AI619" s="84" t="str">
        <f t="shared" si="581"/>
        <v/>
      </c>
      <c r="AJ619" s="84" t="str">
        <f>IF(Z619&lt;&gt;"Done","",(_xlfn.CONCAT("PL_",DigitasUKAdOp_26Team[[#This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20" spans="1:36" ht="15.75" customHeight="1" x14ac:dyDescent="0.3">
      <c r="A620" s="85" t="str">
        <f t="shared" si="592"/>
        <v/>
      </c>
      <c r="C620" s="87"/>
      <c r="E620" s="87"/>
      <c r="H620" s="87"/>
      <c r="I620" s="87"/>
      <c r="O620" s="90" t="str">
        <f t="shared" si="583"/>
        <v/>
      </c>
      <c r="Q620" s="91" t="str">
        <f t="shared" si="588"/>
        <v/>
      </c>
      <c r="R620" s="91" t="str">
        <f t="shared" si="591"/>
        <v/>
      </c>
      <c r="S620" s="92" t="str">
        <f t="shared" si="589"/>
        <v/>
      </c>
      <c r="T620" s="93"/>
      <c r="U620" s="94" t="str">
        <f t="shared" si="593"/>
        <v/>
      </c>
      <c r="X620" s="96"/>
      <c r="Y620" s="97" t="str">
        <f t="shared" si="595"/>
        <v/>
      </c>
      <c r="Z620" s="98" t="str">
        <f>SUBSTITUTE('Digitas UK Task 26'!$O620, "Complet", "Not Requir")</f>
        <v/>
      </c>
      <c r="AA620" s="98" t="str">
        <f t="shared" si="594"/>
        <v/>
      </c>
      <c r="AB620" s="99"/>
      <c r="AF620" s="84" t="str">
        <f t="shared" si="590"/>
        <v/>
      </c>
      <c r="AH620" s="84" t="str">
        <f t="shared" si="580"/>
        <v/>
      </c>
      <c r="AI620" s="84" t="str">
        <f t="shared" si="581"/>
        <v/>
      </c>
      <c r="AJ620" s="84" t="str">
        <f>IF(Z620&lt;&gt;"Done","",(_xlfn.CONCAT("PL_",DigitasUKAdOp_26Team[[#This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21" spans="1:36" ht="15.75" customHeight="1" x14ac:dyDescent="0.3">
      <c r="A621" s="85" t="str">
        <f t="shared" si="592"/>
        <v/>
      </c>
      <c r="C621" s="87"/>
      <c r="E621" s="87"/>
      <c r="H621" s="87"/>
      <c r="I621" s="87"/>
      <c r="O621" s="90" t="str">
        <f t="shared" si="583"/>
        <v/>
      </c>
      <c r="Q621" s="91" t="str">
        <f t="shared" si="588"/>
        <v/>
      </c>
      <c r="R621" s="91" t="str">
        <f t="shared" si="591"/>
        <v/>
      </c>
      <c r="S621" s="92" t="str">
        <f t="shared" si="589"/>
        <v/>
      </c>
      <c r="T621" s="93"/>
      <c r="U621" s="94" t="str">
        <f t="shared" si="593"/>
        <v/>
      </c>
      <c r="X621" s="96"/>
      <c r="Y621" s="97" t="str">
        <f t="shared" si="595"/>
        <v/>
      </c>
      <c r="Z621" s="98" t="str">
        <f>SUBSTITUTE('Digitas UK Task 26'!$O621, "Complet", "Not Requir")</f>
        <v/>
      </c>
      <c r="AA621" s="98" t="str">
        <f t="shared" si="594"/>
        <v/>
      </c>
      <c r="AB621" s="99"/>
      <c r="AF621" s="84" t="str">
        <f t="shared" si="590"/>
        <v/>
      </c>
      <c r="AH621" s="84" t="str">
        <f t="shared" si="580"/>
        <v/>
      </c>
      <c r="AI621" s="84" t="str">
        <f t="shared" si="581"/>
        <v/>
      </c>
      <c r="AJ621" s="84" t="str">
        <f>IF(Z621&lt;&gt;"Done","",(_xlfn.CONCAT("PL_",DigitasUKAdOp_26Team[[#This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22" spans="1:36" ht="15.75" customHeight="1" x14ac:dyDescent="0.3">
      <c r="A622" s="85" t="str">
        <f t="shared" si="592"/>
        <v/>
      </c>
      <c r="C622" s="87"/>
      <c r="E622" s="87"/>
      <c r="H622" s="87"/>
      <c r="I622" s="87"/>
      <c r="O622" s="90" t="str">
        <f t="shared" si="583"/>
        <v/>
      </c>
      <c r="Q622" s="91" t="str">
        <f t="shared" si="588"/>
        <v/>
      </c>
      <c r="R622" s="91" t="str">
        <f t="shared" si="591"/>
        <v/>
      </c>
      <c r="S622" s="92" t="str">
        <f t="shared" si="589"/>
        <v/>
      </c>
      <c r="T622" s="93"/>
      <c r="U622" s="94" t="str">
        <f t="shared" si="593"/>
        <v/>
      </c>
      <c r="X622" s="96"/>
      <c r="Y622" s="97" t="str">
        <f t="shared" si="595"/>
        <v/>
      </c>
      <c r="Z622" s="98" t="str">
        <f>SUBSTITUTE('Digitas UK Task 26'!$O622, "Complet", "Not Requir")</f>
        <v/>
      </c>
      <c r="AA622" s="98" t="str">
        <f t="shared" si="594"/>
        <v/>
      </c>
      <c r="AB622" s="99"/>
      <c r="AF622" s="84" t="str">
        <f t="shared" si="590"/>
        <v/>
      </c>
      <c r="AH622" s="84" t="str">
        <f t="shared" si="580"/>
        <v/>
      </c>
      <c r="AI622" s="84" t="str">
        <f t="shared" si="581"/>
        <v/>
      </c>
      <c r="AJ622" s="84" t="str">
        <f>IF(Z622&lt;&gt;"Done","",(_xlfn.CONCAT("PL_",DigitasUKAdOp_26Team[[#This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23" spans="1:36" ht="15.75" customHeight="1" x14ac:dyDescent="0.3">
      <c r="A623" s="85" t="str">
        <f t="shared" si="592"/>
        <v/>
      </c>
      <c r="C623" s="87"/>
      <c r="E623" s="87"/>
      <c r="H623" s="87"/>
      <c r="I623" s="87"/>
      <c r="O623" s="90" t="str">
        <f t="shared" si="583"/>
        <v/>
      </c>
      <c r="Q623" s="91" t="str">
        <f t="shared" si="588"/>
        <v/>
      </c>
      <c r="R623" s="91" t="str">
        <f t="shared" si="591"/>
        <v/>
      </c>
      <c r="S623" s="92" t="str">
        <f t="shared" si="589"/>
        <v/>
      </c>
      <c r="T623" s="93"/>
      <c r="U623" s="94" t="str">
        <f t="shared" si="593"/>
        <v/>
      </c>
      <c r="X623" s="96"/>
      <c r="Y623" s="97" t="str">
        <f t="shared" si="595"/>
        <v/>
      </c>
      <c r="Z623" s="98" t="str">
        <f>SUBSTITUTE('Digitas UK Task 26'!$O623, "Complet", "Not Requir")</f>
        <v/>
      </c>
      <c r="AA623" s="98" t="str">
        <f t="shared" si="594"/>
        <v/>
      </c>
      <c r="AB623" s="99"/>
      <c r="AF623" s="84" t="str">
        <f t="shared" si="590"/>
        <v/>
      </c>
      <c r="AH623" s="84" t="str">
        <f t="shared" ref="AH623:AH686" si="596">IF(B623="","",_xlfn.CONCAT("PL_",J623,"_CR_",K623,"_AD_",L623,"_Jira_",IF(AND(C623="P&amp;G",ISNUMBER(SEARCH("TAAGPNG-",G623))),MID(G623,SEARCH("TAAGPNG-",G623)+8,LEN(G623)-SEARCH("TAAGPNG-",G623)-7),"0"),"_"))</f>
        <v/>
      </c>
      <c r="AI623" s="84" t="str">
        <f t="shared" si="581"/>
        <v/>
      </c>
      <c r="AJ623" s="84" t="str">
        <f>IF(Z623&lt;&gt;"Done","",(_xlfn.CONCAT("PL_",DigitasUKAdOp_26Team[[#This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24" spans="1:36" ht="15.75" customHeight="1" x14ac:dyDescent="0.3">
      <c r="A624" s="85" t="str">
        <f t="shared" si="592"/>
        <v/>
      </c>
      <c r="C624" s="87"/>
      <c r="E624" s="87"/>
      <c r="H624" s="87"/>
      <c r="I624" s="87"/>
      <c r="O624" s="90" t="str">
        <f t="shared" si="583"/>
        <v/>
      </c>
      <c r="Q624" s="91" t="str">
        <f t="shared" si="588"/>
        <v/>
      </c>
      <c r="R624" s="91" t="str">
        <f t="shared" si="591"/>
        <v/>
      </c>
      <c r="S624" s="92" t="str">
        <f t="shared" si="589"/>
        <v/>
      </c>
      <c r="T624" s="93"/>
      <c r="U624" s="94" t="str">
        <f t="shared" si="593"/>
        <v/>
      </c>
      <c r="X624" s="96"/>
      <c r="Y624" s="97" t="str">
        <f t="shared" si="595"/>
        <v/>
      </c>
      <c r="Z624" s="98" t="str">
        <f>SUBSTITUTE('Digitas UK Task 26'!$O624, "Complet", "Not Requir")</f>
        <v/>
      </c>
      <c r="AA624" s="98" t="str">
        <f t="shared" si="594"/>
        <v/>
      </c>
      <c r="AB624" s="99"/>
      <c r="AF624" s="84" t="str">
        <f t="shared" si="590"/>
        <v/>
      </c>
      <c r="AH624" s="84" t="str">
        <f t="shared" si="596"/>
        <v/>
      </c>
      <c r="AI624" s="84" t="str">
        <f t="shared" si="581"/>
        <v/>
      </c>
      <c r="AJ624" s="84" t="str">
        <f>IF(Z624&lt;&gt;"Done","",(_xlfn.CONCAT("PL_",DigitasUKAdOp_26Team[[#This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25" spans="1:36" ht="15.75" customHeight="1" x14ac:dyDescent="0.3">
      <c r="A625" s="85" t="str">
        <f t="shared" si="592"/>
        <v/>
      </c>
      <c r="C625" s="87"/>
      <c r="E625" s="87"/>
      <c r="H625" s="87"/>
      <c r="I625" s="87"/>
      <c r="O625" s="90" t="str">
        <f t="shared" si="583"/>
        <v/>
      </c>
      <c r="Q625" s="91" t="str">
        <f t="shared" si="588"/>
        <v/>
      </c>
      <c r="R625" s="91" t="str">
        <f t="shared" si="591"/>
        <v/>
      </c>
      <c r="S625" s="92" t="str">
        <f t="shared" si="589"/>
        <v/>
      </c>
      <c r="T625" s="93"/>
      <c r="U625" s="94" t="str">
        <f t="shared" si="593"/>
        <v/>
      </c>
      <c r="X625" s="96"/>
      <c r="Y625" s="97" t="str">
        <f t="shared" si="595"/>
        <v/>
      </c>
      <c r="Z625" s="98" t="str">
        <f>SUBSTITUTE('Digitas UK Task 26'!$O625, "Complet", "Not Requir")</f>
        <v/>
      </c>
      <c r="AA625" s="98" t="str">
        <f t="shared" si="594"/>
        <v/>
      </c>
      <c r="AB625" s="99"/>
      <c r="AF625" s="84" t="str">
        <f t="shared" si="590"/>
        <v/>
      </c>
      <c r="AH625" s="84" t="str">
        <f t="shared" si="596"/>
        <v/>
      </c>
      <c r="AI625" s="84" t="str">
        <f t="shared" si="581"/>
        <v/>
      </c>
      <c r="AJ625" s="84" t="str">
        <f>IF(Z625&lt;&gt;"Done","",(_xlfn.CONCAT("PL_",DigitasUKAdOp_26Team[[#This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26" spans="1:36" ht="15.75" customHeight="1" x14ac:dyDescent="0.3">
      <c r="A626" s="85" t="str">
        <f t="shared" si="592"/>
        <v/>
      </c>
      <c r="C626" s="87"/>
      <c r="E626" s="87"/>
      <c r="H626" s="87"/>
      <c r="I626" s="87"/>
      <c r="O626" s="90" t="str">
        <f t="shared" si="583"/>
        <v/>
      </c>
      <c r="Q626" s="91" t="str">
        <f t="shared" si="588"/>
        <v/>
      </c>
      <c r="R626" s="91" t="str">
        <f t="shared" si="591"/>
        <v/>
      </c>
      <c r="S626" s="92" t="str">
        <f t="shared" si="589"/>
        <v/>
      </c>
      <c r="T626" s="93"/>
      <c r="U626" s="94" t="str">
        <f t="shared" si="593"/>
        <v/>
      </c>
      <c r="X626" s="96"/>
      <c r="Y626" s="97" t="str">
        <f t="shared" si="595"/>
        <v/>
      </c>
      <c r="Z626" s="98" t="str">
        <f>SUBSTITUTE('Digitas UK Task 26'!$O626, "Complet", "Not Requir")</f>
        <v/>
      </c>
      <c r="AA626" s="98" t="str">
        <f t="shared" si="594"/>
        <v/>
      </c>
      <c r="AB626" s="99"/>
      <c r="AF626" s="84" t="str">
        <f t="shared" si="590"/>
        <v/>
      </c>
      <c r="AH626" s="84" t="str">
        <f t="shared" si="596"/>
        <v/>
      </c>
      <c r="AI626" s="84" t="str">
        <f t="shared" si="581"/>
        <v/>
      </c>
      <c r="AJ626" s="84" t="str">
        <f>IF(Z626&lt;&gt;"Done","",(_xlfn.CONCAT("PL_",DigitasUKAdOp_26Team[[#This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27" spans="1:36" ht="15.75" customHeight="1" x14ac:dyDescent="0.3">
      <c r="A627" s="85" t="str">
        <f t="shared" si="592"/>
        <v/>
      </c>
      <c r="C627" s="87"/>
      <c r="E627" s="87"/>
      <c r="H627" s="87"/>
      <c r="I627" s="87"/>
      <c r="O627" s="90" t="str">
        <f t="shared" si="583"/>
        <v/>
      </c>
      <c r="Q627" s="91" t="str">
        <f t="shared" si="588"/>
        <v/>
      </c>
      <c r="R627" s="91" t="str">
        <f t="shared" si="591"/>
        <v/>
      </c>
      <c r="S627" s="92" t="str">
        <f t="shared" si="589"/>
        <v/>
      </c>
      <c r="T627" s="93"/>
      <c r="U627" s="94" t="str">
        <f t="shared" si="593"/>
        <v/>
      </c>
      <c r="X627" s="96"/>
      <c r="Y627" s="97" t="str">
        <f t="shared" si="595"/>
        <v/>
      </c>
      <c r="Z627" s="98" t="str">
        <f>SUBSTITUTE('Digitas UK Task 26'!$O627, "Complet", "Not Requir")</f>
        <v/>
      </c>
      <c r="AA627" s="98" t="str">
        <f t="shared" si="594"/>
        <v/>
      </c>
      <c r="AB627" s="99"/>
      <c r="AF627" s="84" t="str">
        <f t="shared" si="590"/>
        <v/>
      </c>
      <c r="AH627" s="84" t="str">
        <f t="shared" si="596"/>
        <v/>
      </c>
      <c r="AI627" s="84" t="str">
        <f t="shared" si="581"/>
        <v/>
      </c>
      <c r="AJ627" s="84" t="str">
        <f>IF(Z627&lt;&gt;"Done","",(_xlfn.CONCAT("PL_",DigitasUKAdOp_26Team[[#This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28" spans="1:36" ht="15.75" customHeight="1" x14ac:dyDescent="0.3">
      <c r="A628" s="85" t="str">
        <f t="shared" si="592"/>
        <v/>
      </c>
      <c r="C628" s="87"/>
      <c r="E628" s="87"/>
      <c r="H628" s="87"/>
      <c r="I628" s="87"/>
      <c r="O628" s="90" t="str">
        <f t="shared" si="583"/>
        <v/>
      </c>
      <c r="Q628" s="91" t="str">
        <f t="shared" si="588"/>
        <v/>
      </c>
      <c r="R628" s="91" t="str">
        <f t="shared" si="591"/>
        <v/>
      </c>
      <c r="S628" s="92" t="str">
        <f t="shared" si="589"/>
        <v/>
      </c>
      <c r="T628" s="93"/>
      <c r="U628" s="94" t="str">
        <f t="shared" si="593"/>
        <v/>
      </c>
      <c r="X628" s="96"/>
      <c r="Y628" s="97" t="str">
        <f t="shared" si="595"/>
        <v/>
      </c>
      <c r="Z628" s="98" t="str">
        <f>SUBSTITUTE('Digitas UK Task 26'!$O628, "Complet", "Not Requir")</f>
        <v/>
      </c>
      <c r="AA628" s="98" t="str">
        <f t="shared" si="594"/>
        <v/>
      </c>
      <c r="AB628" s="99"/>
      <c r="AF628" s="84" t="str">
        <f t="shared" si="590"/>
        <v/>
      </c>
      <c r="AH628" s="84" t="str">
        <f t="shared" si="596"/>
        <v/>
      </c>
      <c r="AI628" s="84" t="str">
        <f t="shared" si="581"/>
        <v/>
      </c>
      <c r="AJ628" s="84" t="str">
        <f>IF(Z628&lt;&gt;"Done","",(_xlfn.CONCAT("PL_",DigitasUKAdOp_26Team[[#This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29" spans="1:36" ht="15.75" customHeight="1" x14ac:dyDescent="0.3">
      <c r="A629" s="85" t="str">
        <f t="shared" si="592"/>
        <v/>
      </c>
      <c r="C629" s="87"/>
      <c r="E629" s="87"/>
      <c r="H629" s="87"/>
      <c r="I629" s="87"/>
      <c r="O629" s="90" t="str">
        <f t="shared" si="583"/>
        <v/>
      </c>
      <c r="Q629" s="91" t="str">
        <f t="shared" si="588"/>
        <v/>
      </c>
      <c r="R629" s="91" t="str">
        <f t="shared" si="591"/>
        <v/>
      </c>
      <c r="S629" s="92" t="str">
        <f t="shared" si="589"/>
        <v/>
      </c>
      <c r="T629" s="93"/>
      <c r="U629" s="94" t="str">
        <f t="shared" si="593"/>
        <v/>
      </c>
      <c r="X629" s="96"/>
      <c r="Y629" s="97" t="str">
        <f t="shared" si="595"/>
        <v/>
      </c>
      <c r="Z629" s="98" t="str">
        <f>SUBSTITUTE('Digitas UK Task 26'!$O629, "Complet", "Not Requir")</f>
        <v/>
      </c>
      <c r="AA629" s="98" t="str">
        <f t="shared" si="594"/>
        <v/>
      </c>
      <c r="AB629" s="99"/>
      <c r="AF629" s="84" t="str">
        <f t="shared" si="590"/>
        <v/>
      </c>
      <c r="AH629" s="84" t="str">
        <f t="shared" si="596"/>
        <v/>
      </c>
      <c r="AI629" s="84" t="str">
        <f t="shared" ref="AI629:AI692" si="597">IF(U629&lt;&gt;"Done","",_xlfn.CONCAT("PL_",J629,"_CR_",K629,"_AD_",L629,"_Jira_",IF(AND(C629="P&amp;G",ISNUMBER(SEARCH("TAAGPNG-",G629))),MID(G629,SEARCH("TAAGPNG-",G629)+8,LEN(G629)-SEARCH("TAAGPNG-",G629)-7),"0"),"_"))</f>
        <v/>
      </c>
      <c r="AJ629" s="84" t="str">
        <f>IF(Z629&lt;&gt;"Done","",(_xlfn.CONCAT("PL_",DigitasUKAdOp_26Team[[#This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30" spans="1:36" ht="15.75" customHeight="1" x14ac:dyDescent="0.3">
      <c r="A630" s="85" t="str">
        <f t="shared" si="592"/>
        <v/>
      </c>
      <c r="C630" s="87"/>
      <c r="E630" s="87"/>
      <c r="H630" s="87"/>
      <c r="I630" s="87"/>
      <c r="O630" s="90" t="str">
        <f t="shared" si="583"/>
        <v/>
      </c>
      <c r="Q630" s="91" t="str">
        <f t="shared" si="588"/>
        <v/>
      </c>
      <c r="R630" s="91" t="str">
        <f t="shared" si="591"/>
        <v/>
      </c>
      <c r="S630" s="92" t="str">
        <f t="shared" si="589"/>
        <v/>
      </c>
      <c r="T630" s="93"/>
      <c r="U630" s="94" t="str">
        <f t="shared" si="593"/>
        <v/>
      </c>
      <c r="X630" s="96"/>
      <c r="Y630" s="97" t="str">
        <f t="shared" si="595"/>
        <v/>
      </c>
      <c r="Z630" s="98" t="str">
        <f>SUBSTITUTE('Digitas UK Task 26'!$O630, "Complet", "Not Requir")</f>
        <v/>
      </c>
      <c r="AA630" s="98" t="str">
        <f t="shared" si="594"/>
        <v/>
      </c>
      <c r="AB630" s="99"/>
      <c r="AF630" s="84" t="str">
        <f t="shared" si="590"/>
        <v/>
      </c>
      <c r="AH630" s="84" t="str">
        <f t="shared" si="596"/>
        <v/>
      </c>
      <c r="AI630" s="84" t="str">
        <f t="shared" si="597"/>
        <v/>
      </c>
      <c r="AJ630" s="84" t="str">
        <f>IF(Z630&lt;&gt;"Done","",(_xlfn.CONCAT("PL_",DigitasUKAdOp_26Team[[#This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31" spans="1:36" ht="15.75" customHeight="1" x14ac:dyDescent="0.3">
      <c r="A631" s="85" t="str">
        <f t="shared" si="592"/>
        <v/>
      </c>
      <c r="C631" s="87"/>
      <c r="E631" s="87"/>
      <c r="H631" s="87"/>
      <c r="I631" s="87"/>
      <c r="O631" s="90" t="str">
        <f t="shared" ref="O631:O694" si="598">IF(F631="","","In-process")</f>
        <v/>
      </c>
      <c r="Q631" s="91" t="str">
        <f t="shared" si="588"/>
        <v/>
      </c>
      <c r="R631" s="91" t="str">
        <f t="shared" si="591"/>
        <v/>
      </c>
      <c r="S631" s="92" t="str">
        <f t="shared" si="589"/>
        <v/>
      </c>
      <c r="T631" s="93"/>
      <c r="U631" s="94" t="str">
        <f t="shared" si="593"/>
        <v/>
      </c>
      <c r="X631" s="96"/>
      <c r="Y631" s="97" t="str">
        <f t="shared" si="595"/>
        <v/>
      </c>
      <c r="Z631" s="98" t="str">
        <f>SUBSTITUTE('Digitas UK Task 26'!$O631, "Complet", "Not Requir")</f>
        <v/>
      </c>
      <c r="AA631" s="98" t="str">
        <f t="shared" si="594"/>
        <v/>
      </c>
      <c r="AB631" s="99"/>
      <c r="AF631" s="84" t="str">
        <f t="shared" si="590"/>
        <v/>
      </c>
      <c r="AH631" s="84" t="str">
        <f t="shared" si="596"/>
        <v/>
      </c>
      <c r="AI631" s="84" t="str">
        <f t="shared" si="597"/>
        <v/>
      </c>
      <c r="AJ631" s="84" t="str">
        <f>IF(Z631&lt;&gt;"Done","",(_xlfn.CONCAT("PL_",DigitasUKAdOp_26Team[[#This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32" spans="1:36" ht="15.75" customHeight="1" x14ac:dyDescent="0.3">
      <c r="A632" s="85" t="str">
        <f t="shared" si="592"/>
        <v/>
      </c>
      <c r="C632" s="87"/>
      <c r="E632" s="87"/>
      <c r="H632" s="87"/>
      <c r="I632" s="87"/>
      <c r="O632" s="90" t="str">
        <f t="shared" si="598"/>
        <v/>
      </c>
      <c r="Q632" s="91" t="str">
        <f t="shared" si="588"/>
        <v/>
      </c>
      <c r="R632" s="91" t="str">
        <f t="shared" si="591"/>
        <v/>
      </c>
      <c r="S632" s="92" t="str">
        <f t="shared" si="589"/>
        <v/>
      </c>
      <c r="T632" s="93"/>
      <c r="U632" s="94" t="str">
        <f t="shared" si="593"/>
        <v/>
      </c>
      <c r="X632" s="96"/>
      <c r="Y632" s="97" t="str">
        <f t="shared" si="595"/>
        <v/>
      </c>
      <c r="Z632" s="98" t="str">
        <f>SUBSTITUTE('Digitas UK Task 26'!$O632, "Complet", "Not Requir")</f>
        <v/>
      </c>
      <c r="AA632" s="98" t="str">
        <f t="shared" si="594"/>
        <v/>
      </c>
      <c r="AB632" s="99"/>
      <c r="AF632" s="84" t="str">
        <f t="shared" si="590"/>
        <v/>
      </c>
      <c r="AH632" s="84" t="str">
        <f t="shared" si="596"/>
        <v/>
      </c>
      <c r="AI632" s="84" t="str">
        <f t="shared" si="597"/>
        <v/>
      </c>
      <c r="AJ632" s="84" t="str">
        <f>IF(Z632&lt;&gt;"Done","",(_xlfn.CONCAT("PL_",DigitasUKAdOp_26Team[[#This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33" spans="1:36" ht="15.75" customHeight="1" x14ac:dyDescent="0.3">
      <c r="A633" s="85" t="str">
        <f t="shared" si="592"/>
        <v/>
      </c>
      <c r="C633" s="87"/>
      <c r="E633" s="87"/>
      <c r="H633" s="87"/>
      <c r="I633" s="87"/>
      <c r="O633" s="90" t="str">
        <f t="shared" si="598"/>
        <v/>
      </c>
      <c r="Q633" s="91" t="str">
        <f t="shared" si="588"/>
        <v/>
      </c>
      <c r="R633" s="91" t="str">
        <f t="shared" si="591"/>
        <v/>
      </c>
      <c r="S633" s="92" t="str">
        <f t="shared" si="589"/>
        <v/>
      </c>
      <c r="T633" s="93"/>
      <c r="U633" s="94" t="str">
        <f t="shared" si="593"/>
        <v/>
      </c>
      <c r="X633" s="96"/>
      <c r="Y633" s="97" t="str">
        <f t="shared" si="595"/>
        <v/>
      </c>
      <c r="Z633" s="98" t="str">
        <f>SUBSTITUTE('Digitas UK Task 26'!$O633, "Complet", "Not Requir")</f>
        <v/>
      </c>
      <c r="AA633" s="98" t="str">
        <f t="shared" si="594"/>
        <v/>
      </c>
      <c r="AB633" s="99"/>
      <c r="AF633" s="84" t="str">
        <f t="shared" si="590"/>
        <v/>
      </c>
      <c r="AH633" s="84" t="str">
        <f t="shared" si="596"/>
        <v/>
      </c>
      <c r="AI633" s="84" t="str">
        <f t="shared" si="597"/>
        <v/>
      </c>
      <c r="AJ633" s="84" t="str">
        <f>IF(Z633&lt;&gt;"Done","",(_xlfn.CONCAT("PL_",DigitasUKAdOp_26Team[[#This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34" spans="1:36" ht="15.75" customHeight="1" x14ac:dyDescent="0.3">
      <c r="A634" s="85" t="str">
        <f t="shared" si="592"/>
        <v/>
      </c>
      <c r="C634" s="87"/>
      <c r="E634" s="87"/>
      <c r="H634" s="87"/>
      <c r="I634" s="87"/>
      <c r="O634" s="90" t="str">
        <f t="shared" si="598"/>
        <v/>
      </c>
      <c r="Q634" s="91" t="str">
        <f t="shared" si="588"/>
        <v/>
      </c>
      <c r="R634" s="91" t="str">
        <f t="shared" si="591"/>
        <v/>
      </c>
      <c r="S634" s="92" t="str">
        <f t="shared" si="589"/>
        <v/>
      </c>
      <c r="T634" s="93"/>
      <c r="U634" s="94" t="str">
        <f t="shared" si="593"/>
        <v/>
      </c>
      <c r="X634" s="96"/>
      <c r="Y634" s="97" t="str">
        <f t="shared" si="595"/>
        <v/>
      </c>
      <c r="Z634" s="98" t="str">
        <f>SUBSTITUTE('Digitas UK Task 26'!$O634, "Complet", "Not Requir")</f>
        <v/>
      </c>
      <c r="AA634" s="98" t="str">
        <f t="shared" si="594"/>
        <v/>
      </c>
      <c r="AB634" s="99"/>
      <c r="AF634" s="84" t="str">
        <f t="shared" si="590"/>
        <v/>
      </c>
      <c r="AH634" s="84" t="str">
        <f t="shared" si="596"/>
        <v/>
      </c>
      <c r="AI634" s="84" t="str">
        <f t="shared" si="597"/>
        <v/>
      </c>
      <c r="AJ634" s="84" t="str">
        <f>IF(Z634&lt;&gt;"Done","",(_xlfn.CONCAT("PL_",DigitasUKAdOp_26Team[[#This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35" spans="1:36" ht="15.75" customHeight="1" x14ac:dyDescent="0.3">
      <c r="A635" s="85" t="str">
        <f t="shared" si="592"/>
        <v/>
      </c>
      <c r="C635" s="87"/>
      <c r="E635" s="87"/>
      <c r="H635" s="87"/>
      <c r="I635" s="87"/>
      <c r="O635" s="90" t="str">
        <f t="shared" si="598"/>
        <v/>
      </c>
      <c r="Q635" s="91" t="str">
        <f t="shared" si="588"/>
        <v/>
      </c>
      <c r="R635" s="91" t="str">
        <f t="shared" si="591"/>
        <v/>
      </c>
      <c r="S635" s="92" t="str">
        <f t="shared" si="589"/>
        <v/>
      </c>
      <c r="T635" s="93"/>
      <c r="U635" s="94" t="str">
        <f t="shared" si="593"/>
        <v/>
      </c>
      <c r="X635" s="96"/>
      <c r="Y635" s="97" t="str">
        <f t="shared" si="595"/>
        <v/>
      </c>
      <c r="Z635" s="98" t="str">
        <f>SUBSTITUTE('Digitas UK Task 26'!$O635, "Complet", "Not Requir")</f>
        <v/>
      </c>
      <c r="AA635" s="98" t="str">
        <f t="shared" si="594"/>
        <v/>
      </c>
      <c r="AB635" s="99"/>
      <c r="AF635" s="84" t="str">
        <f t="shared" si="590"/>
        <v/>
      </c>
      <c r="AH635" s="84" t="str">
        <f t="shared" si="596"/>
        <v/>
      </c>
      <c r="AI635" s="84" t="str">
        <f t="shared" si="597"/>
        <v/>
      </c>
      <c r="AJ635" s="84" t="str">
        <f>IF(Z635&lt;&gt;"Done","",(_xlfn.CONCAT("PL_",DigitasUKAdOp_26Team[[#This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36" spans="1:36" ht="15.75" customHeight="1" x14ac:dyDescent="0.3">
      <c r="A636" s="85" t="str">
        <f t="shared" si="592"/>
        <v/>
      </c>
      <c r="C636" s="87"/>
      <c r="E636" s="87"/>
      <c r="H636" s="87"/>
      <c r="I636" s="87"/>
      <c r="O636" s="90" t="str">
        <f t="shared" si="598"/>
        <v/>
      </c>
      <c r="Q636" s="91" t="str">
        <f t="shared" si="588"/>
        <v/>
      </c>
      <c r="R636" s="91" t="str">
        <f t="shared" si="591"/>
        <v/>
      </c>
      <c r="S636" s="92" t="str">
        <f t="shared" si="589"/>
        <v/>
      </c>
      <c r="T636" s="93"/>
      <c r="U636" s="94" t="str">
        <f t="shared" si="593"/>
        <v/>
      </c>
      <c r="X636" s="96"/>
      <c r="Y636" s="97" t="str">
        <f t="shared" si="595"/>
        <v/>
      </c>
      <c r="Z636" s="98" t="str">
        <f>SUBSTITUTE('Digitas UK Task 26'!$O636, "Complet", "Not Requir")</f>
        <v/>
      </c>
      <c r="AA636" s="98" t="str">
        <f t="shared" si="594"/>
        <v/>
      </c>
      <c r="AB636" s="99"/>
      <c r="AF636" s="84" t="str">
        <f t="shared" si="590"/>
        <v/>
      </c>
      <c r="AH636" s="84" t="str">
        <f t="shared" si="596"/>
        <v/>
      </c>
      <c r="AI636" s="84" t="str">
        <f t="shared" si="597"/>
        <v/>
      </c>
      <c r="AJ636" s="84" t="str">
        <f>IF(Z636&lt;&gt;"Done","",(_xlfn.CONCAT("PL_",DigitasUKAdOp_26Team[[#This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37" spans="1:36" ht="15.75" customHeight="1" x14ac:dyDescent="0.3">
      <c r="A637" s="85" t="str">
        <f t="shared" si="592"/>
        <v/>
      </c>
      <c r="C637" s="87"/>
      <c r="E637" s="87"/>
      <c r="H637" s="87"/>
      <c r="I637" s="87"/>
      <c r="O637" s="90" t="str">
        <f t="shared" si="598"/>
        <v/>
      </c>
      <c r="Q637" s="91" t="str">
        <f t="shared" si="588"/>
        <v/>
      </c>
      <c r="R637" s="91" t="str">
        <f t="shared" si="591"/>
        <v/>
      </c>
      <c r="S637" s="92" t="str">
        <f t="shared" si="589"/>
        <v/>
      </c>
      <c r="T637" s="93"/>
      <c r="U637" s="94" t="str">
        <f t="shared" si="593"/>
        <v/>
      </c>
      <c r="X637" s="96"/>
      <c r="Y637" s="97" t="str">
        <f t="shared" si="595"/>
        <v/>
      </c>
      <c r="Z637" s="98" t="str">
        <f>SUBSTITUTE('Digitas UK Task 26'!$O637, "Complet", "Not Requir")</f>
        <v/>
      </c>
      <c r="AA637" s="98" t="str">
        <f t="shared" si="594"/>
        <v/>
      </c>
      <c r="AB637" s="99"/>
      <c r="AF637" s="84" t="str">
        <f t="shared" si="590"/>
        <v/>
      </c>
      <c r="AH637" s="84" t="str">
        <f t="shared" si="596"/>
        <v/>
      </c>
      <c r="AI637" s="84" t="str">
        <f t="shared" si="597"/>
        <v/>
      </c>
      <c r="AJ637" s="84" t="str">
        <f>IF(Z637&lt;&gt;"Done","",(_xlfn.CONCAT("PL_",DigitasUKAdOp_26Team[[#This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38" spans="1:36" ht="15.75" customHeight="1" x14ac:dyDescent="0.3">
      <c r="A638" s="85" t="str">
        <f t="shared" si="592"/>
        <v/>
      </c>
      <c r="C638" s="87"/>
      <c r="E638" s="87"/>
      <c r="H638" s="87"/>
      <c r="I638" s="87"/>
      <c r="O638" s="90" t="str">
        <f t="shared" si="598"/>
        <v/>
      </c>
      <c r="Q638" s="91" t="str">
        <f t="shared" si="588"/>
        <v/>
      </c>
      <c r="R638" s="91" t="str">
        <f t="shared" si="591"/>
        <v/>
      </c>
      <c r="S638" s="92" t="str">
        <f t="shared" si="589"/>
        <v/>
      </c>
      <c r="T638" s="93"/>
      <c r="U638" s="94" t="str">
        <f t="shared" si="593"/>
        <v/>
      </c>
      <c r="X638" s="96"/>
      <c r="Y638" s="97" t="str">
        <f t="shared" si="595"/>
        <v/>
      </c>
      <c r="Z638" s="98" t="str">
        <f>SUBSTITUTE('Digitas UK Task 26'!$O638, "Complet", "Not Requir")</f>
        <v/>
      </c>
      <c r="AA638" s="98" t="str">
        <f t="shared" si="594"/>
        <v/>
      </c>
      <c r="AB638" s="99"/>
      <c r="AF638" s="84" t="str">
        <f t="shared" si="590"/>
        <v/>
      </c>
      <c r="AH638" s="84" t="str">
        <f t="shared" si="596"/>
        <v/>
      </c>
      <c r="AI638" s="84" t="str">
        <f t="shared" si="597"/>
        <v/>
      </c>
      <c r="AJ638" s="84" t="str">
        <f>IF(Z638&lt;&gt;"Done","",(_xlfn.CONCAT("PL_",DigitasUKAdOp_26Team[[#This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39" spans="1:36" ht="15.75" customHeight="1" x14ac:dyDescent="0.3">
      <c r="A639" s="85" t="str">
        <f t="shared" si="592"/>
        <v/>
      </c>
      <c r="C639" s="87"/>
      <c r="E639" s="87"/>
      <c r="H639" s="87"/>
      <c r="I639" s="87"/>
      <c r="O639" s="90" t="str">
        <f t="shared" si="598"/>
        <v/>
      </c>
      <c r="Q639" s="91" t="str">
        <f t="shared" si="588"/>
        <v/>
      </c>
      <c r="R639" s="91" t="str">
        <f t="shared" si="591"/>
        <v/>
      </c>
      <c r="S639" s="92" t="str">
        <f t="shared" si="589"/>
        <v/>
      </c>
      <c r="T639" s="93"/>
      <c r="U639" s="94" t="str">
        <f t="shared" si="593"/>
        <v/>
      </c>
      <c r="X639" s="96"/>
      <c r="Y639" s="97" t="str">
        <f t="shared" si="595"/>
        <v/>
      </c>
      <c r="Z639" s="98" t="str">
        <f>SUBSTITUTE('Digitas UK Task 26'!$O639, "Complet", "Not Requir")</f>
        <v/>
      </c>
      <c r="AA639" s="98" t="str">
        <f t="shared" si="594"/>
        <v/>
      </c>
      <c r="AB639" s="99"/>
      <c r="AF639" s="84" t="str">
        <f t="shared" si="590"/>
        <v/>
      </c>
      <c r="AH639" s="84" t="str">
        <f t="shared" si="596"/>
        <v/>
      </c>
      <c r="AI639" s="84" t="str">
        <f t="shared" si="597"/>
        <v/>
      </c>
      <c r="AJ639" s="84" t="str">
        <f>IF(Z639&lt;&gt;"Done","",(_xlfn.CONCAT("PL_",DigitasUKAdOp_26Team[[#This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40" spans="1:36" ht="15.75" customHeight="1" x14ac:dyDescent="0.3">
      <c r="A640" s="85" t="str">
        <f t="shared" si="592"/>
        <v/>
      </c>
      <c r="C640" s="87"/>
      <c r="E640" s="87"/>
      <c r="H640" s="87"/>
      <c r="I640" s="87"/>
      <c r="O640" s="90" t="str">
        <f t="shared" si="598"/>
        <v/>
      </c>
      <c r="Q640" s="91" t="str">
        <f t="shared" si="588"/>
        <v/>
      </c>
      <c r="R640" s="91" t="str">
        <f t="shared" si="591"/>
        <v/>
      </c>
      <c r="S640" s="92" t="str">
        <f t="shared" si="589"/>
        <v/>
      </c>
      <c r="T640" s="93"/>
      <c r="U640" s="94" t="str">
        <f t="shared" si="593"/>
        <v/>
      </c>
      <c r="X640" s="96"/>
      <c r="Y640" s="97" t="str">
        <f t="shared" si="595"/>
        <v/>
      </c>
      <c r="Z640" s="98" t="str">
        <f>SUBSTITUTE('Digitas UK Task 26'!$O640, "Complet", "Not Requir")</f>
        <v/>
      </c>
      <c r="AA640" s="98" t="str">
        <f t="shared" si="594"/>
        <v/>
      </c>
      <c r="AB640" s="99"/>
      <c r="AF640" s="84" t="str">
        <f t="shared" si="590"/>
        <v/>
      </c>
      <c r="AH640" s="84" t="str">
        <f t="shared" si="596"/>
        <v/>
      </c>
      <c r="AI640" s="84" t="str">
        <f t="shared" si="597"/>
        <v/>
      </c>
      <c r="AJ640" s="84" t="str">
        <f>IF(Z640&lt;&gt;"Done","",(_xlfn.CONCAT("PL_",DigitasUKAdOp_26Team[[#This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41" spans="1:36" ht="15.75" customHeight="1" x14ac:dyDescent="0.3">
      <c r="A641" s="85" t="str">
        <f t="shared" si="592"/>
        <v/>
      </c>
      <c r="C641" s="87"/>
      <c r="E641" s="87"/>
      <c r="H641" s="87"/>
      <c r="I641" s="87"/>
      <c r="O641" s="90" t="str">
        <f t="shared" si="598"/>
        <v/>
      </c>
      <c r="Q641" s="91" t="str">
        <f t="shared" si="588"/>
        <v/>
      </c>
      <c r="R641" s="91" t="str">
        <f t="shared" si="591"/>
        <v/>
      </c>
      <c r="S641" s="92" t="str">
        <f t="shared" si="589"/>
        <v/>
      </c>
      <c r="T641" s="93"/>
      <c r="U641" s="94" t="str">
        <f t="shared" si="593"/>
        <v/>
      </c>
      <c r="X641" s="96"/>
      <c r="Y641" s="97" t="str">
        <f t="shared" si="595"/>
        <v/>
      </c>
      <c r="Z641" s="98" t="str">
        <f>SUBSTITUTE('Digitas UK Task 26'!$O641, "Complet", "Not Requir")</f>
        <v/>
      </c>
      <c r="AA641" s="98" t="str">
        <f t="shared" si="594"/>
        <v/>
      </c>
      <c r="AB641" s="99"/>
      <c r="AF641" s="84" t="str">
        <f t="shared" si="590"/>
        <v/>
      </c>
      <c r="AH641" s="84" t="str">
        <f t="shared" si="596"/>
        <v/>
      </c>
      <c r="AI641" s="84" t="str">
        <f t="shared" si="597"/>
        <v/>
      </c>
      <c r="AJ641" s="84" t="str">
        <f>IF(Z641&lt;&gt;"Done","",(_xlfn.CONCAT("PL_",DigitasUKAdOp_26Team[[#This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42" spans="1:36" ht="15.75" customHeight="1" x14ac:dyDescent="0.3">
      <c r="A642" s="85" t="str">
        <f t="shared" si="592"/>
        <v/>
      </c>
      <c r="C642" s="87"/>
      <c r="E642" s="87"/>
      <c r="H642" s="87"/>
      <c r="I642" s="87"/>
      <c r="O642" s="90" t="str">
        <f t="shared" si="598"/>
        <v/>
      </c>
      <c r="Q642" s="91" t="str">
        <f t="shared" si="588"/>
        <v/>
      </c>
      <c r="R642" s="91" t="str">
        <f t="shared" si="591"/>
        <v/>
      </c>
      <c r="S642" s="92" t="str">
        <f t="shared" si="589"/>
        <v/>
      </c>
      <c r="T642" s="93"/>
      <c r="U642" s="94" t="str">
        <f t="shared" si="593"/>
        <v/>
      </c>
      <c r="X642" s="96"/>
      <c r="Y642" s="97" t="str">
        <f t="shared" si="595"/>
        <v/>
      </c>
      <c r="Z642" s="98" t="str">
        <f>SUBSTITUTE('Digitas UK Task 26'!$O642, "Complet", "Not Requir")</f>
        <v/>
      </c>
      <c r="AA642" s="98" t="str">
        <f t="shared" si="594"/>
        <v/>
      </c>
      <c r="AB642" s="99"/>
      <c r="AF642" s="84" t="str">
        <f t="shared" si="590"/>
        <v/>
      </c>
      <c r="AH642" s="84" t="str">
        <f t="shared" si="596"/>
        <v/>
      </c>
      <c r="AI642" s="84" t="str">
        <f t="shared" si="597"/>
        <v/>
      </c>
      <c r="AJ642" s="84" t="str">
        <f>IF(Z642&lt;&gt;"Done","",(_xlfn.CONCAT("PL_",DigitasUKAdOp_26Team[[#This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43" spans="1:36" ht="15.75" customHeight="1" x14ac:dyDescent="0.3">
      <c r="A643" s="85" t="str">
        <f t="shared" si="592"/>
        <v/>
      </c>
      <c r="C643" s="87"/>
      <c r="E643" s="87"/>
      <c r="H643" s="87"/>
      <c r="I643" s="87"/>
      <c r="O643" s="90" t="str">
        <f t="shared" si="598"/>
        <v/>
      </c>
      <c r="Q643" s="91" t="str">
        <f t="shared" si="588"/>
        <v/>
      </c>
      <c r="R643" s="91" t="str">
        <f t="shared" si="591"/>
        <v/>
      </c>
      <c r="S643" s="92" t="str">
        <f t="shared" si="589"/>
        <v/>
      </c>
      <c r="T643" s="93"/>
      <c r="U643" s="94" t="str">
        <f t="shared" si="593"/>
        <v/>
      </c>
      <c r="X643" s="96"/>
      <c r="Y643" s="97" t="str">
        <f t="shared" si="595"/>
        <v/>
      </c>
      <c r="Z643" s="98" t="str">
        <f>SUBSTITUTE('Digitas UK Task 26'!$O643, "Complet", "Not Requir")</f>
        <v/>
      </c>
      <c r="AA643" s="98" t="str">
        <f t="shared" si="594"/>
        <v/>
      </c>
      <c r="AB643" s="99"/>
      <c r="AF643" s="84" t="str">
        <f t="shared" si="590"/>
        <v/>
      </c>
      <c r="AH643" s="84" t="str">
        <f t="shared" si="596"/>
        <v/>
      </c>
      <c r="AI643" s="84" t="str">
        <f t="shared" si="597"/>
        <v/>
      </c>
      <c r="AJ643" s="84" t="str">
        <f>IF(Z643&lt;&gt;"Done","",(_xlfn.CONCAT("PL_",DigitasUKAdOp_26Team[[#This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44" spans="1:36" ht="15.75" customHeight="1" x14ac:dyDescent="0.3">
      <c r="A644" s="85" t="str">
        <f t="shared" si="592"/>
        <v/>
      </c>
      <c r="C644" s="87"/>
      <c r="E644" s="87"/>
      <c r="H644" s="87"/>
      <c r="I644" s="87"/>
      <c r="O644" s="90" t="str">
        <f t="shared" si="598"/>
        <v/>
      </c>
      <c r="Q644" s="91" t="str">
        <f t="shared" si="588"/>
        <v/>
      </c>
      <c r="R644" s="91" t="str">
        <f t="shared" si="591"/>
        <v/>
      </c>
      <c r="S644" s="92" t="str">
        <f t="shared" si="589"/>
        <v/>
      </c>
      <c r="T644" s="93"/>
      <c r="U644" s="94" t="str">
        <f t="shared" si="593"/>
        <v/>
      </c>
      <c r="X644" s="96"/>
      <c r="Y644" s="97" t="str">
        <f t="shared" si="595"/>
        <v/>
      </c>
      <c r="Z644" s="98" t="str">
        <f>SUBSTITUTE('Digitas UK Task 26'!$O644, "Complet", "Not Requir")</f>
        <v/>
      </c>
      <c r="AA644" s="98" t="str">
        <f t="shared" si="594"/>
        <v/>
      </c>
      <c r="AB644" s="99"/>
      <c r="AF644" s="84" t="str">
        <f t="shared" si="590"/>
        <v/>
      </c>
      <c r="AH644" s="84" t="str">
        <f t="shared" si="596"/>
        <v/>
      </c>
      <c r="AI644" s="84" t="str">
        <f t="shared" si="597"/>
        <v/>
      </c>
      <c r="AJ644" s="84" t="str">
        <f>IF(Z644&lt;&gt;"Done","",(_xlfn.CONCAT("PL_",DigitasUKAdOp_26Team[[#This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45" spans="1:36" ht="15.75" customHeight="1" x14ac:dyDescent="0.3">
      <c r="A645" s="85" t="str">
        <f t="shared" si="592"/>
        <v/>
      </c>
      <c r="C645" s="87"/>
      <c r="E645" s="87"/>
      <c r="H645" s="87"/>
      <c r="I645" s="87"/>
      <c r="O645" s="90" t="str">
        <f t="shared" si="598"/>
        <v/>
      </c>
      <c r="Q645" s="91" t="str">
        <f t="shared" si="588"/>
        <v/>
      </c>
      <c r="R645" s="91" t="str">
        <f t="shared" si="591"/>
        <v/>
      </c>
      <c r="S645" s="92" t="str">
        <f t="shared" si="589"/>
        <v/>
      </c>
      <c r="T645" s="93"/>
      <c r="U645" s="94" t="str">
        <f t="shared" si="593"/>
        <v/>
      </c>
      <c r="X645" s="96"/>
      <c r="Y645" s="97" t="str">
        <f t="shared" si="595"/>
        <v/>
      </c>
      <c r="Z645" s="98" t="str">
        <f>SUBSTITUTE('Digitas UK Task 26'!$O645, "Complet", "Not Requir")</f>
        <v/>
      </c>
      <c r="AA645" s="98" t="str">
        <f t="shared" si="594"/>
        <v/>
      </c>
      <c r="AB645" s="99"/>
      <c r="AF645" s="84" t="str">
        <f t="shared" si="590"/>
        <v/>
      </c>
      <c r="AH645" s="84" t="str">
        <f t="shared" si="596"/>
        <v/>
      </c>
      <c r="AI645" s="84" t="str">
        <f t="shared" si="597"/>
        <v/>
      </c>
      <c r="AJ645" s="84" t="str">
        <f>IF(Z645&lt;&gt;"Done","",(_xlfn.CONCAT("PL_",DigitasUKAdOp_26Team[[#This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46" spans="1:36" ht="15.75" customHeight="1" x14ac:dyDescent="0.3">
      <c r="A646" s="85" t="str">
        <f t="shared" si="592"/>
        <v/>
      </c>
      <c r="C646" s="87"/>
      <c r="E646" s="87"/>
      <c r="H646" s="87"/>
      <c r="I646" s="87"/>
      <c r="O646" s="90" t="str">
        <f t="shared" si="598"/>
        <v/>
      </c>
      <c r="Q646" s="91" t="str">
        <f t="shared" si="588"/>
        <v/>
      </c>
      <c r="R646" s="91" t="str">
        <f t="shared" si="591"/>
        <v/>
      </c>
      <c r="S646" s="92" t="str">
        <f t="shared" si="589"/>
        <v/>
      </c>
      <c r="T646" s="93"/>
      <c r="U646" s="94" t="str">
        <f t="shared" si="593"/>
        <v/>
      </c>
      <c r="X646" s="96"/>
      <c r="Y646" s="97" t="str">
        <f t="shared" si="595"/>
        <v/>
      </c>
      <c r="Z646" s="98" t="str">
        <f>SUBSTITUTE('Digitas UK Task 26'!$O646, "Complet", "Not Requir")</f>
        <v/>
      </c>
      <c r="AA646" s="98" t="str">
        <f t="shared" si="594"/>
        <v/>
      </c>
      <c r="AB646" s="99"/>
      <c r="AF646" s="84" t="str">
        <f t="shared" si="590"/>
        <v/>
      </c>
      <c r="AH646" s="84" t="str">
        <f t="shared" si="596"/>
        <v/>
      </c>
      <c r="AI646" s="84" t="str">
        <f t="shared" si="597"/>
        <v/>
      </c>
      <c r="AJ646" s="84" t="str">
        <f>IF(Z646&lt;&gt;"Done","",(_xlfn.CONCAT("PL_",DigitasUKAdOp_26Team[[#This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47" spans="1:36" ht="15.75" customHeight="1" x14ac:dyDescent="0.3">
      <c r="A647" s="85" t="str">
        <f t="shared" si="592"/>
        <v/>
      </c>
      <c r="C647" s="87"/>
      <c r="E647" s="87"/>
      <c r="H647" s="87"/>
      <c r="I647" s="87"/>
      <c r="O647" s="90" t="str">
        <f t="shared" si="598"/>
        <v/>
      </c>
      <c r="Q647" s="91" t="str">
        <f t="shared" si="588"/>
        <v/>
      </c>
      <c r="R647" s="91" t="str">
        <f t="shared" si="591"/>
        <v/>
      </c>
      <c r="S647" s="92" t="str">
        <f t="shared" si="589"/>
        <v/>
      </c>
      <c r="T647" s="93"/>
      <c r="U647" s="94" t="str">
        <f t="shared" si="593"/>
        <v/>
      </c>
      <c r="X647" s="96"/>
      <c r="Y647" s="97" t="str">
        <f t="shared" si="595"/>
        <v/>
      </c>
      <c r="Z647" s="98" t="str">
        <f>SUBSTITUTE('Digitas UK Task 26'!$O647, "Complet", "Not Requir")</f>
        <v/>
      </c>
      <c r="AA647" s="98" t="str">
        <f t="shared" si="594"/>
        <v/>
      </c>
      <c r="AB647" s="99"/>
      <c r="AF647" s="84" t="str">
        <f t="shared" si="590"/>
        <v/>
      </c>
      <c r="AH647" s="84" t="str">
        <f t="shared" si="596"/>
        <v/>
      </c>
      <c r="AI647" s="84" t="str">
        <f t="shared" si="597"/>
        <v/>
      </c>
      <c r="AJ647" s="84" t="str">
        <f>IF(Z647&lt;&gt;"Done","",(_xlfn.CONCAT("PL_",DigitasUKAdOp_26Team[[#This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48" spans="1:36" ht="15.75" customHeight="1" x14ac:dyDescent="0.3">
      <c r="A648" s="85" t="str">
        <f t="shared" si="592"/>
        <v/>
      </c>
      <c r="C648" s="87"/>
      <c r="E648" s="87"/>
      <c r="H648" s="87"/>
      <c r="I648" s="87"/>
      <c r="O648" s="90" t="str">
        <f t="shared" si="598"/>
        <v/>
      </c>
      <c r="Q648" s="91" t="str">
        <f t="shared" si="588"/>
        <v/>
      </c>
      <c r="R648" s="91" t="str">
        <f t="shared" si="591"/>
        <v/>
      </c>
      <c r="S648" s="92" t="str">
        <f t="shared" si="589"/>
        <v/>
      </c>
      <c r="T648" s="93"/>
      <c r="U648" s="94" t="str">
        <f t="shared" si="593"/>
        <v/>
      </c>
      <c r="X648" s="96"/>
      <c r="Y648" s="97" t="str">
        <f t="shared" si="595"/>
        <v/>
      </c>
      <c r="Z648" s="98" t="str">
        <f>SUBSTITUTE('Digitas UK Task 26'!$O648, "Complet", "Not Requir")</f>
        <v/>
      </c>
      <c r="AA648" s="98" t="str">
        <f t="shared" si="594"/>
        <v/>
      </c>
      <c r="AB648" s="99"/>
      <c r="AF648" s="84" t="str">
        <f t="shared" si="590"/>
        <v/>
      </c>
      <c r="AH648" s="84" t="str">
        <f t="shared" si="596"/>
        <v/>
      </c>
      <c r="AI648" s="84" t="str">
        <f t="shared" si="597"/>
        <v/>
      </c>
      <c r="AJ648" s="84" t="str">
        <f>IF(Z648&lt;&gt;"Done","",(_xlfn.CONCAT("PL_",DigitasUKAdOp_26Team[[#This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49" spans="1:36" ht="15.75" customHeight="1" x14ac:dyDescent="0.3">
      <c r="A649" s="85" t="str">
        <f t="shared" si="592"/>
        <v/>
      </c>
      <c r="C649" s="87"/>
      <c r="E649" s="87"/>
      <c r="H649" s="87"/>
      <c r="I649" s="87"/>
      <c r="O649" s="90" t="str">
        <f t="shared" si="598"/>
        <v/>
      </c>
      <c r="Q649" s="91" t="str">
        <f t="shared" si="588"/>
        <v/>
      </c>
      <c r="R649" s="91" t="str">
        <f t="shared" si="591"/>
        <v/>
      </c>
      <c r="S649" s="92" t="str">
        <f t="shared" si="589"/>
        <v/>
      </c>
      <c r="T649" s="93"/>
      <c r="U649" s="94" t="str">
        <f t="shared" si="593"/>
        <v/>
      </c>
      <c r="X649" s="96"/>
      <c r="Y649" s="97" t="str">
        <f t="shared" si="595"/>
        <v/>
      </c>
      <c r="Z649" s="98" t="str">
        <f>SUBSTITUTE('Digitas UK Task 26'!$O649, "Complet", "Not Requir")</f>
        <v/>
      </c>
      <c r="AA649" s="98" t="str">
        <f t="shared" si="594"/>
        <v/>
      </c>
      <c r="AB649" s="99"/>
      <c r="AF649" s="84" t="str">
        <f t="shared" si="590"/>
        <v/>
      </c>
      <c r="AH649" s="84" t="str">
        <f t="shared" si="596"/>
        <v/>
      </c>
      <c r="AI649" s="84" t="str">
        <f t="shared" si="597"/>
        <v/>
      </c>
      <c r="AJ649" s="84" t="str">
        <f>IF(Z649&lt;&gt;"Done","",(_xlfn.CONCAT("PL_",DigitasUKAdOp_26Team[[#This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50" spans="1:36" ht="15.75" customHeight="1" x14ac:dyDescent="0.3">
      <c r="A650" s="85" t="str">
        <f t="shared" si="592"/>
        <v/>
      </c>
      <c r="C650" s="87"/>
      <c r="E650" s="87"/>
      <c r="H650" s="87"/>
      <c r="I650" s="87"/>
      <c r="O650" s="90" t="str">
        <f t="shared" si="598"/>
        <v/>
      </c>
      <c r="Q650" s="91" t="str">
        <f t="shared" si="588"/>
        <v/>
      </c>
      <c r="R650" s="91" t="str">
        <f t="shared" si="591"/>
        <v/>
      </c>
      <c r="S650" s="92" t="str">
        <f t="shared" si="589"/>
        <v/>
      </c>
      <c r="T650" s="93"/>
      <c r="U650" s="94" t="str">
        <f t="shared" si="593"/>
        <v/>
      </c>
      <c r="X650" s="96"/>
      <c r="Y650" s="97" t="str">
        <f t="shared" si="595"/>
        <v/>
      </c>
      <c r="Z650" s="98" t="str">
        <f>SUBSTITUTE('Digitas UK Task 26'!$O650, "Complet", "Not Requir")</f>
        <v/>
      </c>
      <c r="AA650" s="98" t="str">
        <f t="shared" si="594"/>
        <v/>
      </c>
      <c r="AB650" s="99"/>
      <c r="AF650" s="84" t="str">
        <f t="shared" si="590"/>
        <v/>
      </c>
      <c r="AH650" s="84" t="str">
        <f t="shared" si="596"/>
        <v/>
      </c>
      <c r="AI650" s="84" t="str">
        <f t="shared" si="597"/>
        <v/>
      </c>
      <c r="AJ650" s="84" t="str">
        <f>IF(Z650&lt;&gt;"Done","",(_xlfn.CONCAT("PL_",DigitasUKAdOp_26Team[[#This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51" spans="1:36" ht="15.75" customHeight="1" x14ac:dyDescent="0.3">
      <c r="A651" s="85" t="str">
        <f t="shared" si="592"/>
        <v/>
      </c>
      <c r="C651" s="87"/>
      <c r="E651" s="87"/>
      <c r="H651" s="87"/>
      <c r="I651" s="87"/>
      <c r="O651" s="90" t="str">
        <f t="shared" si="598"/>
        <v/>
      </c>
      <c r="Q651" s="91" t="str">
        <f t="shared" si="588"/>
        <v/>
      </c>
      <c r="R651" s="91" t="str">
        <f t="shared" si="591"/>
        <v/>
      </c>
      <c r="S651" s="92" t="str">
        <f t="shared" si="589"/>
        <v/>
      </c>
      <c r="T651" s="93"/>
      <c r="U651" s="94" t="str">
        <f t="shared" si="593"/>
        <v/>
      </c>
      <c r="X651" s="96"/>
      <c r="Y651" s="97" t="str">
        <f t="shared" si="595"/>
        <v/>
      </c>
      <c r="Z651" s="98" t="str">
        <f>SUBSTITUTE('Digitas UK Task 26'!$O651, "Complet", "Not Requir")</f>
        <v/>
      </c>
      <c r="AA651" s="98" t="str">
        <f t="shared" si="594"/>
        <v/>
      </c>
      <c r="AB651" s="99"/>
      <c r="AF651" s="84" t="str">
        <f t="shared" si="590"/>
        <v/>
      </c>
      <c r="AH651" s="84" t="str">
        <f t="shared" si="596"/>
        <v/>
      </c>
      <c r="AI651" s="84" t="str">
        <f t="shared" si="597"/>
        <v/>
      </c>
      <c r="AJ651" s="84" t="str">
        <f>IF(Z651&lt;&gt;"Done","",(_xlfn.CONCAT("PL_",DigitasUKAdOp_26Team[[#This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52" spans="1:36" ht="15.75" customHeight="1" x14ac:dyDescent="0.3">
      <c r="A652" s="85" t="str">
        <f t="shared" si="592"/>
        <v/>
      </c>
      <c r="C652" s="87"/>
      <c r="E652" s="87"/>
      <c r="H652" s="87"/>
      <c r="I652" s="87"/>
      <c r="O652" s="90" t="str">
        <f t="shared" si="598"/>
        <v/>
      </c>
      <c r="Q652" s="91" t="str">
        <f t="shared" si="588"/>
        <v/>
      </c>
      <c r="R652" s="91" t="str">
        <f t="shared" si="591"/>
        <v/>
      </c>
      <c r="S652" s="92" t="str">
        <f t="shared" si="589"/>
        <v/>
      </c>
      <c r="T652" s="93"/>
      <c r="U652" s="94" t="str">
        <f t="shared" si="593"/>
        <v/>
      </c>
      <c r="X652" s="96"/>
      <c r="Y652" s="97" t="str">
        <f t="shared" si="595"/>
        <v/>
      </c>
      <c r="Z652" s="98" t="str">
        <f>SUBSTITUTE('Digitas UK Task 26'!$O652, "Complet", "Not Requir")</f>
        <v/>
      </c>
      <c r="AA652" s="98" t="str">
        <f t="shared" si="594"/>
        <v/>
      </c>
      <c r="AB652" s="99"/>
      <c r="AF652" s="84" t="str">
        <f t="shared" si="590"/>
        <v/>
      </c>
      <c r="AH652" s="84" t="str">
        <f t="shared" si="596"/>
        <v/>
      </c>
      <c r="AI652" s="84" t="str">
        <f t="shared" si="597"/>
        <v/>
      </c>
      <c r="AJ652" s="84" t="str">
        <f>IF(Z652&lt;&gt;"Done","",(_xlfn.CONCAT("PL_",DigitasUKAdOp_26Team[[#This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53" spans="1:36" ht="15.75" customHeight="1" x14ac:dyDescent="0.3">
      <c r="A653" s="85" t="str">
        <f t="shared" si="592"/>
        <v/>
      </c>
      <c r="C653" s="87"/>
      <c r="E653" s="87"/>
      <c r="H653" s="87"/>
      <c r="I653" s="87"/>
      <c r="O653" s="90" t="str">
        <f t="shared" si="598"/>
        <v/>
      </c>
      <c r="Q653" s="91" t="str">
        <f t="shared" si="588"/>
        <v/>
      </c>
      <c r="R653" s="91" t="str">
        <f t="shared" si="591"/>
        <v/>
      </c>
      <c r="S653" s="92" t="str">
        <f t="shared" si="589"/>
        <v/>
      </c>
      <c r="T653" s="93"/>
      <c r="U653" s="94" t="str">
        <f t="shared" si="593"/>
        <v/>
      </c>
      <c r="X653" s="96"/>
      <c r="Y653" s="97" t="str">
        <f t="shared" si="595"/>
        <v/>
      </c>
      <c r="Z653" s="98" t="str">
        <f>SUBSTITUTE('Digitas UK Task 26'!$O653, "Complet", "Not Requir")</f>
        <v/>
      </c>
      <c r="AA653" s="98" t="str">
        <f t="shared" si="594"/>
        <v/>
      </c>
      <c r="AB653" s="99"/>
      <c r="AF653" s="84" t="str">
        <f t="shared" si="590"/>
        <v/>
      </c>
      <c r="AH653" s="84" t="str">
        <f t="shared" si="596"/>
        <v/>
      </c>
      <c r="AI653" s="84" t="str">
        <f t="shared" si="597"/>
        <v/>
      </c>
      <c r="AJ653" s="84" t="str">
        <f>IF(Z653&lt;&gt;"Done","",(_xlfn.CONCAT("PL_",DigitasUKAdOp_26Team[[#This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54" spans="1:36" ht="15.75" customHeight="1" x14ac:dyDescent="0.3">
      <c r="A654" s="85" t="str">
        <f t="shared" si="592"/>
        <v/>
      </c>
      <c r="C654" s="87"/>
      <c r="E654" s="87"/>
      <c r="H654" s="87"/>
      <c r="I654" s="87"/>
      <c r="O654" s="90" t="str">
        <f t="shared" si="598"/>
        <v/>
      </c>
      <c r="Q654" s="91" t="str">
        <f t="shared" si="588"/>
        <v/>
      </c>
      <c r="R654" s="91" t="str">
        <f t="shared" si="591"/>
        <v/>
      </c>
      <c r="S654" s="92" t="str">
        <f t="shared" si="589"/>
        <v/>
      </c>
      <c r="T654" s="93"/>
      <c r="U654" s="94" t="str">
        <f t="shared" si="593"/>
        <v/>
      </c>
      <c r="X654" s="96"/>
      <c r="Y654" s="97" t="str">
        <f t="shared" si="595"/>
        <v/>
      </c>
      <c r="Z654" s="98" t="str">
        <f>SUBSTITUTE('Digitas UK Task 26'!$O654, "Complet", "Not Requir")</f>
        <v/>
      </c>
      <c r="AA654" s="98" t="str">
        <f t="shared" si="594"/>
        <v/>
      </c>
      <c r="AB654" s="99"/>
      <c r="AF654" s="84" t="str">
        <f t="shared" si="590"/>
        <v/>
      </c>
      <c r="AH654" s="84" t="str">
        <f t="shared" si="596"/>
        <v/>
      </c>
      <c r="AI654" s="84" t="str">
        <f t="shared" si="597"/>
        <v/>
      </c>
      <c r="AJ654" s="84" t="str">
        <f>IF(Z654&lt;&gt;"Done","",(_xlfn.CONCAT("PL_",DigitasUKAdOp_26Team[[#This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55" spans="1:36" ht="15.75" customHeight="1" x14ac:dyDescent="0.3">
      <c r="A655" s="85" t="str">
        <f t="shared" si="592"/>
        <v/>
      </c>
      <c r="C655" s="87"/>
      <c r="E655" s="87"/>
      <c r="H655" s="87"/>
      <c r="I655" s="87"/>
      <c r="O655" s="90" t="str">
        <f t="shared" si="598"/>
        <v/>
      </c>
      <c r="Q655" s="91" t="str">
        <f t="shared" ref="Q655:Q718" si="599">IF(B655="","",WEEKNUM(B655))</f>
        <v/>
      </c>
      <c r="R655" s="91" t="str">
        <f t="shared" si="591"/>
        <v/>
      </c>
      <c r="S655" s="92" t="str">
        <f t="shared" ref="S655:S718" si="600">IF(B655="","",TEXT(B655,"DDDD"))</f>
        <v/>
      </c>
      <c r="T655" s="93"/>
      <c r="U655" s="94" t="str">
        <f t="shared" si="593"/>
        <v/>
      </c>
      <c r="X655" s="96"/>
      <c r="Y655" s="97" t="str">
        <f t="shared" si="595"/>
        <v/>
      </c>
      <c r="Z655" s="98" t="str">
        <f>SUBSTITUTE('Digitas UK Task 26'!$O655, "Complet", "Not Requir")</f>
        <v/>
      </c>
      <c r="AA655" s="98" t="str">
        <f t="shared" si="594"/>
        <v/>
      </c>
      <c r="AB655" s="99"/>
      <c r="AF655" s="84" t="str">
        <f t="shared" si="590"/>
        <v/>
      </c>
      <c r="AH655" s="84" t="str">
        <f t="shared" si="596"/>
        <v/>
      </c>
      <c r="AI655" s="84" t="str">
        <f t="shared" si="597"/>
        <v/>
      </c>
      <c r="AJ655" s="84" t="str">
        <f>IF(Z655&lt;&gt;"Done","",(_xlfn.CONCAT("PL_",DigitasUKAdOp_26Team[[#This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56" spans="1:36" ht="15.75" customHeight="1" x14ac:dyDescent="0.3">
      <c r="A656" s="85" t="str">
        <f t="shared" si="592"/>
        <v/>
      </c>
      <c r="C656" s="87"/>
      <c r="E656" s="87"/>
      <c r="H656" s="87"/>
      <c r="I656" s="87"/>
      <c r="O656" s="90" t="str">
        <f t="shared" si="598"/>
        <v/>
      </c>
      <c r="Q656" s="91" t="str">
        <f t="shared" si="599"/>
        <v/>
      </c>
      <c r="R656" s="91" t="str">
        <f t="shared" si="591"/>
        <v/>
      </c>
      <c r="S656" s="92" t="str">
        <f t="shared" si="600"/>
        <v/>
      </c>
      <c r="T656" s="93"/>
      <c r="U656" s="94" t="str">
        <f t="shared" si="593"/>
        <v/>
      </c>
      <c r="X656" s="96"/>
      <c r="Y656" s="97" t="str">
        <f t="shared" si="595"/>
        <v/>
      </c>
      <c r="Z656" s="98" t="str">
        <f>SUBSTITUTE('Digitas UK Task 26'!$O656, "Complet", "Not Requir")</f>
        <v/>
      </c>
      <c r="AA656" s="98" t="str">
        <f t="shared" si="594"/>
        <v/>
      </c>
      <c r="AB656" s="99"/>
      <c r="AF656" s="84" t="str">
        <f t="shared" si="590"/>
        <v/>
      </c>
      <c r="AH656" s="84" t="str">
        <f t="shared" si="596"/>
        <v/>
      </c>
      <c r="AI656" s="84" t="str">
        <f t="shared" si="597"/>
        <v/>
      </c>
      <c r="AJ656" s="84" t="str">
        <f>IF(Z656&lt;&gt;"Done","",(_xlfn.CONCAT("PL_",DigitasUKAdOp_26Team[[#This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57" spans="1:36" ht="15.75" customHeight="1" x14ac:dyDescent="0.3">
      <c r="A657" s="85" t="str">
        <f t="shared" si="592"/>
        <v/>
      </c>
      <c r="C657" s="87"/>
      <c r="E657" s="87"/>
      <c r="H657" s="87"/>
      <c r="I657" s="87"/>
      <c r="O657" s="90" t="str">
        <f t="shared" si="598"/>
        <v/>
      </c>
      <c r="Q657" s="91" t="str">
        <f t="shared" si="599"/>
        <v/>
      </c>
      <c r="R657" s="91" t="str">
        <f t="shared" si="591"/>
        <v/>
      </c>
      <c r="S657" s="92" t="str">
        <f t="shared" si="600"/>
        <v/>
      </c>
      <c r="T657" s="93"/>
      <c r="U657" s="94" t="str">
        <f t="shared" si="593"/>
        <v/>
      </c>
      <c r="X657" s="96"/>
      <c r="Y657" s="97" t="str">
        <f t="shared" si="595"/>
        <v/>
      </c>
      <c r="Z657" s="98" t="str">
        <f>SUBSTITUTE('Digitas UK Task 26'!$O657, "Complet", "Not Requir")</f>
        <v/>
      </c>
      <c r="AA657" s="98" t="str">
        <f t="shared" si="594"/>
        <v/>
      </c>
      <c r="AB657" s="99"/>
      <c r="AF657" s="84" t="str">
        <f t="shared" si="590"/>
        <v/>
      </c>
      <c r="AH657" s="84" t="str">
        <f t="shared" si="596"/>
        <v/>
      </c>
      <c r="AI657" s="84" t="str">
        <f t="shared" si="597"/>
        <v/>
      </c>
      <c r="AJ657" s="84" t="str">
        <f>IF(Z657&lt;&gt;"Done","",(_xlfn.CONCAT("PL_",DigitasUKAdOp_26Team[[#This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58" spans="1:36" ht="15.75" customHeight="1" x14ac:dyDescent="0.3">
      <c r="A658" s="85" t="str">
        <f t="shared" si="592"/>
        <v/>
      </c>
      <c r="C658" s="87"/>
      <c r="E658" s="87"/>
      <c r="H658" s="87"/>
      <c r="I658" s="87"/>
      <c r="O658" s="90" t="str">
        <f t="shared" si="598"/>
        <v/>
      </c>
      <c r="Q658" s="91" t="str">
        <f t="shared" si="599"/>
        <v/>
      </c>
      <c r="R658" s="91" t="str">
        <f t="shared" si="591"/>
        <v/>
      </c>
      <c r="S658" s="92" t="str">
        <f t="shared" si="600"/>
        <v/>
      </c>
      <c r="T658" s="93"/>
      <c r="U658" s="94" t="str">
        <f t="shared" si="593"/>
        <v/>
      </c>
      <c r="X658" s="96"/>
      <c r="Y658" s="97" t="str">
        <f t="shared" si="595"/>
        <v/>
      </c>
      <c r="Z658" s="98" t="str">
        <f>SUBSTITUTE('Digitas UK Task 26'!$O658, "Complet", "Not Requir")</f>
        <v/>
      </c>
      <c r="AA658" s="98" t="str">
        <f t="shared" si="594"/>
        <v/>
      </c>
      <c r="AB658" s="99"/>
      <c r="AF658" s="84" t="str">
        <f t="shared" si="590"/>
        <v/>
      </c>
      <c r="AH658" s="84" t="str">
        <f t="shared" si="596"/>
        <v/>
      </c>
      <c r="AI658" s="84" t="str">
        <f t="shared" si="597"/>
        <v/>
      </c>
      <c r="AJ658" s="84" t="str">
        <f>IF(Z658&lt;&gt;"Done","",(_xlfn.CONCAT("PL_",DigitasUKAdOp_26Team[[#This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59" spans="1:36" ht="15.75" customHeight="1" x14ac:dyDescent="0.3">
      <c r="A659" s="85" t="str">
        <f t="shared" si="592"/>
        <v/>
      </c>
      <c r="C659" s="87"/>
      <c r="E659" s="87"/>
      <c r="H659" s="87"/>
      <c r="I659" s="87"/>
      <c r="O659" s="90" t="str">
        <f t="shared" si="598"/>
        <v/>
      </c>
      <c r="Q659" s="91" t="str">
        <f t="shared" si="599"/>
        <v/>
      </c>
      <c r="R659" s="91" t="str">
        <f t="shared" si="591"/>
        <v/>
      </c>
      <c r="S659" s="92" t="str">
        <f t="shared" si="600"/>
        <v/>
      </c>
      <c r="T659" s="93"/>
      <c r="U659" s="94" t="str">
        <f t="shared" si="593"/>
        <v/>
      </c>
      <c r="X659" s="96"/>
      <c r="Y659" s="97" t="str">
        <f t="shared" si="595"/>
        <v/>
      </c>
      <c r="Z659" s="98" t="str">
        <f>SUBSTITUTE('Digitas UK Task 26'!$O659, "Complet", "Not Requir")</f>
        <v/>
      </c>
      <c r="AA659" s="98" t="str">
        <f t="shared" si="594"/>
        <v/>
      </c>
      <c r="AB659" s="99"/>
      <c r="AF659" s="84" t="str">
        <f t="shared" si="590"/>
        <v/>
      </c>
      <c r="AH659" s="84" t="str">
        <f t="shared" si="596"/>
        <v/>
      </c>
      <c r="AI659" s="84" t="str">
        <f t="shared" si="597"/>
        <v/>
      </c>
      <c r="AJ659" s="84" t="str">
        <f>IF(Z659&lt;&gt;"Done","",(_xlfn.CONCAT("PL_",DigitasUKAdOp_26Team[[#This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60" spans="1:36" ht="15.75" customHeight="1" x14ac:dyDescent="0.3">
      <c r="A660" s="85" t="str">
        <f t="shared" si="592"/>
        <v/>
      </c>
      <c r="C660" s="87"/>
      <c r="E660" s="87"/>
      <c r="H660" s="87"/>
      <c r="I660" s="87"/>
      <c r="O660" s="90" t="str">
        <f t="shared" si="598"/>
        <v/>
      </c>
      <c r="Q660" s="91" t="str">
        <f t="shared" si="599"/>
        <v/>
      </c>
      <c r="R660" s="91" t="str">
        <f t="shared" si="591"/>
        <v/>
      </c>
      <c r="S660" s="92" t="str">
        <f t="shared" si="600"/>
        <v/>
      </c>
      <c r="T660" s="93"/>
      <c r="U660" s="94" t="str">
        <f t="shared" si="593"/>
        <v/>
      </c>
      <c r="X660" s="96"/>
      <c r="Y660" s="97" t="str">
        <f t="shared" si="595"/>
        <v/>
      </c>
      <c r="Z660" s="98" t="str">
        <f>SUBSTITUTE('Digitas UK Task 26'!$O660, "Complet", "Not Requir")</f>
        <v/>
      </c>
      <c r="AA660" s="98" t="str">
        <f t="shared" si="594"/>
        <v/>
      </c>
      <c r="AB660" s="99"/>
      <c r="AF660" s="84" t="str">
        <f t="shared" si="590"/>
        <v/>
      </c>
      <c r="AH660" s="84" t="str">
        <f t="shared" si="596"/>
        <v/>
      </c>
      <c r="AI660" s="84" t="str">
        <f t="shared" si="597"/>
        <v/>
      </c>
      <c r="AJ660" s="84" t="str">
        <f>IF(Z660&lt;&gt;"Done","",(_xlfn.CONCAT("PL_",DigitasUKAdOp_26Team[[#This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61" spans="1:36" ht="15.75" customHeight="1" x14ac:dyDescent="0.3">
      <c r="A661" s="85" t="str">
        <f t="shared" si="592"/>
        <v/>
      </c>
      <c r="C661" s="87"/>
      <c r="E661" s="87"/>
      <c r="H661" s="87"/>
      <c r="I661" s="87"/>
      <c r="O661" s="90" t="str">
        <f t="shared" si="598"/>
        <v/>
      </c>
      <c r="Q661" s="91" t="str">
        <f t="shared" si="599"/>
        <v/>
      </c>
      <c r="R661" s="91" t="str">
        <f t="shared" si="591"/>
        <v/>
      </c>
      <c r="S661" s="92" t="str">
        <f t="shared" si="600"/>
        <v/>
      </c>
      <c r="T661" s="93"/>
      <c r="U661" s="94" t="str">
        <f t="shared" si="593"/>
        <v/>
      </c>
      <c r="X661" s="96"/>
      <c r="Y661" s="97" t="str">
        <f t="shared" si="595"/>
        <v/>
      </c>
      <c r="Z661" s="98" t="str">
        <f>SUBSTITUTE('Digitas UK Task 26'!$O661, "Complet", "Not Requir")</f>
        <v/>
      </c>
      <c r="AA661" s="98" t="str">
        <f t="shared" si="594"/>
        <v/>
      </c>
      <c r="AB661" s="99"/>
      <c r="AF661" s="84" t="str">
        <f t="shared" ref="AF661:AF724" si="601">IF(AD661="","",WEEKNUM(AD661))</f>
        <v/>
      </c>
      <c r="AH661" s="84" t="str">
        <f t="shared" si="596"/>
        <v/>
      </c>
      <c r="AI661" s="84" t="str">
        <f t="shared" si="597"/>
        <v/>
      </c>
      <c r="AJ661" s="84" t="str">
        <f>IF(Z661&lt;&gt;"Done","",(_xlfn.CONCAT("PL_",DigitasUKAdOp_26Team[[#This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62" spans="1:36" ht="15.75" customHeight="1" x14ac:dyDescent="0.3">
      <c r="A662" s="85" t="str">
        <f t="shared" si="592"/>
        <v/>
      </c>
      <c r="C662" s="87"/>
      <c r="E662" s="87"/>
      <c r="H662" s="87"/>
      <c r="I662" s="87"/>
      <c r="O662" s="90" t="str">
        <f t="shared" si="598"/>
        <v/>
      </c>
      <c r="Q662" s="91" t="str">
        <f t="shared" si="599"/>
        <v/>
      </c>
      <c r="R662" s="91" t="str">
        <f t="shared" ref="R662:R725" si="602">IF(B662="","",TEXT(B662,"MMM"))</f>
        <v/>
      </c>
      <c r="S662" s="92" t="str">
        <f t="shared" si="600"/>
        <v/>
      </c>
      <c r="T662" s="93"/>
      <c r="U662" s="94" t="str">
        <f t="shared" si="593"/>
        <v/>
      </c>
      <c r="X662" s="96"/>
      <c r="Y662" s="97" t="str">
        <f t="shared" si="595"/>
        <v/>
      </c>
      <c r="Z662" s="98" t="str">
        <f>SUBSTITUTE('Digitas UK Task 26'!$O662, "Complet", "Not Requir")</f>
        <v/>
      </c>
      <c r="AA662" s="98" t="str">
        <f t="shared" si="594"/>
        <v/>
      </c>
      <c r="AB662" s="99"/>
      <c r="AF662" s="84" t="str">
        <f t="shared" si="601"/>
        <v/>
      </c>
      <c r="AH662" s="84" t="str">
        <f t="shared" si="596"/>
        <v/>
      </c>
      <c r="AI662" s="84" t="str">
        <f t="shared" si="597"/>
        <v/>
      </c>
      <c r="AJ662" s="84" t="str">
        <f>IF(Z662&lt;&gt;"Done","",(_xlfn.CONCAT("PL_",DigitasUKAdOp_26Team[[#This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63" spans="1:36" ht="15.75" customHeight="1" x14ac:dyDescent="0.3">
      <c r="A663" s="85" t="str">
        <f t="shared" si="592"/>
        <v/>
      </c>
      <c r="C663" s="87"/>
      <c r="E663" s="87"/>
      <c r="H663" s="87"/>
      <c r="I663" s="87"/>
      <c r="O663" s="90" t="str">
        <f t="shared" si="598"/>
        <v/>
      </c>
      <c r="Q663" s="91" t="str">
        <f t="shared" si="599"/>
        <v/>
      </c>
      <c r="R663" s="91" t="str">
        <f t="shared" si="602"/>
        <v/>
      </c>
      <c r="S663" s="92" t="str">
        <f t="shared" si="600"/>
        <v/>
      </c>
      <c r="T663" s="93"/>
      <c r="U663" s="94" t="str">
        <f t="shared" si="593"/>
        <v/>
      </c>
      <c r="X663" s="96"/>
      <c r="Y663" s="97" t="str">
        <f t="shared" si="595"/>
        <v/>
      </c>
      <c r="Z663" s="98" t="str">
        <f>SUBSTITUTE('Digitas UK Task 26'!$O663, "Complet", "Not Requir")</f>
        <v/>
      </c>
      <c r="AA663" s="98" t="str">
        <f t="shared" si="594"/>
        <v/>
      </c>
      <c r="AB663" s="99"/>
      <c r="AF663" s="84" t="str">
        <f t="shared" si="601"/>
        <v/>
      </c>
      <c r="AH663" s="84" t="str">
        <f t="shared" si="596"/>
        <v/>
      </c>
      <c r="AI663" s="84" t="str">
        <f t="shared" si="597"/>
        <v/>
      </c>
      <c r="AJ663" s="84" t="str">
        <f>IF(Z663&lt;&gt;"Done","",(_xlfn.CONCAT("PL_",DigitasUKAdOp_26Team[[#This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64" spans="1:36" ht="15.75" customHeight="1" x14ac:dyDescent="0.3">
      <c r="A664" s="85" t="str">
        <f t="shared" si="592"/>
        <v/>
      </c>
      <c r="C664" s="87"/>
      <c r="E664" s="87"/>
      <c r="H664" s="87"/>
      <c r="I664" s="87"/>
      <c r="O664" s="90" t="str">
        <f t="shared" si="598"/>
        <v/>
      </c>
      <c r="Q664" s="91" t="str">
        <f t="shared" si="599"/>
        <v/>
      </c>
      <c r="R664" s="91" t="str">
        <f t="shared" si="602"/>
        <v/>
      </c>
      <c r="S664" s="92" t="str">
        <f t="shared" si="600"/>
        <v/>
      </c>
      <c r="T664" s="93"/>
      <c r="U664" s="94" t="str">
        <f t="shared" si="593"/>
        <v/>
      </c>
      <c r="X664" s="96"/>
      <c r="Y664" s="97" t="str">
        <f t="shared" si="595"/>
        <v/>
      </c>
      <c r="Z664" s="98" t="str">
        <f>SUBSTITUTE('Digitas UK Task 26'!$O664, "Complet", "Not Requir")</f>
        <v/>
      </c>
      <c r="AA664" s="98" t="str">
        <f t="shared" si="594"/>
        <v/>
      </c>
      <c r="AB664" s="99"/>
      <c r="AF664" s="84" t="str">
        <f t="shared" si="601"/>
        <v/>
      </c>
      <c r="AH664" s="84" t="str">
        <f t="shared" si="596"/>
        <v/>
      </c>
      <c r="AI664" s="84" t="str">
        <f t="shared" si="597"/>
        <v/>
      </c>
      <c r="AJ664" s="84" t="str">
        <f>IF(Z664&lt;&gt;"Done","",(_xlfn.CONCAT("PL_",DigitasUKAdOp_26Team[[#This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65" spans="1:36" ht="15.75" customHeight="1" x14ac:dyDescent="0.3">
      <c r="A665" s="85" t="str">
        <f t="shared" si="592"/>
        <v/>
      </c>
      <c r="C665" s="87"/>
      <c r="E665" s="87"/>
      <c r="H665" s="87"/>
      <c r="I665" s="87"/>
      <c r="O665" s="90" t="str">
        <f t="shared" si="598"/>
        <v/>
      </c>
      <c r="Q665" s="91" t="str">
        <f t="shared" si="599"/>
        <v/>
      </c>
      <c r="R665" s="91" t="str">
        <f t="shared" si="602"/>
        <v/>
      </c>
      <c r="S665" s="92" t="str">
        <f t="shared" si="600"/>
        <v/>
      </c>
      <c r="T665" s="93"/>
      <c r="U665" s="94" t="str">
        <f t="shared" si="593"/>
        <v/>
      </c>
      <c r="X665" s="96"/>
      <c r="Y665" s="97" t="str">
        <f t="shared" si="595"/>
        <v/>
      </c>
      <c r="Z665" s="98" t="str">
        <f>SUBSTITUTE('Digitas UK Task 26'!$O665, "Complet", "Not Requir")</f>
        <v/>
      </c>
      <c r="AA665" s="98" t="str">
        <f t="shared" si="594"/>
        <v/>
      </c>
      <c r="AB665" s="99"/>
      <c r="AF665" s="84" t="str">
        <f t="shared" si="601"/>
        <v/>
      </c>
      <c r="AH665" s="84" t="str">
        <f t="shared" si="596"/>
        <v/>
      </c>
      <c r="AI665" s="84" t="str">
        <f t="shared" si="597"/>
        <v/>
      </c>
      <c r="AJ665" s="84" t="str">
        <f>IF(Z665&lt;&gt;"Done","",(_xlfn.CONCAT("PL_",DigitasUKAdOp_26Team[[#This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66" spans="1:36" ht="15.75" customHeight="1" x14ac:dyDescent="0.3">
      <c r="A666" s="85" t="str">
        <f t="shared" si="592"/>
        <v/>
      </c>
      <c r="C666" s="87"/>
      <c r="E666" s="87"/>
      <c r="H666" s="87"/>
      <c r="I666" s="87"/>
      <c r="O666" s="90" t="str">
        <f t="shared" si="598"/>
        <v/>
      </c>
      <c r="Q666" s="91" t="str">
        <f t="shared" si="599"/>
        <v/>
      </c>
      <c r="R666" s="91" t="str">
        <f t="shared" si="602"/>
        <v/>
      </c>
      <c r="S666" s="92" t="str">
        <f t="shared" si="600"/>
        <v/>
      </c>
      <c r="T666" s="93"/>
      <c r="U666" s="94" t="str">
        <f t="shared" si="593"/>
        <v/>
      </c>
      <c r="X666" s="96"/>
      <c r="Y666" s="97" t="str">
        <f t="shared" si="595"/>
        <v/>
      </c>
      <c r="Z666" s="98" t="str">
        <f>SUBSTITUTE('Digitas UK Task 26'!$O666, "Complet", "Not Requir")</f>
        <v/>
      </c>
      <c r="AA666" s="98" t="str">
        <f t="shared" si="594"/>
        <v/>
      </c>
      <c r="AB666" s="99"/>
      <c r="AF666" s="84" t="str">
        <f t="shared" si="601"/>
        <v/>
      </c>
      <c r="AH666" s="84" t="str">
        <f t="shared" si="596"/>
        <v/>
      </c>
      <c r="AI666" s="84" t="str">
        <f t="shared" si="597"/>
        <v/>
      </c>
      <c r="AJ666" s="84" t="str">
        <f>IF(Z666&lt;&gt;"Done","",(_xlfn.CONCAT("PL_",DigitasUKAdOp_26Team[[#This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67" spans="1:36" ht="15.75" customHeight="1" x14ac:dyDescent="0.3">
      <c r="A667" s="85" t="str">
        <f t="shared" si="592"/>
        <v/>
      </c>
      <c r="C667" s="87"/>
      <c r="E667" s="87"/>
      <c r="H667" s="87"/>
      <c r="I667" s="87"/>
      <c r="O667" s="90" t="str">
        <f t="shared" si="598"/>
        <v/>
      </c>
      <c r="Q667" s="91" t="str">
        <f t="shared" si="599"/>
        <v/>
      </c>
      <c r="R667" s="91" t="str">
        <f t="shared" si="602"/>
        <v/>
      </c>
      <c r="S667" s="92" t="str">
        <f t="shared" si="600"/>
        <v/>
      </c>
      <c r="T667" s="93"/>
      <c r="U667" s="94" t="str">
        <f t="shared" si="593"/>
        <v/>
      </c>
      <c r="X667" s="96"/>
      <c r="Y667" s="97" t="str">
        <f t="shared" si="595"/>
        <v/>
      </c>
      <c r="Z667" s="98" t="str">
        <f>SUBSTITUTE('Digitas UK Task 26'!$O667, "Complet", "Not Requir")</f>
        <v/>
      </c>
      <c r="AA667" s="98" t="str">
        <f t="shared" si="594"/>
        <v/>
      </c>
      <c r="AB667" s="99"/>
      <c r="AF667" s="84" t="str">
        <f t="shared" si="601"/>
        <v/>
      </c>
      <c r="AH667" s="84" t="str">
        <f t="shared" si="596"/>
        <v/>
      </c>
      <c r="AI667" s="84" t="str">
        <f t="shared" si="597"/>
        <v/>
      </c>
      <c r="AJ667" s="84" t="str">
        <f>IF(Z667&lt;&gt;"Done","",(_xlfn.CONCAT("PL_",DigitasUKAdOp_26Team[[#This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68" spans="1:36" ht="15.75" customHeight="1" x14ac:dyDescent="0.3">
      <c r="A668" s="85" t="str">
        <f t="shared" si="592"/>
        <v/>
      </c>
      <c r="C668" s="87"/>
      <c r="E668" s="87"/>
      <c r="H668" s="87"/>
      <c r="I668" s="87"/>
      <c r="O668" s="90" t="str">
        <f t="shared" si="598"/>
        <v/>
      </c>
      <c r="Q668" s="91" t="str">
        <f t="shared" si="599"/>
        <v/>
      </c>
      <c r="R668" s="91" t="str">
        <f t="shared" si="602"/>
        <v/>
      </c>
      <c r="S668" s="92" t="str">
        <f t="shared" si="600"/>
        <v/>
      </c>
      <c r="T668" s="93"/>
      <c r="U668" s="94" t="str">
        <f t="shared" si="593"/>
        <v/>
      </c>
      <c r="X668" s="96"/>
      <c r="Y668" s="97" t="str">
        <f t="shared" si="595"/>
        <v/>
      </c>
      <c r="Z668" s="98" t="str">
        <f>SUBSTITUTE('Digitas UK Task 26'!$O668, "Complet", "Not Requir")</f>
        <v/>
      </c>
      <c r="AA668" s="98" t="str">
        <f t="shared" si="594"/>
        <v/>
      </c>
      <c r="AB668" s="99"/>
      <c r="AF668" s="84" t="str">
        <f t="shared" si="601"/>
        <v/>
      </c>
      <c r="AH668" s="84" t="str">
        <f t="shared" si="596"/>
        <v/>
      </c>
      <c r="AI668" s="84" t="str">
        <f t="shared" si="597"/>
        <v/>
      </c>
      <c r="AJ668" s="84" t="str">
        <f>IF(Z668&lt;&gt;"Done","",(_xlfn.CONCAT("PL_",DigitasUKAdOp_26Team[[#This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69" spans="1:36" ht="15.75" customHeight="1" x14ac:dyDescent="0.3">
      <c r="A669" s="85" t="str">
        <f t="shared" si="592"/>
        <v/>
      </c>
      <c r="C669" s="87"/>
      <c r="E669" s="87"/>
      <c r="H669" s="87"/>
      <c r="I669" s="87"/>
      <c r="O669" s="90" t="str">
        <f t="shared" si="598"/>
        <v/>
      </c>
      <c r="Q669" s="91" t="str">
        <f t="shared" si="599"/>
        <v/>
      </c>
      <c r="R669" s="91" t="str">
        <f t="shared" si="602"/>
        <v/>
      </c>
      <c r="S669" s="92" t="str">
        <f t="shared" si="600"/>
        <v/>
      </c>
      <c r="T669" s="93"/>
      <c r="U669" s="94" t="str">
        <f t="shared" si="593"/>
        <v/>
      </c>
      <c r="X669" s="96"/>
      <c r="Y669" s="97" t="str">
        <f t="shared" si="595"/>
        <v/>
      </c>
      <c r="Z669" s="98" t="str">
        <f>SUBSTITUTE('Digitas UK Task 26'!$O669, "Complet", "Not Requir")</f>
        <v/>
      </c>
      <c r="AA669" s="98" t="str">
        <f t="shared" si="594"/>
        <v/>
      </c>
      <c r="AB669" s="99"/>
      <c r="AF669" s="84" t="str">
        <f t="shared" si="601"/>
        <v/>
      </c>
      <c r="AH669" s="84" t="str">
        <f t="shared" si="596"/>
        <v/>
      </c>
      <c r="AI669" s="84" t="str">
        <f t="shared" si="597"/>
        <v/>
      </c>
      <c r="AJ669" s="84" t="str">
        <f>IF(Z669&lt;&gt;"Done","",(_xlfn.CONCAT("PL_",DigitasUKAdOp_26Team[[#This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70" spans="1:36" ht="15.75" customHeight="1" x14ac:dyDescent="0.3">
      <c r="A670" s="85" t="str">
        <f t="shared" si="592"/>
        <v/>
      </c>
      <c r="C670" s="87"/>
      <c r="E670" s="87"/>
      <c r="H670" s="87"/>
      <c r="I670" s="87"/>
      <c r="O670" s="90" t="str">
        <f t="shared" si="598"/>
        <v/>
      </c>
      <c r="Q670" s="91" t="str">
        <f t="shared" si="599"/>
        <v/>
      </c>
      <c r="R670" s="91" t="str">
        <f t="shared" si="602"/>
        <v/>
      </c>
      <c r="S670" s="92" t="str">
        <f t="shared" si="600"/>
        <v/>
      </c>
      <c r="T670" s="93"/>
      <c r="U670" s="94" t="str">
        <f t="shared" si="593"/>
        <v/>
      </c>
      <c r="X670" s="96"/>
      <c r="Y670" s="97" t="str">
        <f t="shared" si="595"/>
        <v/>
      </c>
      <c r="Z670" s="98" t="str">
        <f>SUBSTITUTE('Digitas UK Task 26'!$O670, "Complet", "Not Requir")</f>
        <v/>
      </c>
      <c r="AA670" s="98" t="str">
        <f t="shared" si="594"/>
        <v/>
      </c>
      <c r="AB670" s="99"/>
      <c r="AF670" s="84" t="str">
        <f t="shared" si="601"/>
        <v/>
      </c>
      <c r="AH670" s="84" t="str">
        <f t="shared" si="596"/>
        <v/>
      </c>
      <c r="AI670" s="84" t="str">
        <f t="shared" si="597"/>
        <v/>
      </c>
      <c r="AJ670" s="84" t="str">
        <f>IF(Z670&lt;&gt;"Done","",(_xlfn.CONCAT("PL_",DigitasUKAdOp_26Team[[#This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71" spans="1:36" ht="15.75" customHeight="1" x14ac:dyDescent="0.3">
      <c r="A671" s="85" t="str">
        <f t="shared" si="592"/>
        <v/>
      </c>
      <c r="C671" s="87"/>
      <c r="E671" s="87"/>
      <c r="H671" s="87"/>
      <c r="I671" s="87"/>
      <c r="O671" s="90" t="str">
        <f t="shared" si="598"/>
        <v/>
      </c>
      <c r="Q671" s="91" t="str">
        <f t="shared" si="599"/>
        <v/>
      </c>
      <c r="R671" s="91" t="str">
        <f t="shared" si="602"/>
        <v/>
      </c>
      <c r="S671" s="92" t="str">
        <f t="shared" si="600"/>
        <v/>
      </c>
      <c r="T671" s="93"/>
      <c r="U671" s="94" t="str">
        <f t="shared" si="593"/>
        <v/>
      </c>
      <c r="X671" s="96"/>
      <c r="Y671" s="97" t="str">
        <f t="shared" si="595"/>
        <v/>
      </c>
      <c r="Z671" s="98" t="str">
        <f>SUBSTITUTE('Digitas UK Task 26'!$O671, "Complet", "Not Requir")</f>
        <v/>
      </c>
      <c r="AA671" s="98" t="str">
        <f t="shared" si="594"/>
        <v/>
      </c>
      <c r="AB671" s="99"/>
      <c r="AF671" s="84" t="str">
        <f t="shared" si="601"/>
        <v/>
      </c>
      <c r="AH671" s="84" t="str">
        <f t="shared" si="596"/>
        <v/>
      </c>
      <c r="AI671" s="84" t="str">
        <f t="shared" si="597"/>
        <v/>
      </c>
      <c r="AJ671" s="84" t="str">
        <f>IF(Z671&lt;&gt;"Done","",(_xlfn.CONCAT("PL_",DigitasUKAdOp_26Team[[#This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72" spans="1:36" ht="15.75" customHeight="1" x14ac:dyDescent="0.3">
      <c r="A672" s="85" t="str">
        <f t="shared" si="592"/>
        <v/>
      </c>
      <c r="C672" s="87"/>
      <c r="E672" s="87"/>
      <c r="H672" s="87"/>
      <c r="I672" s="87"/>
      <c r="O672" s="90" t="str">
        <f t="shared" si="598"/>
        <v/>
      </c>
      <c r="Q672" s="91" t="str">
        <f t="shared" si="599"/>
        <v/>
      </c>
      <c r="R672" s="91" t="str">
        <f t="shared" si="602"/>
        <v/>
      </c>
      <c r="S672" s="92" t="str">
        <f t="shared" si="600"/>
        <v/>
      </c>
      <c r="T672" s="93"/>
      <c r="U672" s="94" t="str">
        <f t="shared" si="593"/>
        <v/>
      </c>
      <c r="X672" s="96"/>
      <c r="Y672" s="97" t="str">
        <f t="shared" si="595"/>
        <v/>
      </c>
      <c r="Z672" s="98" t="str">
        <f>SUBSTITUTE('Digitas UK Task 26'!$O672, "Complet", "Not Requir")</f>
        <v/>
      </c>
      <c r="AA672" s="98" t="str">
        <f t="shared" si="594"/>
        <v/>
      </c>
      <c r="AB672" s="99"/>
      <c r="AF672" s="84" t="str">
        <f t="shared" si="601"/>
        <v/>
      </c>
      <c r="AH672" s="84" t="str">
        <f t="shared" si="596"/>
        <v/>
      </c>
      <c r="AI672" s="84" t="str">
        <f t="shared" si="597"/>
        <v/>
      </c>
      <c r="AJ672" s="84" t="str">
        <f>IF(Z672&lt;&gt;"Done","",(_xlfn.CONCAT("PL_",DigitasUKAdOp_26Team[[#This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73" spans="1:36" ht="15.75" customHeight="1" x14ac:dyDescent="0.3">
      <c r="A673" s="85" t="str">
        <f t="shared" si="592"/>
        <v/>
      </c>
      <c r="C673" s="87"/>
      <c r="E673" s="87"/>
      <c r="H673" s="87"/>
      <c r="I673" s="87"/>
      <c r="O673" s="90" t="str">
        <f t="shared" si="598"/>
        <v/>
      </c>
      <c r="Q673" s="91" t="str">
        <f t="shared" si="599"/>
        <v/>
      </c>
      <c r="R673" s="91" t="str">
        <f t="shared" si="602"/>
        <v/>
      </c>
      <c r="S673" s="92" t="str">
        <f t="shared" si="600"/>
        <v/>
      </c>
      <c r="T673" s="93"/>
      <c r="U673" s="94" t="str">
        <f t="shared" si="593"/>
        <v/>
      </c>
      <c r="X673" s="96"/>
      <c r="Y673" s="97" t="str">
        <f t="shared" si="595"/>
        <v/>
      </c>
      <c r="Z673" s="98" t="str">
        <f>SUBSTITUTE('Digitas UK Task 26'!$O673, "Complet", "Not Requir")</f>
        <v/>
      </c>
      <c r="AA673" s="98" t="str">
        <f t="shared" si="594"/>
        <v/>
      </c>
      <c r="AB673" s="99"/>
      <c r="AF673" s="84" t="str">
        <f t="shared" si="601"/>
        <v/>
      </c>
      <c r="AH673" s="84" t="str">
        <f t="shared" si="596"/>
        <v/>
      </c>
      <c r="AI673" s="84" t="str">
        <f t="shared" si="597"/>
        <v/>
      </c>
      <c r="AJ673" s="84" t="str">
        <f>IF(Z673&lt;&gt;"Done","",(_xlfn.CONCAT("PL_",DigitasUKAdOp_26Team[[#This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74" spans="1:36" ht="15.75" customHeight="1" x14ac:dyDescent="0.3">
      <c r="A674" s="85" t="str">
        <f t="shared" si="592"/>
        <v/>
      </c>
      <c r="C674" s="87"/>
      <c r="E674" s="87"/>
      <c r="H674" s="87"/>
      <c r="I674" s="87"/>
      <c r="O674" s="90" t="str">
        <f t="shared" si="598"/>
        <v/>
      </c>
      <c r="Q674" s="91" t="str">
        <f t="shared" si="599"/>
        <v/>
      </c>
      <c r="R674" s="91" t="str">
        <f t="shared" si="602"/>
        <v/>
      </c>
      <c r="S674" s="92" t="str">
        <f t="shared" si="600"/>
        <v/>
      </c>
      <c r="T674" s="93"/>
      <c r="U674" s="94" t="str">
        <f t="shared" si="593"/>
        <v/>
      </c>
      <c r="X674" s="96"/>
      <c r="Y674" s="97" t="str">
        <f t="shared" si="595"/>
        <v/>
      </c>
      <c r="Z674" s="98" t="str">
        <f>SUBSTITUTE('Digitas UK Task 26'!$O674, "Complet", "Not Requir")</f>
        <v/>
      </c>
      <c r="AA674" s="98" t="str">
        <f t="shared" si="594"/>
        <v/>
      </c>
      <c r="AB674" s="99"/>
      <c r="AF674" s="84" t="str">
        <f t="shared" si="601"/>
        <v/>
      </c>
      <c r="AH674" s="84" t="str">
        <f t="shared" si="596"/>
        <v/>
      </c>
      <c r="AI674" s="84" t="str">
        <f t="shared" si="597"/>
        <v/>
      </c>
      <c r="AJ674" s="84" t="str">
        <f>IF(Z674&lt;&gt;"Done","",(_xlfn.CONCAT("PL_",DigitasUKAdOp_26Team[[#This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75" spans="1:36" ht="15.75" customHeight="1" x14ac:dyDescent="0.3">
      <c r="A675" s="85" t="str">
        <f t="shared" ref="A675:A736" si="603">IF(B675="","",TEXT(B675,"MMM : DDDD"))</f>
        <v/>
      </c>
      <c r="C675" s="87"/>
      <c r="E675" s="87"/>
      <c r="H675" s="87"/>
      <c r="I675" s="87"/>
      <c r="O675" s="90" t="str">
        <f t="shared" si="598"/>
        <v/>
      </c>
      <c r="Q675" s="91" t="str">
        <f t="shared" si="599"/>
        <v/>
      </c>
      <c r="R675" s="91" t="str">
        <f t="shared" si="602"/>
        <v/>
      </c>
      <c r="S675" s="92" t="str">
        <f t="shared" si="600"/>
        <v/>
      </c>
      <c r="T675" s="93"/>
      <c r="U675" s="94" t="str">
        <f t="shared" ref="U675:U736" si="604">IF(O675="Completed","Pending","")</f>
        <v/>
      </c>
      <c r="X675" s="96"/>
      <c r="Y675" s="97" t="str">
        <f t="shared" si="595"/>
        <v/>
      </c>
      <c r="Z675" s="98" t="str">
        <f>SUBSTITUTE('Digitas UK Task 26'!$O675, "Complet", "Not Requir")</f>
        <v/>
      </c>
      <c r="AA675" s="98" t="str">
        <f t="shared" ref="AA675:AA736" si="605">IF(G675="","",G675)</f>
        <v/>
      </c>
      <c r="AB675" s="99"/>
      <c r="AF675" s="84" t="str">
        <f t="shared" si="601"/>
        <v/>
      </c>
      <c r="AH675" s="84" t="str">
        <f t="shared" si="596"/>
        <v/>
      </c>
      <c r="AI675" s="84" t="str">
        <f t="shared" si="597"/>
        <v/>
      </c>
      <c r="AJ675" s="84" t="str">
        <f>IF(Z675&lt;&gt;"Done","",(_xlfn.CONCAT("PL_",DigitasUKAdOp_26Team[[#This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76" spans="1:36" ht="15.75" customHeight="1" x14ac:dyDescent="0.3">
      <c r="A676" s="85" t="str">
        <f t="shared" si="603"/>
        <v/>
      </c>
      <c r="C676" s="87"/>
      <c r="E676" s="87"/>
      <c r="H676" s="87"/>
      <c r="I676" s="87"/>
      <c r="O676" s="90" t="str">
        <f t="shared" si="598"/>
        <v/>
      </c>
      <c r="Q676" s="91" t="str">
        <f t="shared" si="599"/>
        <v/>
      </c>
      <c r="R676" s="91" t="str">
        <f t="shared" si="602"/>
        <v/>
      </c>
      <c r="S676" s="92" t="str">
        <f t="shared" si="600"/>
        <v/>
      </c>
      <c r="T676" s="93"/>
      <c r="U676" s="94" t="str">
        <f t="shared" si="604"/>
        <v/>
      </c>
      <c r="X676" s="96"/>
      <c r="Y676" s="97" t="str">
        <f t="shared" si="595"/>
        <v/>
      </c>
      <c r="Z676" s="98" t="str">
        <f>SUBSTITUTE('Digitas UK Task 26'!$O676, "Complet", "Not Requir")</f>
        <v/>
      </c>
      <c r="AA676" s="98" t="str">
        <f t="shared" si="605"/>
        <v/>
      </c>
      <c r="AB676" s="99"/>
      <c r="AF676" s="84" t="str">
        <f t="shared" si="601"/>
        <v/>
      </c>
      <c r="AH676" s="84" t="str">
        <f t="shared" si="596"/>
        <v/>
      </c>
      <c r="AI676" s="84" t="str">
        <f t="shared" si="597"/>
        <v/>
      </c>
      <c r="AJ676" s="84" t="str">
        <f>IF(Z676&lt;&gt;"Done","",(_xlfn.CONCAT("PL_",DigitasUKAdOp_26Team[[#This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77" spans="1:36" ht="15.75" customHeight="1" x14ac:dyDescent="0.3">
      <c r="A677" s="85" t="str">
        <f t="shared" si="603"/>
        <v/>
      </c>
      <c r="C677" s="87"/>
      <c r="E677" s="87"/>
      <c r="H677" s="87"/>
      <c r="I677" s="87"/>
      <c r="O677" s="90" t="str">
        <f t="shared" si="598"/>
        <v/>
      </c>
      <c r="Q677" s="91" t="str">
        <f t="shared" si="599"/>
        <v/>
      </c>
      <c r="R677" s="91" t="str">
        <f t="shared" si="602"/>
        <v/>
      </c>
      <c r="S677" s="92" t="str">
        <f t="shared" si="600"/>
        <v/>
      </c>
      <c r="T677" s="93"/>
      <c r="U677" s="94" t="str">
        <f t="shared" si="604"/>
        <v/>
      </c>
      <c r="X677" s="96"/>
      <c r="Y677" s="97" t="str">
        <f t="shared" si="595"/>
        <v/>
      </c>
      <c r="Z677" s="98" t="str">
        <f>SUBSTITUTE('Digitas UK Task 26'!$O677, "Complet", "Not Requir")</f>
        <v/>
      </c>
      <c r="AA677" s="98" t="str">
        <f t="shared" si="605"/>
        <v/>
      </c>
      <c r="AB677" s="99"/>
      <c r="AF677" s="84" t="str">
        <f t="shared" si="601"/>
        <v/>
      </c>
      <c r="AH677" s="84" t="str">
        <f t="shared" si="596"/>
        <v/>
      </c>
      <c r="AI677" s="84" t="str">
        <f t="shared" si="597"/>
        <v/>
      </c>
      <c r="AJ677" s="84" t="str">
        <f>IF(Z677&lt;&gt;"Done","",(_xlfn.CONCAT("PL_",DigitasUKAdOp_26Team[[#This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78" spans="1:36" ht="15.75" customHeight="1" x14ac:dyDescent="0.3">
      <c r="A678" s="85" t="str">
        <f t="shared" si="603"/>
        <v/>
      </c>
      <c r="C678" s="87"/>
      <c r="E678" s="87"/>
      <c r="H678" s="87"/>
      <c r="I678" s="87"/>
      <c r="O678" s="90" t="str">
        <f t="shared" si="598"/>
        <v/>
      </c>
      <c r="Q678" s="91" t="str">
        <f t="shared" si="599"/>
        <v/>
      </c>
      <c r="R678" s="91" t="str">
        <f t="shared" si="602"/>
        <v/>
      </c>
      <c r="S678" s="92" t="str">
        <f t="shared" si="600"/>
        <v/>
      </c>
      <c r="T678" s="93"/>
      <c r="U678" s="94" t="str">
        <f t="shared" si="604"/>
        <v/>
      </c>
      <c r="X678" s="96"/>
      <c r="Y678" s="97" t="str">
        <f t="shared" si="595"/>
        <v/>
      </c>
      <c r="Z678" s="98" t="str">
        <f>SUBSTITUTE('Digitas UK Task 26'!$O678, "Complet", "Not Requir")</f>
        <v/>
      </c>
      <c r="AA678" s="98" t="str">
        <f t="shared" si="605"/>
        <v/>
      </c>
      <c r="AB678" s="99"/>
      <c r="AF678" s="84" t="str">
        <f t="shared" si="601"/>
        <v/>
      </c>
      <c r="AH678" s="84" t="str">
        <f t="shared" si="596"/>
        <v/>
      </c>
      <c r="AI678" s="84" t="str">
        <f t="shared" si="597"/>
        <v/>
      </c>
      <c r="AJ678" s="84" t="str">
        <f>IF(Z678&lt;&gt;"Done","",(_xlfn.CONCAT("PL_",DigitasUKAdOp_26Team[[#This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79" spans="1:36" ht="15.75" customHeight="1" x14ac:dyDescent="0.3">
      <c r="A679" s="85" t="str">
        <f t="shared" si="603"/>
        <v/>
      </c>
      <c r="C679" s="87"/>
      <c r="E679" s="87"/>
      <c r="H679" s="87"/>
      <c r="I679" s="87"/>
      <c r="O679" s="90" t="str">
        <f t="shared" si="598"/>
        <v/>
      </c>
      <c r="Q679" s="91" t="str">
        <f t="shared" si="599"/>
        <v/>
      </c>
      <c r="R679" s="91" t="str">
        <f t="shared" si="602"/>
        <v/>
      </c>
      <c r="S679" s="92" t="str">
        <f t="shared" si="600"/>
        <v/>
      </c>
      <c r="T679" s="93"/>
      <c r="U679" s="94" t="str">
        <f t="shared" si="604"/>
        <v/>
      </c>
      <c r="X679" s="96"/>
      <c r="Y679" s="97" t="str">
        <f t="shared" ref="Y679:Y742" si="606">IF(M679="","",M679)</f>
        <v/>
      </c>
      <c r="Z679" s="98" t="str">
        <f>SUBSTITUTE('Digitas UK Task 26'!$O679, "Complet", "Not Requir")</f>
        <v/>
      </c>
      <c r="AA679" s="98" t="str">
        <f t="shared" si="605"/>
        <v/>
      </c>
      <c r="AB679" s="99"/>
      <c r="AF679" s="84" t="str">
        <f t="shared" si="601"/>
        <v/>
      </c>
      <c r="AH679" s="84" t="str">
        <f t="shared" si="596"/>
        <v/>
      </c>
      <c r="AI679" s="84" t="str">
        <f t="shared" si="597"/>
        <v/>
      </c>
      <c r="AJ679" s="84" t="str">
        <f>IF(Z679&lt;&gt;"Done","",(_xlfn.CONCAT("PL_",DigitasUKAdOp_26Team[[#This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80" spans="1:36" ht="15.75" customHeight="1" x14ac:dyDescent="0.3">
      <c r="A680" s="85" t="str">
        <f t="shared" si="603"/>
        <v/>
      </c>
      <c r="C680" s="87"/>
      <c r="E680" s="87"/>
      <c r="H680" s="87"/>
      <c r="I680" s="87"/>
      <c r="O680" s="90" t="str">
        <f t="shared" si="598"/>
        <v/>
      </c>
      <c r="Q680" s="91" t="str">
        <f t="shared" si="599"/>
        <v/>
      </c>
      <c r="R680" s="91" t="str">
        <f t="shared" si="602"/>
        <v/>
      </c>
      <c r="S680" s="92" t="str">
        <f t="shared" si="600"/>
        <v/>
      </c>
      <c r="T680" s="93"/>
      <c r="U680" s="94" t="str">
        <f t="shared" si="604"/>
        <v/>
      </c>
      <c r="X680" s="96"/>
      <c r="Y680" s="97" t="str">
        <f t="shared" si="606"/>
        <v/>
      </c>
      <c r="Z680" s="98" t="str">
        <f>SUBSTITUTE('Digitas UK Task 26'!$O680, "Complet", "Not Requir")</f>
        <v/>
      </c>
      <c r="AA680" s="98" t="str">
        <f t="shared" si="605"/>
        <v/>
      </c>
      <c r="AB680" s="99"/>
      <c r="AF680" s="84" t="str">
        <f t="shared" si="601"/>
        <v/>
      </c>
      <c r="AH680" s="84" t="str">
        <f t="shared" si="596"/>
        <v/>
      </c>
      <c r="AI680" s="84" t="str">
        <f t="shared" si="597"/>
        <v/>
      </c>
      <c r="AJ680" s="84" t="str">
        <f>IF(Z680&lt;&gt;"Done","",(_xlfn.CONCAT("PL_",DigitasUKAdOp_26Team[[#This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81" spans="1:36" ht="15.75" customHeight="1" x14ac:dyDescent="0.3">
      <c r="A681" s="85" t="str">
        <f t="shared" si="603"/>
        <v/>
      </c>
      <c r="C681" s="87"/>
      <c r="E681" s="87"/>
      <c r="H681" s="87"/>
      <c r="I681" s="87"/>
      <c r="O681" s="90" t="str">
        <f t="shared" si="598"/>
        <v/>
      </c>
      <c r="Q681" s="91" t="str">
        <f t="shared" si="599"/>
        <v/>
      </c>
      <c r="R681" s="91" t="str">
        <f t="shared" si="602"/>
        <v/>
      </c>
      <c r="S681" s="92" t="str">
        <f t="shared" si="600"/>
        <v/>
      </c>
      <c r="T681" s="93"/>
      <c r="U681" s="94" t="str">
        <f t="shared" si="604"/>
        <v/>
      </c>
      <c r="X681" s="96"/>
      <c r="Y681" s="97" t="str">
        <f t="shared" si="606"/>
        <v/>
      </c>
      <c r="Z681" s="98" t="str">
        <f>SUBSTITUTE('Digitas UK Task 26'!$O681, "Complet", "Not Requir")</f>
        <v/>
      </c>
      <c r="AA681" s="98" t="str">
        <f t="shared" si="605"/>
        <v/>
      </c>
      <c r="AB681" s="99"/>
      <c r="AF681" s="84" t="str">
        <f t="shared" si="601"/>
        <v/>
      </c>
      <c r="AH681" s="84" t="str">
        <f t="shared" si="596"/>
        <v/>
      </c>
      <c r="AI681" s="84" t="str">
        <f t="shared" si="597"/>
        <v/>
      </c>
      <c r="AJ681" s="84" t="str">
        <f>IF(Z681&lt;&gt;"Done","",(_xlfn.CONCAT("PL_",DigitasUKAdOp_26Team[[#This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82" spans="1:36" ht="15.75" customHeight="1" x14ac:dyDescent="0.3">
      <c r="A682" s="85" t="str">
        <f t="shared" si="603"/>
        <v/>
      </c>
      <c r="C682" s="87"/>
      <c r="E682" s="87"/>
      <c r="H682" s="87"/>
      <c r="I682" s="87"/>
      <c r="O682" s="90" t="str">
        <f t="shared" si="598"/>
        <v/>
      </c>
      <c r="Q682" s="91" t="str">
        <f t="shared" si="599"/>
        <v/>
      </c>
      <c r="R682" s="91" t="str">
        <f t="shared" si="602"/>
        <v/>
      </c>
      <c r="S682" s="92" t="str">
        <f t="shared" si="600"/>
        <v/>
      </c>
      <c r="T682" s="93"/>
      <c r="U682" s="94" t="str">
        <f t="shared" si="604"/>
        <v/>
      </c>
      <c r="X682" s="96"/>
      <c r="Y682" s="97" t="str">
        <f t="shared" si="606"/>
        <v/>
      </c>
      <c r="Z682" s="98" t="str">
        <f>SUBSTITUTE('Digitas UK Task 26'!$O682, "Complet", "Not Requir")</f>
        <v/>
      </c>
      <c r="AA682" s="98" t="str">
        <f t="shared" si="605"/>
        <v/>
      </c>
      <c r="AB682" s="99"/>
      <c r="AF682" s="84" t="str">
        <f t="shared" si="601"/>
        <v/>
      </c>
      <c r="AH682" s="84" t="str">
        <f t="shared" si="596"/>
        <v/>
      </c>
      <c r="AI682" s="84" t="str">
        <f t="shared" si="597"/>
        <v/>
      </c>
      <c r="AJ682" s="84" t="str">
        <f>IF(Z682&lt;&gt;"Done","",(_xlfn.CONCAT("PL_",DigitasUKAdOp_26Team[[#This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83" spans="1:36" ht="15.75" customHeight="1" x14ac:dyDescent="0.3">
      <c r="A683" s="85" t="str">
        <f t="shared" si="603"/>
        <v/>
      </c>
      <c r="C683" s="87"/>
      <c r="E683" s="87"/>
      <c r="H683" s="87"/>
      <c r="I683" s="87"/>
      <c r="O683" s="90" t="str">
        <f t="shared" si="598"/>
        <v/>
      </c>
      <c r="Q683" s="91" t="str">
        <f t="shared" si="599"/>
        <v/>
      </c>
      <c r="R683" s="91" t="str">
        <f t="shared" si="602"/>
        <v/>
      </c>
      <c r="S683" s="92" t="str">
        <f t="shared" si="600"/>
        <v/>
      </c>
      <c r="T683" s="93"/>
      <c r="U683" s="94" t="str">
        <f t="shared" si="604"/>
        <v/>
      </c>
      <c r="X683" s="96"/>
      <c r="Y683" s="97" t="str">
        <f t="shared" si="606"/>
        <v/>
      </c>
      <c r="Z683" s="98" t="str">
        <f>SUBSTITUTE('Digitas UK Task 26'!$O683, "Complet", "Not Requir")</f>
        <v/>
      </c>
      <c r="AA683" s="98" t="str">
        <f t="shared" si="605"/>
        <v/>
      </c>
      <c r="AB683" s="99"/>
      <c r="AF683" s="84" t="str">
        <f t="shared" si="601"/>
        <v/>
      </c>
      <c r="AH683" s="84" t="str">
        <f t="shared" si="596"/>
        <v/>
      </c>
      <c r="AI683" s="84" t="str">
        <f t="shared" si="597"/>
        <v/>
      </c>
      <c r="AJ683" s="84" t="str">
        <f>IF(Z683&lt;&gt;"Done","",(_xlfn.CONCAT("PL_",DigitasUKAdOp_26Team[[#This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84" spans="1:36" ht="15.75" customHeight="1" x14ac:dyDescent="0.3">
      <c r="A684" s="85" t="str">
        <f t="shared" si="603"/>
        <v/>
      </c>
      <c r="C684" s="87"/>
      <c r="E684" s="87"/>
      <c r="H684" s="87"/>
      <c r="I684" s="87"/>
      <c r="O684" s="90" t="str">
        <f t="shared" si="598"/>
        <v/>
      </c>
      <c r="Q684" s="91" t="str">
        <f t="shared" si="599"/>
        <v/>
      </c>
      <c r="R684" s="91" t="str">
        <f t="shared" si="602"/>
        <v/>
      </c>
      <c r="S684" s="92" t="str">
        <f t="shared" si="600"/>
        <v/>
      </c>
      <c r="T684" s="93"/>
      <c r="U684" s="94" t="str">
        <f t="shared" si="604"/>
        <v/>
      </c>
      <c r="X684" s="96"/>
      <c r="Y684" s="97" t="str">
        <f t="shared" si="606"/>
        <v/>
      </c>
      <c r="Z684" s="98" t="str">
        <f>SUBSTITUTE('Digitas UK Task 26'!$O684, "Complet", "Not Requir")</f>
        <v/>
      </c>
      <c r="AA684" s="98" t="str">
        <f t="shared" si="605"/>
        <v/>
      </c>
      <c r="AB684" s="99"/>
      <c r="AF684" s="84" t="str">
        <f t="shared" si="601"/>
        <v/>
      </c>
      <c r="AH684" s="84" t="str">
        <f t="shared" si="596"/>
        <v/>
      </c>
      <c r="AI684" s="84" t="str">
        <f t="shared" si="597"/>
        <v/>
      </c>
      <c r="AJ684" s="84" t="str">
        <f>IF(Z684&lt;&gt;"Done","",(_xlfn.CONCAT("PL_",DigitasUKAdOp_26Team[[#This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85" spans="1:36" ht="15.75" customHeight="1" x14ac:dyDescent="0.3">
      <c r="A685" s="85" t="str">
        <f t="shared" si="603"/>
        <v/>
      </c>
      <c r="C685" s="87"/>
      <c r="E685" s="87"/>
      <c r="H685" s="87"/>
      <c r="I685" s="87"/>
      <c r="O685" s="90" t="str">
        <f t="shared" si="598"/>
        <v/>
      </c>
      <c r="Q685" s="91" t="str">
        <f t="shared" si="599"/>
        <v/>
      </c>
      <c r="R685" s="91" t="str">
        <f t="shared" si="602"/>
        <v/>
      </c>
      <c r="S685" s="92" t="str">
        <f t="shared" si="600"/>
        <v/>
      </c>
      <c r="T685" s="93"/>
      <c r="U685" s="94" t="str">
        <f t="shared" si="604"/>
        <v/>
      </c>
      <c r="X685" s="96"/>
      <c r="Y685" s="97" t="str">
        <f t="shared" si="606"/>
        <v/>
      </c>
      <c r="Z685" s="98" t="str">
        <f>SUBSTITUTE('Digitas UK Task 26'!$O685, "Complet", "Not Requir")</f>
        <v/>
      </c>
      <c r="AA685" s="98" t="str">
        <f t="shared" si="605"/>
        <v/>
      </c>
      <c r="AB685" s="99"/>
      <c r="AF685" s="84" t="str">
        <f t="shared" si="601"/>
        <v/>
      </c>
      <c r="AH685" s="84" t="str">
        <f t="shared" si="596"/>
        <v/>
      </c>
      <c r="AI685" s="84" t="str">
        <f t="shared" si="597"/>
        <v/>
      </c>
      <c r="AJ685" s="84" t="str">
        <f>IF(Z685&lt;&gt;"Done","",(_xlfn.CONCAT("PL_",DigitasUKAdOp_26Team[[#This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86" spans="1:36" ht="15.75" customHeight="1" x14ac:dyDescent="0.3">
      <c r="A686" s="85" t="str">
        <f t="shared" si="603"/>
        <v/>
      </c>
      <c r="C686" s="87"/>
      <c r="E686" s="87"/>
      <c r="H686" s="87"/>
      <c r="I686" s="87"/>
      <c r="O686" s="90" t="str">
        <f t="shared" si="598"/>
        <v/>
      </c>
      <c r="Q686" s="91" t="str">
        <f t="shared" si="599"/>
        <v/>
      </c>
      <c r="R686" s="91" t="str">
        <f t="shared" si="602"/>
        <v/>
      </c>
      <c r="S686" s="92" t="str">
        <f t="shared" si="600"/>
        <v/>
      </c>
      <c r="T686" s="93"/>
      <c r="U686" s="94" t="str">
        <f t="shared" si="604"/>
        <v/>
      </c>
      <c r="X686" s="96"/>
      <c r="Y686" s="97" t="str">
        <f t="shared" si="606"/>
        <v/>
      </c>
      <c r="Z686" s="98" t="str">
        <f>SUBSTITUTE('Digitas UK Task 26'!$O686, "Complet", "Not Requir")</f>
        <v/>
      </c>
      <c r="AA686" s="98" t="str">
        <f t="shared" si="605"/>
        <v/>
      </c>
      <c r="AB686" s="99"/>
      <c r="AF686" s="84" t="str">
        <f t="shared" si="601"/>
        <v/>
      </c>
      <c r="AH686" s="84" t="str">
        <f t="shared" si="596"/>
        <v/>
      </c>
      <c r="AI686" s="84" t="str">
        <f t="shared" si="597"/>
        <v/>
      </c>
      <c r="AJ686" s="84" t="str">
        <f>IF(Z686&lt;&gt;"Done","",(_xlfn.CONCAT("PL_",DigitasUKAdOp_26Team[[#This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87" spans="1:36" ht="15.75" customHeight="1" x14ac:dyDescent="0.3">
      <c r="A687" s="85" t="str">
        <f t="shared" si="603"/>
        <v/>
      </c>
      <c r="C687" s="87"/>
      <c r="E687" s="87"/>
      <c r="H687" s="87"/>
      <c r="I687" s="87"/>
      <c r="O687" s="90" t="str">
        <f t="shared" si="598"/>
        <v/>
      </c>
      <c r="Q687" s="91" t="str">
        <f t="shared" si="599"/>
        <v/>
      </c>
      <c r="R687" s="91" t="str">
        <f t="shared" si="602"/>
        <v/>
      </c>
      <c r="S687" s="92" t="str">
        <f t="shared" si="600"/>
        <v/>
      </c>
      <c r="T687" s="93"/>
      <c r="U687" s="94" t="str">
        <f t="shared" si="604"/>
        <v/>
      </c>
      <c r="X687" s="96"/>
      <c r="Y687" s="97" t="str">
        <f t="shared" si="606"/>
        <v/>
      </c>
      <c r="Z687" s="98" t="str">
        <f>SUBSTITUTE('Digitas UK Task 26'!$O687, "Complet", "Not Requir")</f>
        <v/>
      </c>
      <c r="AA687" s="98" t="str">
        <f t="shared" si="605"/>
        <v/>
      </c>
      <c r="AB687" s="99"/>
      <c r="AF687" s="84" t="str">
        <f t="shared" si="601"/>
        <v/>
      </c>
      <c r="AH687" s="84" t="str">
        <f t="shared" ref="AH687:AH750" si="607">IF(B687="","",_xlfn.CONCAT("PL_",J687,"_CR_",K687,"_AD_",L687,"_Jira_",IF(AND(C687="P&amp;G",ISNUMBER(SEARCH("TAAGPNG-",G687))),MID(G687,SEARCH("TAAGPNG-",G687)+8,LEN(G687)-SEARCH("TAAGPNG-",G687)-7),"0"),"_"))</f>
        <v/>
      </c>
      <c r="AI687" s="84" t="str">
        <f t="shared" si="597"/>
        <v/>
      </c>
      <c r="AJ687" s="84" t="str">
        <f>IF(Z687&lt;&gt;"Done","",(_xlfn.CONCAT("PL_",DigitasUKAdOp_26Team[[#This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88" spans="1:36" ht="15.75" customHeight="1" x14ac:dyDescent="0.3">
      <c r="A688" s="85" t="str">
        <f t="shared" si="603"/>
        <v/>
      </c>
      <c r="C688" s="87"/>
      <c r="E688" s="87"/>
      <c r="H688" s="87"/>
      <c r="I688" s="87"/>
      <c r="O688" s="90" t="str">
        <f t="shared" si="598"/>
        <v/>
      </c>
      <c r="Q688" s="91" t="str">
        <f t="shared" si="599"/>
        <v/>
      </c>
      <c r="R688" s="91" t="str">
        <f t="shared" si="602"/>
        <v/>
      </c>
      <c r="S688" s="92" t="str">
        <f t="shared" si="600"/>
        <v/>
      </c>
      <c r="T688" s="93"/>
      <c r="U688" s="94" t="str">
        <f t="shared" si="604"/>
        <v/>
      </c>
      <c r="X688" s="96"/>
      <c r="Y688" s="97" t="str">
        <f t="shared" si="606"/>
        <v/>
      </c>
      <c r="Z688" s="98" t="str">
        <f>SUBSTITUTE('Digitas UK Task 26'!$O688, "Complet", "Not Requir")</f>
        <v/>
      </c>
      <c r="AA688" s="98" t="str">
        <f t="shared" si="605"/>
        <v/>
      </c>
      <c r="AB688" s="99"/>
      <c r="AF688" s="84" t="str">
        <f t="shared" si="601"/>
        <v/>
      </c>
      <c r="AH688" s="84" t="str">
        <f t="shared" si="607"/>
        <v/>
      </c>
      <c r="AI688" s="84" t="str">
        <f t="shared" si="597"/>
        <v/>
      </c>
      <c r="AJ688" s="84" t="str">
        <f>IF(Z688&lt;&gt;"Done","",(_xlfn.CONCAT("PL_",DigitasUKAdOp_26Team[[#This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89" spans="1:36" ht="15.75" customHeight="1" x14ac:dyDescent="0.3">
      <c r="A689" s="85" t="str">
        <f t="shared" si="603"/>
        <v/>
      </c>
      <c r="C689" s="87"/>
      <c r="E689" s="87"/>
      <c r="H689" s="87"/>
      <c r="I689" s="87"/>
      <c r="O689" s="90" t="str">
        <f t="shared" si="598"/>
        <v/>
      </c>
      <c r="Q689" s="91" t="str">
        <f t="shared" si="599"/>
        <v/>
      </c>
      <c r="R689" s="91" t="str">
        <f t="shared" si="602"/>
        <v/>
      </c>
      <c r="S689" s="92" t="str">
        <f t="shared" si="600"/>
        <v/>
      </c>
      <c r="T689" s="93"/>
      <c r="U689" s="94" t="str">
        <f t="shared" si="604"/>
        <v/>
      </c>
      <c r="X689" s="96"/>
      <c r="Y689" s="97" t="str">
        <f t="shared" si="606"/>
        <v/>
      </c>
      <c r="Z689" s="98" t="str">
        <f>SUBSTITUTE('Digitas UK Task 26'!$O689, "Complet", "Not Requir")</f>
        <v/>
      </c>
      <c r="AA689" s="98" t="str">
        <f t="shared" si="605"/>
        <v/>
      </c>
      <c r="AB689" s="99"/>
      <c r="AF689" s="84" t="str">
        <f t="shared" si="601"/>
        <v/>
      </c>
      <c r="AH689" s="84" t="str">
        <f t="shared" si="607"/>
        <v/>
      </c>
      <c r="AI689" s="84" t="str">
        <f t="shared" si="597"/>
        <v/>
      </c>
      <c r="AJ689" s="84" t="str">
        <f>IF(Z689&lt;&gt;"Done","",(_xlfn.CONCAT("PL_",DigitasUKAdOp_26Team[[#This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90" spans="1:36" ht="15.75" customHeight="1" x14ac:dyDescent="0.3">
      <c r="A690" s="85" t="str">
        <f t="shared" si="603"/>
        <v/>
      </c>
      <c r="C690" s="87"/>
      <c r="E690" s="87"/>
      <c r="H690" s="87"/>
      <c r="I690" s="87"/>
      <c r="O690" s="90" t="str">
        <f t="shared" si="598"/>
        <v/>
      </c>
      <c r="Q690" s="91" t="str">
        <f t="shared" si="599"/>
        <v/>
      </c>
      <c r="R690" s="91" t="str">
        <f t="shared" si="602"/>
        <v/>
      </c>
      <c r="S690" s="92" t="str">
        <f t="shared" si="600"/>
        <v/>
      </c>
      <c r="T690" s="93"/>
      <c r="U690" s="94" t="str">
        <f t="shared" si="604"/>
        <v/>
      </c>
      <c r="X690" s="96"/>
      <c r="Y690" s="97" t="str">
        <f t="shared" si="606"/>
        <v/>
      </c>
      <c r="Z690" s="98" t="str">
        <f>SUBSTITUTE('Digitas UK Task 26'!$O690, "Complet", "Not Requir")</f>
        <v/>
      </c>
      <c r="AA690" s="98" t="str">
        <f t="shared" si="605"/>
        <v/>
      </c>
      <c r="AB690" s="99"/>
      <c r="AF690" s="84" t="str">
        <f t="shared" si="601"/>
        <v/>
      </c>
      <c r="AH690" s="84" t="str">
        <f t="shared" si="607"/>
        <v/>
      </c>
      <c r="AI690" s="84" t="str">
        <f t="shared" si="597"/>
        <v/>
      </c>
      <c r="AJ690" s="84" t="str">
        <f>IF(Z690&lt;&gt;"Done","",(_xlfn.CONCAT("PL_",DigitasUKAdOp_26Team[[#This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91" spans="1:36" ht="15.75" customHeight="1" x14ac:dyDescent="0.3">
      <c r="A691" s="85" t="str">
        <f t="shared" si="603"/>
        <v/>
      </c>
      <c r="C691" s="87"/>
      <c r="E691" s="87"/>
      <c r="H691" s="87"/>
      <c r="I691" s="87"/>
      <c r="O691" s="90" t="str">
        <f t="shared" si="598"/>
        <v/>
      </c>
      <c r="Q691" s="91" t="str">
        <f t="shared" si="599"/>
        <v/>
      </c>
      <c r="R691" s="91" t="str">
        <f t="shared" si="602"/>
        <v/>
      </c>
      <c r="S691" s="92" t="str">
        <f t="shared" si="600"/>
        <v/>
      </c>
      <c r="T691" s="93"/>
      <c r="U691" s="94" t="str">
        <f t="shared" si="604"/>
        <v/>
      </c>
      <c r="X691" s="96"/>
      <c r="Y691" s="97" t="str">
        <f t="shared" si="606"/>
        <v/>
      </c>
      <c r="Z691" s="98" t="str">
        <f>SUBSTITUTE('Digitas UK Task 26'!$O691, "Complet", "Not Requir")</f>
        <v/>
      </c>
      <c r="AA691" s="98" t="str">
        <f t="shared" si="605"/>
        <v/>
      </c>
      <c r="AB691" s="99"/>
      <c r="AF691" s="84" t="str">
        <f t="shared" si="601"/>
        <v/>
      </c>
      <c r="AH691" s="84" t="str">
        <f t="shared" si="607"/>
        <v/>
      </c>
      <c r="AI691" s="84" t="str">
        <f t="shared" si="597"/>
        <v/>
      </c>
      <c r="AJ691" s="84" t="str">
        <f>IF(Z691&lt;&gt;"Done","",(_xlfn.CONCAT("PL_",DigitasUKAdOp_26Team[[#This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92" spans="1:36" ht="15.75" customHeight="1" x14ac:dyDescent="0.3">
      <c r="A692" s="85" t="str">
        <f t="shared" si="603"/>
        <v/>
      </c>
      <c r="C692" s="87"/>
      <c r="E692" s="87"/>
      <c r="H692" s="87"/>
      <c r="I692" s="87"/>
      <c r="O692" s="90" t="str">
        <f t="shared" si="598"/>
        <v/>
      </c>
      <c r="Q692" s="91" t="str">
        <f t="shared" si="599"/>
        <v/>
      </c>
      <c r="R692" s="91" t="str">
        <f t="shared" si="602"/>
        <v/>
      </c>
      <c r="S692" s="92" t="str">
        <f t="shared" si="600"/>
        <v/>
      </c>
      <c r="T692" s="93"/>
      <c r="U692" s="94" t="str">
        <f t="shared" si="604"/>
        <v/>
      </c>
      <c r="X692" s="96"/>
      <c r="Y692" s="97" t="str">
        <f t="shared" si="606"/>
        <v/>
      </c>
      <c r="Z692" s="98" t="str">
        <f>SUBSTITUTE('Digitas UK Task 26'!$O692, "Complet", "Not Requir")</f>
        <v/>
      </c>
      <c r="AA692" s="98" t="str">
        <f t="shared" si="605"/>
        <v/>
      </c>
      <c r="AB692" s="99"/>
      <c r="AF692" s="84" t="str">
        <f t="shared" si="601"/>
        <v/>
      </c>
      <c r="AH692" s="84" t="str">
        <f t="shared" si="607"/>
        <v/>
      </c>
      <c r="AI692" s="84" t="str">
        <f t="shared" si="597"/>
        <v/>
      </c>
      <c r="AJ692" s="84" t="str">
        <f>IF(Z692&lt;&gt;"Done","",(_xlfn.CONCAT("PL_",DigitasUKAdOp_26Team[[#This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93" spans="1:36" ht="15.75" customHeight="1" x14ac:dyDescent="0.3">
      <c r="A693" s="85" t="str">
        <f t="shared" si="603"/>
        <v/>
      </c>
      <c r="C693" s="87"/>
      <c r="E693" s="87"/>
      <c r="H693" s="87"/>
      <c r="I693" s="87"/>
      <c r="O693" s="90" t="str">
        <f t="shared" si="598"/>
        <v/>
      </c>
      <c r="Q693" s="91" t="str">
        <f t="shared" si="599"/>
        <v/>
      </c>
      <c r="R693" s="91" t="str">
        <f t="shared" si="602"/>
        <v/>
      </c>
      <c r="S693" s="92" t="str">
        <f t="shared" si="600"/>
        <v/>
      </c>
      <c r="T693" s="93"/>
      <c r="U693" s="94" t="str">
        <f t="shared" si="604"/>
        <v/>
      </c>
      <c r="X693" s="96"/>
      <c r="Y693" s="97" t="str">
        <f t="shared" si="606"/>
        <v/>
      </c>
      <c r="Z693" s="98" t="str">
        <f>SUBSTITUTE('Digitas UK Task 26'!$O693, "Complet", "Not Requir")</f>
        <v/>
      </c>
      <c r="AA693" s="98" t="str">
        <f t="shared" si="605"/>
        <v/>
      </c>
      <c r="AB693" s="99"/>
      <c r="AF693" s="84" t="str">
        <f t="shared" si="601"/>
        <v/>
      </c>
      <c r="AH693" s="84" t="str">
        <f t="shared" si="607"/>
        <v/>
      </c>
      <c r="AI693" s="84" t="str">
        <f t="shared" ref="AI693:AI756" si="608">IF(U693&lt;&gt;"Done","",_xlfn.CONCAT("PL_",J693,"_CR_",K693,"_AD_",L693,"_Jira_",IF(AND(C693="P&amp;G",ISNUMBER(SEARCH("TAAGPNG-",G693))),MID(G693,SEARCH("TAAGPNG-",G693)+8,LEN(G693)-SEARCH("TAAGPNG-",G693)-7),"0"),"_"))</f>
        <v/>
      </c>
      <c r="AJ693" s="84" t="str">
        <f>IF(Z693&lt;&gt;"Done","",(_xlfn.CONCAT("PL_",DigitasUKAdOp_26Team[[#This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94" spans="1:36" ht="15.75" customHeight="1" x14ac:dyDescent="0.3">
      <c r="A694" s="85" t="str">
        <f t="shared" si="603"/>
        <v/>
      </c>
      <c r="C694" s="87"/>
      <c r="E694" s="87"/>
      <c r="H694" s="87"/>
      <c r="I694" s="87"/>
      <c r="O694" s="90" t="str">
        <f t="shared" si="598"/>
        <v/>
      </c>
      <c r="Q694" s="91" t="str">
        <f t="shared" si="599"/>
        <v/>
      </c>
      <c r="R694" s="91" t="str">
        <f t="shared" si="602"/>
        <v/>
      </c>
      <c r="S694" s="92" t="str">
        <f t="shared" si="600"/>
        <v/>
      </c>
      <c r="T694" s="93"/>
      <c r="U694" s="94" t="str">
        <f t="shared" si="604"/>
        <v/>
      </c>
      <c r="X694" s="96"/>
      <c r="Y694" s="97" t="str">
        <f t="shared" si="606"/>
        <v/>
      </c>
      <c r="Z694" s="98" t="str">
        <f>SUBSTITUTE('Digitas UK Task 26'!$O694, "Complet", "Not Requir")</f>
        <v/>
      </c>
      <c r="AA694" s="98" t="str">
        <f t="shared" si="605"/>
        <v/>
      </c>
      <c r="AB694" s="99"/>
      <c r="AF694" s="84" t="str">
        <f t="shared" si="601"/>
        <v/>
      </c>
      <c r="AH694" s="84" t="str">
        <f t="shared" si="607"/>
        <v/>
      </c>
      <c r="AI694" s="84" t="str">
        <f t="shared" si="608"/>
        <v/>
      </c>
      <c r="AJ694" s="84" t="str">
        <f>IF(Z694&lt;&gt;"Done","",(_xlfn.CONCAT("PL_",DigitasUKAdOp_26Team[[#This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95" spans="1:36" ht="15.75" customHeight="1" x14ac:dyDescent="0.3">
      <c r="A695" s="85" t="str">
        <f t="shared" si="603"/>
        <v/>
      </c>
      <c r="C695" s="87"/>
      <c r="E695" s="87"/>
      <c r="H695" s="87"/>
      <c r="I695" s="87"/>
      <c r="O695" s="90" t="str">
        <f t="shared" ref="O695:O758" si="609">IF(F695="","","In-process")</f>
        <v/>
      </c>
      <c r="Q695" s="91" t="str">
        <f t="shared" si="599"/>
        <v/>
      </c>
      <c r="R695" s="91" t="str">
        <f t="shared" si="602"/>
        <v/>
      </c>
      <c r="S695" s="92" t="str">
        <f t="shared" si="600"/>
        <v/>
      </c>
      <c r="T695" s="93"/>
      <c r="U695" s="94" t="str">
        <f t="shared" si="604"/>
        <v/>
      </c>
      <c r="X695" s="96"/>
      <c r="Y695" s="97" t="str">
        <f t="shared" si="606"/>
        <v/>
      </c>
      <c r="Z695" s="98" t="str">
        <f>SUBSTITUTE('Digitas UK Task 26'!$O695, "Complet", "Not Requir")</f>
        <v/>
      </c>
      <c r="AA695" s="98" t="str">
        <f t="shared" si="605"/>
        <v/>
      </c>
      <c r="AB695" s="99"/>
      <c r="AF695" s="84" t="str">
        <f t="shared" si="601"/>
        <v/>
      </c>
      <c r="AH695" s="84" t="str">
        <f t="shared" si="607"/>
        <v/>
      </c>
      <c r="AI695" s="84" t="str">
        <f t="shared" si="608"/>
        <v/>
      </c>
      <c r="AJ695" s="84" t="str">
        <f>IF(Z695&lt;&gt;"Done","",(_xlfn.CONCAT("PL_",DigitasUKAdOp_26Team[[#This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96" spans="1:36" ht="15.75" customHeight="1" x14ac:dyDescent="0.3">
      <c r="A696" s="85" t="str">
        <f t="shared" si="603"/>
        <v/>
      </c>
      <c r="C696" s="87"/>
      <c r="E696" s="87"/>
      <c r="H696" s="87"/>
      <c r="I696" s="87"/>
      <c r="O696" s="90" t="str">
        <f t="shared" si="609"/>
        <v/>
      </c>
      <c r="Q696" s="91" t="str">
        <f t="shared" si="599"/>
        <v/>
      </c>
      <c r="R696" s="91" t="str">
        <f t="shared" si="602"/>
        <v/>
      </c>
      <c r="S696" s="92" t="str">
        <f t="shared" si="600"/>
        <v/>
      </c>
      <c r="T696" s="93"/>
      <c r="U696" s="94" t="str">
        <f t="shared" si="604"/>
        <v/>
      </c>
      <c r="X696" s="96"/>
      <c r="Y696" s="97" t="str">
        <f t="shared" si="606"/>
        <v/>
      </c>
      <c r="Z696" s="98" t="str">
        <f>SUBSTITUTE('Digitas UK Task 26'!$O696, "Complet", "Not Requir")</f>
        <v/>
      </c>
      <c r="AA696" s="98" t="str">
        <f t="shared" si="605"/>
        <v/>
      </c>
      <c r="AB696" s="99"/>
      <c r="AF696" s="84" t="str">
        <f t="shared" si="601"/>
        <v/>
      </c>
      <c r="AH696" s="84" t="str">
        <f t="shared" si="607"/>
        <v/>
      </c>
      <c r="AI696" s="84" t="str">
        <f t="shared" si="608"/>
        <v/>
      </c>
      <c r="AJ696" s="84" t="str">
        <f>IF(Z696&lt;&gt;"Done","",(_xlfn.CONCAT("PL_",DigitasUKAdOp_26Team[[#This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97" spans="1:36" ht="15.75" customHeight="1" x14ac:dyDescent="0.3">
      <c r="A697" s="85" t="str">
        <f t="shared" si="603"/>
        <v/>
      </c>
      <c r="C697" s="87"/>
      <c r="E697" s="87"/>
      <c r="H697" s="87"/>
      <c r="I697" s="87"/>
      <c r="O697" s="90" t="str">
        <f t="shared" si="609"/>
        <v/>
      </c>
      <c r="Q697" s="91" t="str">
        <f t="shared" si="599"/>
        <v/>
      </c>
      <c r="R697" s="91" t="str">
        <f t="shared" si="602"/>
        <v/>
      </c>
      <c r="S697" s="92" t="str">
        <f t="shared" si="600"/>
        <v/>
      </c>
      <c r="T697" s="93"/>
      <c r="U697" s="94" t="str">
        <f t="shared" si="604"/>
        <v/>
      </c>
      <c r="X697" s="96"/>
      <c r="Y697" s="97" t="str">
        <f t="shared" si="606"/>
        <v/>
      </c>
      <c r="Z697" s="98" t="str">
        <f>SUBSTITUTE('Digitas UK Task 26'!$O697, "Complet", "Not Requir")</f>
        <v/>
      </c>
      <c r="AA697" s="98" t="str">
        <f t="shared" si="605"/>
        <v/>
      </c>
      <c r="AB697" s="99"/>
      <c r="AF697" s="84" t="str">
        <f t="shared" si="601"/>
        <v/>
      </c>
      <c r="AH697" s="84" t="str">
        <f t="shared" si="607"/>
        <v/>
      </c>
      <c r="AI697" s="84" t="str">
        <f t="shared" si="608"/>
        <v/>
      </c>
      <c r="AJ697" s="84" t="str">
        <f>IF(Z697&lt;&gt;"Done","",(_xlfn.CONCAT("PL_",DigitasUKAdOp_26Team[[#This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98" spans="1:36" ht="15.75" customHeight="1" x14ac:dyDescent="0.3">
      <c r="A698" s="85" t="str">
        <f t="shared" si="603"/>
        <v/>
      </c>
      <c r="C698" s="87"/>
      <c r="E698" s="87"/>
      <c r="H698" s="87"/>
      <c r="I698" s="87"/>
      <c r="O698" s="90" t="str">
        <f t="shared" si="609"/>
        <v/>
      </c>
      <c r="Q698" s="91" t="str">
        <f t="shared" si="599"/>
        <v/>
      </c>
      <c r="R698" s="91" t="str">
        <f t="shared" si="602"/>
        <v/>
      </c>
      <c r="S698" s="92" t="str">
        <f t="shared" si="600"/>
        <v/>
      </c>
      <c r="T698" s="93"/>
      <c r="U698" s="94" t="str">
        <f t="shared" si="604"/>
        <v/>
      </c>
      <c r="X698" s="96"/>
      <c r="Y698" s="97" t="str">
        <f t="shared" si="606"/>
        <v/>
      </c>
      <c r="Z698" s="98" t="str">
        <f>SUBSTITUTE('Digitas UK Task 26'!$O698, "Complet", "Not Requir")</f>
        <v/>
      </c>
      <c r="AA698" s="98" t="str">
        <f t="shared" si="605"/>
        <v/>
      </c>
      <c r="AB698" s="99"/>
      <c r="AF698" s="84" t="str">
        <f t="shared" si="601"/>
        <v/>
      </c>
      <c r="AH698" s="84" t="str">
        <f t="shared" si="607"/>
        <v/>
      </c>
      <c r="AI698" s="84" t="str">
        <f t="shared" si="608"/>
        <v/>
      </c>
      <c r="AJ698" s="84" t="str">
        <f>IF(Z698&lt;&gt;"Done","",(_xlfn.CONCAT("PL_",DigitasUKAdOp_26Team[[#This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699" spans="1:36" ht="15.75" customHeight="1" x14ac:dyDescent="0.3">
      <c r="A699" s="85" t="str">
        <f t="shared" si="603"/>
        <v/>
      </c>
      <c r="C699" s="87"/>
      <c r="E699" s="87"/>
      <c r="H699" s="87"/>
      <c r="I699" s="87"/>
      <c r="O699" s="90" t="str">
        <f t="shared" si="609"/>
        <v/>
      </c>
      <c r="Q699" s="91" t="str">
        <f t="shared" si="599"/>
        <v/>
      </c>
      <c r="R699" s="91" t="str">
        <f t="shared" si="602"/>
        <v/>
      </c>
      <c r="S699" s="92" t="str">
        <f t="shared" si="600"/>
        <v/>
      </c>
      <c r="T699" s="93"/>
      <c r="U699" s="94" t="str">
        <f t="shared" si="604"/>
        <v/>
      </c>
      <c r="X699" s="96"/>
      <c r="Y699" s="97" t="str">
        <f t="shared" si="606"/>
        <v/>
      </c>
      <c r="Z699" s="98" t="str">
        <f>SUBSTITUTE('Digitas UK Task 26'!$O699, "Complet", "Not Requir")</f>
        <v/>
      </c>
      <c r="AA699" s="98" t="str">
        <f t="shared" si="605"/>
        <v/>
      </c>
      <c r="AB699" s="99"/>
      <c r="AF699" s="84" t="str">
        <f t="shared" si="601"/>
        <v/>
      </c>
      <c r="AH699" s="84" t="str">
        <f t="shared" si="607"/>
        <v/>
      </c>
      <c r="AI699" s="84" t="str">
        <f t="shared" si="608"/>
        <v/>
      </c>
      <c r="AJ699" s="84" t="str">
        <f>IF(Z699&lt;&gt;"Done","",(_xlfn.CONCAT("PL_",DigitasUKAdOp_26Team[[#This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00" spans="1:36" ht="15.75" customHeight="1" x14ac:dyDescent="0.3">
      <c r="A700" s="85" t="str">
        <f t="shared" si="603"/>
        <v/>
      </c>
      <c r="C700" s="87"/>
      <c r="E700" s="87"/>
      <c r="H700" s="87"/>
      <c r="I700" s="87"/>
      <c r="O700" s="90" t="str">
        <f t="shared" si="609"/>
        <v/>
      </c>
      <c r="Q700" s="91" t="str">
        <f t="shared" si="599"/>
        <v/>
      </c>
      <c r="R700" s="91" t="str">
        <f t="shared" si="602"/>
        <v/>
      </c>
      <c r="S700" s="92" t="str">
        <f t="shared" si="600"/>
        <v/>
      </c>
      <c r="T700" s="93"/>
      <c r="U700" s="94" t="str">
        <f t="shared" si="604"/>
        <v/>
      </c>
      <c r="X700" s="96"/>
      <c r="Y700" s="97" t="str">
        <f t="shared" si="606"/>
        <v/>
      </c>
      <c r="Z700" s="98" t="str">
        <f>SUBSTITUTE('Digitas UK Task 26'!$O700, "Complet", "Not Requir")</f>
        <v/>
      </c>
      <c r="AA700" s="98" t="str">
        <f t="shared" si="605"/>
        <v/>
      </c>
      <c r="AB700" s="99"/>
      <c r="AF700" s="84" t="str">
        <f t="shared" si="601"/>
        <v/>
      </c>
      <c r="AH700" s="84" t="str">
        <f t="shared" si="607"/>
        <v/>
      </c>
      <c r="AI700" s="84" t="str">
        <f t="shared" si="608"/>
        <v/>
      </c>
      <c r="AJ700" s="84" t="str">
        <f>IF(Z700&lt;&gt;"Done","",(_xlfn.CONCAT("PL_",DigitasUKAdOp_26Team[[#This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01" spans="1:36" ht="15.75" customHeight="1" x14ac:dyDescent="0.3">
      <c r="A701" s="85" t="str">
        <f t="shared" si="603"/>
        <v/>
      </c>
      <c r="C701" s="87"/>
      <c r="E701" s="87"/>
      <c r="H701" s="87"/>
      <c r="I701" s="87"/>
      <c r="O701" s="90" t="str">
        <f t="shared" si="609"/>
        <v/>
      </c>
      <c r="Q701" s="91" t="str">
        <f t="shared" si="599"/>
        <v/>
      </c>
      <c r="R701" s="91" t="str">
        <f t="shared" si="602"/>
        <v/>
      </c>
      <c r="S701" s="92" t="str">
        <f t="shared" si="600"/>
        <v/>
      </c>
      <c r="T701" s="93"/>
      <c r="U701" s="94" t="str">
        <f t="shared" si="604"/>
        <v/>
      </c>
      <c r="X701" s="96"/>
      <c r="Y701" s="97" t="str">
        <f t="shared" si="606"/>
        <v/>
      </c>
      <c r="Z701" s="98" t="str">
        <f>SUBSTITUTE('Digitas UK Task 26'!$O701, "Complet", "Not Requir")</f>
        <v/>
      </c>
      <c r="AA701" s="98" t="str">
        <f t="shared" si="605"/>
        <v/>
      </c>
      <c r="AB701" s="99"/>
      <c r="AF701" s="84" t="str">
        <f t="shared" si="601"/>
        <v/>
      </c>
      <c r="AH701" s="84" t="str">
        <f t="shared" si="607"/>
        <v/>
      </c>
      <c r="AI701" s="84" t="str">
        <f t="shared" si="608"/>
        <v/>
      </c>
      <c r="AJ701" s="84" t="str">
        <f>IF(Z701&lt;&gt;"Done","",(_xlfn.CONCAT("PL_",DigitasUKAdOp_26Team[[#This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02" spans="1:36" ht="15.75" customHeight="1" x14ac:dyDescent="0.3">
      <c r="A702" s="85" t="str">
        <f t="shared" si="603"/>
        <v/>
      </c>
      <c r="C702" s="87"/>
      <c r="E702" s="87"/>
      <c r="H702" s="87"/>
      <c r="I702" s="87"/>
      <c r="O702" s="90" t="str">
        <f t="shared" si="609"/>
        <v/>
      </c>
      <c r="Q702" s="91" t="str">
        <f t="shared" si="599"/>
        <v/>
      </c>
      <c r="R702" s="91" t="str">
        <f t="shared" si="602"/>
        <v/>
      </c>
      <c r="S702" s="92" t="str">
        <f t="shared" si="600"/>
        <v/>
      </c>
      <c r="T702" s="93"/>
      <c r="U702" s="94" t="str">
        <f t="shared" si="604"/>
        <v/>
      </c>
      <c r="X702" s="96"/>
      <c r="Y702" s="97" t="str">
        <f t="shared" si="606"/>
        <v/>
      </c>
      <c r="Z702" s="98" t="str">
        <f>SUBSTITUTE('Digitas UK Task 26'!$O702, "Complet", "Not Requir")</f>
        <v/>
      </c>
      <c r="AA702" s="98" t="str">
        <f t="shared" si="605"/>
        <v/>
      </c>
      <c r="AB702" s="99"/>
      <c r="AF702" s="84" t="str">
        <f t="shared" si="601"/>
        <v/>
      </c>
      <c r="AH702" s="84" t="str">
        <f t="shared" si="607"/>
        <v/>
      </c>
      <c r="AI702" s="84" t="str">
        <f t="shared" si="608"/>
        <v/>
      </c>
      <c r="AJ702" s="84" t="str">
        <f>IF(Z702&lt;&gt;"Done","",(_xlfn.CONCAT("PL_",DigitasUKAdOp_26Team[[#This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03" spans="1:36" ht="15.75" customHeight="1" x14ac:dyDescent="0.3">
      <c r="A703" s="85" t="str">
        <f t="shared" si="603"/>
        <v/>
      </c>
      <c r="C703" s="87"/>
      <c r="E703" s="87"/>
      <c r="H703" s="87"/>
      <c r="I703" s="87"/>
      <c r="O703" s="90" t="str">
        <f t="shared" si="609"/>
        <v/>
      </c>
      <c r="Q703" s="91" t="str">
        <f t="shared" si="599"/>
        <v/>
      </c>
      <c r="R703" s="91" t="str">
        <f t="shared" si="602"/>
        <v/>
      </c>
      <c r="S703" s="92" t="str">
        <f t="shared" si="600"/>
        <v/>
      </c>
      <c r="T703" s="93"/>
      <c r="U703" s="94" t="str">
        <f t="shared" si="604"/>
        <v/>
      </c>
      <c r="X703" s="96"/>
      <c r="Y703" s="97" t="str">
        <f t="shared" si="606"/>
        <v/>
      </c>
      <c r="Z703" s="98" t="str">
        <f>SUBSTITUTE('Digitas UK Task 26'!$O703, "Complet", "Not Requir")</f>
        <v/>
      </c>
      <c r="AA703" s="98" t="str">
        <f t="shared" si="605"/>
        <v/>
      </c>
      <c r="AB703" s="99"/>
      <c r="AF703" s="84" t="str">
        <f t="shared" si="601"/>
        <v/>
      </c>
      <c r="AH703" s="84" t="str">
        <f t="shared" si="607"/>
        <v/>
      </c>
      <c r="AI703" s="84" t="str">
        <f t="shared" si="608"/>
        <v/>
      </c>
      <c r="AJ703" s="84" t="str">
        <f>IF(Z703&lt;&gt;"Done","",(_xlfn.CONCAT("PL_",DigitasUKAdOp_26Team[[#This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04" spans="1:36" ht="15.75" customHeight="1" x14ac:dyDescent="0.3">
      <c r="A704" s="85" t="str">
        <f t="shared" si="603"/>
        <v/>
      </c>
      <c r="C704" s="87"/>
      <c r="E704" s="87"/>
      <c r="H704" s="87"/>
      <c r="I704" s="87"/>
      <c r="O704" s="90" t="str">
        <f t="shared" si="609"/>
        <v/>
      </c>
      <c r="Q704" s="91" t="str">
        <f t="shared" si="599"/>
        <v/>
      </c>
      <c r="R704" s="91" t="str">
        <f t="shared" si="602"/>
        <v/>
      </c>
      <c r="S704" s="92" t="str">
        <f t="shared" si="600"/>
        <v/>
      </c>
      <c r="T704" s="93"/>
      <c r="U704" s="94" t="str">
        <f t="shared" si="604"/>
        <v/>
      </c>
      <c r="X704" s="96"/>
      <c r="Y704" s="97" t="str">
        <f t="shared" si="606"/>
        <v/>
      </c>
      <c r="Z704" s="98" t="str">
        <f>SUBSTITUTE('Digitas UK Task 26'!$O704, "Complet", "Not Requir")</f>
        <v/>
      </c>
      <c r="AA704" s="98" t="str">
        <f t="shared" si="605"/>
        <v/>
      </c>
      <c r="AB704" s="99"/>
      <c r="AF704" s="84" t="str">
        <f t="shared" si="601"/>
        <v/>
      </c>
      <c r="AH704" s="84" t="str">
        <f t="shared" si="607"/>
        <v/>
      </c>
      <c r="AI704" s="84" t="str">
        <f t="shared" si="608"/>
        <v/>
      </c>
      <c r="AJ704" s="84" t="str">
        <f>IF(Z704&lt;&gt;"Done","",(_xlfn.CONCAT("PL_",DigitasUKAdOp_26Team[[#This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05" spans="1:36" ht="15.75" customHeight="1" x14ac:dyDescent="0.3">
      <c r="A705" s="85" t="str">
        <f t="shared" si="603"/>
        <v/>
      </c>
      <c r="C705" s="87"/>
      <c r="E705" s="87"/>
      <c r="H705" s="87"/>
      <c r="I705" s="87"/>
      <c r="O705" s="90" t="str">
        <f t="shared" si="609"/>
        <v/>
      </c>
      <c r="Q705" s="91" t="str">
        <f t="shared" si="599"/>
        <v/>
      </c>
      <c r="R705" s="91" t="str">
        <f t="shared" si="602"/>
        <v/>
      </c>
      <c r="S705" s="92" t="str">
        <f t="shared" si="600"/>
        <v/>
      </c>
      <c r="T705" s="93"/>
      <c r="U705" s="94" t="str">
        <f t="shared" si="604"/>
        <v/>
      </c>
      <c r="X705" s="96"/>
      <c r="Y705" s="97" t="str">
        <f t="shared" si="606"/>
        <v/>
      </c>
      <c r="Z705" s="98" t="str">
        <f>SUBSTITUTE('Digitas UK Task 26'!$O705, "Complet", "Not Requir")</f>
        <v/>
      </c>
      <c r="AA705" s="98" t="str">
        <f t="shared" si="605"/>
        <v/>
      </c>
      <c r="AB705" s="99"/>
      <c r="AF705" s="84" t="str">
        <f t="shared" si="601"/>
        <v/>
      </c>
      <c r="AH705" s="84" t="str">
        <f t="shared" si="607"/>
        <v/>
      </c>
      <c r="AI705" s="84" t="str">
        <f t="shared" si="608"/>
        <v/>
      </c>
      <c r="AJ705" s="84" t="str">
        <f>IF(Z705&lt;&gt;"Done","",(_xlfn.CONCAT("PL_",DigitasUKAdOp_26Team[[#This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06" spans="1:36" ht="15.75" customHeight="1" x14ac:dyDescent="0.3">
      <c r="A706" s="85" t="str">
        <f t="shared" si="603"/>
        <v/>
      </c>
      <c r="C706" s="87"/>
      <c r="E706" s="87"/>
      <c r="H706" s="87"/>
      <c r="I706" s="87"/>
      <c r="O706" s="90" t="str">
        <f t="shared" si="609"/>
        <v/>
      </c>
      <c r="Q706" s="91" t="str">
        <f t="shared" si="599"/>
        <v/>
      </c>
      <c r="R706" s="91" t="str">
        <f t="shared" si="602"/>
        <v/>
      </c>
      <c r="S706" s="92" t="str">
        <f t="shared" si="600"/>
        <v/>
      </c>
      <c r="T706" s="93"/>
      <c r="U706" s="94" t="str">
        <f t="shared" si="604"/>
        <v/>
      </c>
      <c r="X706" s="96"/>
      <c r="Y706" s="97" t="str">
        <f t="shared" si="606"/>
        <v/>
      </c>
      <c r="Z706" s="98" t="str">
        <f>SUBSTITUTE('Digitas UK Task 26'!$O706, "Complet", "Not Requir")</f>
        <v/>
      </c>
      <c r="AA706" s="98" t="str">
        <f t="shared" si="605"/>
        <v/>
      </c>
      <c r="AB706" s="99"/>
      <c r="AF706" s="84" t="str">
        <f t="shared" si="601"/>
        <v/>
      </c>
      <c r="AH706" s="84" t="str">
        <f t="shared" si="607"/>
        <v/>
      </c>
      <c r="AI706" s="84" t="str">
        <f t="shared" si="608"/>
        <v/>
      </c>
      <c r="AJ706" s="84" t="str">
        <f>IF(Z706&lt;&gt;"Done","",(_xlfn.CONCAT("PL_",DigitasUKAdOp_26Team[[#This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07" spans="1:36" ht="15.75" customHeight="1" x14ac:dyDescent="0.3">
      <c r="A707" s="85" t="str">
        <f t="shared" si="603"/>
        <v/>
      </c>
      <c r="C707" s="87"/>
      <c r="E707" s="87"/>
      <c r="H707" s="87"/>
      <c r="I707" s="87"/>
      <c r="O707" s="90" t="str">
        <f t="shared" si="609"/>
        <v/>
      </c>
      <c r="Q707" s="91" t="str">
        <f t="shared" si="599"/>
        <v/>
      </c>
      <c r="R707" s="91" t="str">
        <f t="shared" si="602"/>
        <v/>
      </c>
      <c r="S707" s="92" t="str">
        <f t="shared" si="600"/>
        <v/>
      </c>
      <c r="T707" s="93"/>
      <c r="U707" s="94" t="str">
        <f t="shared" si="604"/>
        <v/>
      </c>
      <c r="X707" s="96"/>
      <c r="Y707" s="97" t="str">
        <f t="shared" si="606"/>
        <v/>
      </c>
      <c r="Z707" s="98" t="str">
        <f>SUBSTITUTE('Digitas UK Task 26'!$O707, "Complet", "Not Requir")</f>
        <v/>
      </c>
      <c r="AA707" s="98" t="str">
        <f t="shared" si="605"/>
        <v/>
      </c>
      <c r="AB707" s="99"/>
      <c r="AF707" s="84" t="str">
        <f t="shared" si="601"/>
        <v/>
      </c>
      <c r="AH707" s="84" t="str">
        <f t="shared" si="607"/>
        <v/>
      </c>
      <c r="AI707" s="84" t="str">
        <f t="shared" si="608"/>
        <v/>
      </c>
      <c r="AJ707" s="84" t="str">
        <f>IF(Z707&lt;&gt;"Done","",(_xlfn.CONCAT("PL_",DigitasUKAdOp_26Team[[#This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08" spans="1:36" ht="15.75" customHeight="1" x14ac:dyDescent="0.3">
      <c r="A708" s="85" t="str">
        <f t="shared" si="603"/>
        <v/>
      </c>
      <c r="C708" s="87"/>
      <c r="E708" s="87"/>
      <c r="H708" s="87"/>
      <c r="I708" s="87"/>
      <c r="O708" s="90" t="str">
        <f t="shared" si="609"/>
        <v/>
      </c>
      <c r="Q708" s="91" t="str">
        <f t="shared" si="599"/>
        <v/>
      </c>
      <c r="R708" s="91" t="str">
        <f t="shared" si="602"/>
        <v/>
      </c>
      <c r="S708" s="92" t="str">
        <f t="shared" si="600"/>
        <v/>
      </c>
      <c r="T708" s="93"/>
      <c r="U708" s="94" t="str">
        <f t="shared" si="604"/>
        <v/>
      </c>
      <c r="X708" s="96"/>
      <c r="Y708" s="97" t="str">
        <f t="shared" si="606"/>
        <v/>
      </c>
      <c r="Z708" s="98" t="str">
        <f>SUBSTITUTE('Digitas UK Task 26'!$O708, "Complet", "Not Requir")</f>
        <v/>
      </c>
      <c r="AA708" s="98" t="str">
        <f t="shared" si="605"/>
        <v/>
      </c>
      <c r="AB708" s="99"/>
      <c r="AF708" s="84" t="str">
        <f t="shared" si="601"/>
        <v/>
      </c>
      <c r="AH708" s="84" t="str">
        <f t="shared" si="607"/>
        <v/>
      </c>
      <c r="AI708" s="84" t="str">
        <f t="shared" si="608"/>
        <v/>
      </c>
      <c r="AJ708" s="84" t="str">
        <f>IF(Z708&lt;&gt;"Done","",(_xlfn.CONCAT("PL_",DigitasUKAdOp_26Team[[#This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09" spans="1:36" ht="15.75" customHeight="1" x14ac:dyDescent="0.3">
      <c r="A709" s="85" t="str">
        <f t="shared" si="603"/>
        <v/>
      </c>
      <c r="C709" s="87"/>
      <c r="E709" s="87"/>
      <c r="H709" s="87"/>
      <c r="I709" s="87"/>
      <c r="O709" s="90" t="str">
        <f t="shared" si="609"/>
        <v/>
      </c>
      <c r="Q709" s="91" t="str">
        <f t="shared" si="599"/>
        <v/>
      </c>
      <c r="R709" s="91" t="str">
        <f t="shared" si="602"/>
        <v/>
      </c>
      <c r="S709" s="92" t="str">
        <f t="shared" si="600"/>
        <v/>
      </c>
      <c r="T709" s="93"/>
      <c r="U709" s="94" t="str">
        <f t="shared" si="604"/>
        <v/>
      </c>
      <c r="X709" s="96"/>
      <c r="Y709" s="97" t="str">
        <f t="shared" si="606"/>
        <v/>
      </c>
      <c r="Z709" s="98" t="str">
        <f>SUBSTITUTE('Digitas UK Task 26'!$O709, "Complet", "Not Requir")</f>
        <v/>
      </c>
      <c r="AA709" s="98" t="str">
        <f t="shared" si="605"/>
        <v/>
      </c>
      <c r="AB709" s="99"/>
      <c r="AF709" s="84" t="str">
        <f t="shared" si="601"/>
        <v/>
      </c>
      <c r="AH709" s="84" t="str">
        <f t="shared" si="607"/>
        <v/>
      </c>
      <c r="AI709" s="84" t="str">
        <f t="shared" si="608"/>
        <v/>
      </c>
      <c r="AJ709" s="84" t="str">
        <f>IF(Z709&lt;&gt;"Done","",(_xlfn.CONCAT("PL_",DigitasUKAdOp_26Team[[#This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10" spans="1:36" ht="15.75" customHeight="1" x14ac:dyDescent="0.3">
      <c r="A710" s="85" t="str">
        <f t="shared" si="603"/>
        <v/>
      </c>
      <c r="C710" s="87"/>
      <c r="E710" s="87"/>
      <c r="H710" s="87"/>
      <c r="I710" s="87"/>
      <c r="O710" s="90" t="str">
        <f t="shared" si="609"/>
        <v/>
      </c>
      <c r="Q710" s="91" t="str">
        <f t="shared" si="599"/>
        <v/>
      </c>
      <c r="R710" s="91" t="str">
        <f t="shared" si="602"/>
        <v/>
      </c>
      <c r="S710" s="92" t="str">
        <f t="shared" si="600"/>
        <v/>
      </c>
      <c r="T710" s="93"/>
      <c r="U710" s="94" t="str">
        <f t="shared" si="604"/>
        <v/>
      </c>
      <c r="X710" s="96"/>
      <c r="Y710" s="97" t="str">
        <f t="shared" si="606"/>
        <v/>
      </c>
      <c r="Z710" s="98" t="str">
        <f>SUBSTITUTE('Digitas UK Task 26'!$O710, "Complet", "Not Requir")</f>
        <v/>
      </c>
      <c r="AA710" s="98" t="str">
        <f t="shared" si="605"/>
        <v/>
      </c>
      <c r="AB710" s="99"/>
      <c r="AF710" s="84" t="str">
        <f t="shared" si="601"/>
        <v/>
      </c>
      <c r="AH710" s="84" t="str">
        <f t="shared" si="607"/>
        <v/>
      </c>
      <c r="AI710" s="84" t="str">
        <f t="shared" si="608"/>
        <v/>
      </c>
      <c r="AJ710" s="84" t="str">
        <f>IF(Z710&lt;&gt;"Done","",(_xlfn.CONCAT("PL_",DigitasUKAdOp_26Team[[#This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11" spans="1:36" ht="15.75" customHeight="1" x14ac:dyDescent="0.3">
      <c r="A711" s="85" t="str">
        <f t="shared" si="603"/>
        <v/>
      </c>
      <c r="C711" s="87"/>
      <c r="E711" s="87"/>
      <c r="H711" s="87"/>
      <c r="I711" s="87"/>
      <c r="O711" s="90" t="str">
        <f t="shared" si="609"/>
        <v/>
      </c>
      <c r="Q711" s="91" t="str">
        <f t="shared" si="599"/>
        <v/>
      </c>
      <c r="R711" s="91" t="str">
        <f t="shared" si="602"/>
        <v/>
      </c>
      <c r="S711" s="92" t="str">
        <f t="shared" si="600"/>
        <v/>
      </c>
      <c r="T711" s="93"/>
      <c r="U711" s="94" t="str">
        <f t="shared" si="604"/>
        <v/>
      </c>
      <c r="X711" s="96"/>
      <c r="Y711" s="97" t="str">
        <f t="shared" si="606"/>
        <v/>
      </c>
      <c r="Z711" s="98" t="str">
        <f>SUBSTITUTE('Digitas UK Task 26'!$O711, "Complet", "Not Requir")</f>
        <v/>
      </c>
      <c r="AA711" s="98" t="str">
        <f t="shared" si="605"/>
        <v/>
      </c>
      <c r="AB711" s="99"/>
      <c r="AF711" s="84" t="str">
        <f t="shared" si="601"/>
        <v/>
      </c>
      <c r="AH711" s="84" t="str">
        <f t="shared" si="607"/>
        <v/>
      </c>
      <c r="AI711" s="84" t="str">
        <f t="shared" si="608"/>
        <v/>
      </c>
      <c r="AJ711" s="84" t="str">
        <f>IF(Z711&lt;&gt;"Done","",(_xlfn.CONCAT("PL_",DigitasUKAdOp_26Team[[#This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12" spans="1:36" ht="15.75" customHeight="1" x14ac:dyDescent="0.3">
      <c r="A712" s="85" t="str">
        <f t="shared" si="603"/>
        <v/>
      </c>
      <c r="C712" s="87"/>
      <c r="E712" s="87"/>
      <c r="H712" s="87"/>
      <c r="I712" s="87"/>
      <c r="O712" s="90" t="str">
        <f t="shared" si="609"/>
        <v/>
      </c>
      <c r="Q712" s="91" t="str">
        <f t="shared" si="599"/>
        <v/>
      </c>
      <c r="R712" s="91" t="str">
        <f t="shared" si="602"/>
        <v/>
      </c>
      <c r="S712" s="92" t="str">
        <f t="shared" si="600"/>
        <v/>
      </c>
      <c r="T712" s="93"/>
      <c r="U712" s="94" t="str">
        <f t="shared" si="604"/>
        <v/>
      </c>
      <c r="X712" s="96"/>
      <c r="Y712" s="97" t="str">
        <f t="shared" si="606"/>
        <v/>
      </c>
      <c r="Z712" s="98" t="str">
        <f>SUBSTITUTE('Digitas UK Task 26'!$O712, "Complet", "Not Requir")</f>
        <v/>
      </c>
      <c r="AA712" s="98" t="str">
        <f t="shared" si="605"/>
        <v/>
      </c>
      <c r="AB712" s="99"/>
      <c r="AF712" s="84" t="str">
        <f t="shared" si="601"/>
        <v/>
      </c>
      <c r="AH712" s="84" t="str">
        <f t="shared" si="607"/>
        <v/>
      </c>
      <c r="AI712" s="84" t="str">
        <f t="shared" si="608"/>
        <v/>
      </c>
      <c r="AJ712" s="84" t="str">
        <f>IF(Z712&lt;&gt;"Done","",(_xlfn.CONCAT("PL_",DigitasUKAdOp_26Team[[#This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13" spans="1:36" ht="15.75" customHeight="1" x14ac:dyDescent="0.3">
      <c r="A713" s="85" t="str">
        <f t="shared" si="603"/>
        <v/>
      </c>
      <c r="C713" s="87"/>
      <c r="E713" s="87"/>
      <c r="H713" s="87"/>
      <c r="I713" s="87"/>
      <c r="O713" s="90" t="str">
        <f t="shared" si="609"/>
        <v/>
      </c>
      <c r="Q713" s="91" t="str">
        <f t="shared" si="599"/>
        <v/>
      </c>
      <c r="R713" s="91" t="str">
        <f t="shared" si="602"/>
        <v/>
      </c>
      <c r="S713" s="92" t="str">
        <f t="shared" si="600"/>
        <v/>
      </c>
      <c r="T713" s="93"/>
      <c r="U713" s="94" t="str">
        <f t="shared" si="604"/>
        <v/>
      </c>
      <c r="X713" s="96"/>
      <c r="Y713" s="97" t="str">
        <f t="shared" si="606"/>
        <v/>
      </c>
      <c r="Z713" s="98" t="str">
        <f>SUBSTITUTE('Digitas UK Task 26'!$O713, "Complet", "Not Requir")</f>
        <v/>
      </c>
      <c r="AA713" s="98" t="str">
        <f t="shared" si="605"/>
        <v/>
      </c>
      <c r="AB713" s="99"/>
      <c r="AF713" s="84" t="str">
        <f t="shared" si="601"/>
        <v/>
      </c>
      <c r="AH713" s="84" t="str">
        <f t="shared" si="607"/>
        <v/>
      </c>
      <c r="AI713" s="84" t="str">
        <f t="shared" si="608"/>
        <v/>
      </c>
      <c r="AJ713" s="84" t="str">
        <f>IF(Z713&lt;&gt;"Done","",(_xlfn.CONCAT("PL_",DigitasUKAdOp_26Team[[#This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14" spans="1:36" ht="15.75" customHeight="1" x14ac:dyDescent="0.3">
      <c r="A714" s="85" t="str">
        <f t="shared" si="603"/>
        <v/>
      </c>
      <c r="C714" s="87"/>
      <c r="E714" s="87"/>
      <c r="H714" s="87"/>
      <c r="I714" s="87"/>
      <c r="O714" s="90" t="str">
        <f t="shared" si="609"/>
        <v/>
      </c>
      <c r="Q714" s="91" t="str">
        <f t="shared" si="599"/>
        <v/>
      </c>
      <c r="R714" s="91" t="str">
        <f t="shared" si="602"/>
        <v/>
      </c>
      <c r="S714" s="92" t="str">
        <f t="shared" si="600"/>
        <v/>
      </c>
      <c r="T714" s="93"/>
      <c r="U714" s="94" t="str">
        <f t="shared" si="604"/>
        <v/>
      </c>
      <c r="X714" s="96"/>
      <c r="Y714" s="97" t="str">
        <f t="shared" si="606"/>
        <v/>
      </c>
      <c r="Z714" s="98" t="str">
        <f>SUBSTITUTE('Digitas UK Task 26'!$O714, "Complet", "Not Requir")</f>
        <v/>
      </c>
      <c r="AA714" s="98" t="str">
        <f t="shared" si="605"/>
        <v/>
      </c>
      <c r="AB714" s="99"/>
      <c r="AF714" s="84" t="str">
        <f t="shared" si="601"/>
        <v/>
      </c>
      <c r="AH714" s="84" t="str">
        <f t="shared" si="607"/>
        <v/>
      </c>
      <c r="AI714" s="84" t="str">
        <f t="shared" si="608"/>
        <v/>
      </c>
      <c r="AJ714" s="84" t="str">
        <f>IF(Z714&lt;&gt;"Done","",(_xlfn.CONCAT("PL_",DigitasUKAdOp_26Team[[#This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15" spans="1:36" ht="15.75" customHeight="1" x14ac:dyDescent="0.3">
      <c r="A715" s="85" t="str">
        <f t="shared" si="603"/>
        <v/>
      </c>
      <c r="C715" s="87"/>
      <c r="E715" s="87"/>
      <c r="H715" s="87"/>
      <c r="I715" s="87"/>
      <c r="O715" s="90" t="str">
        <f t="shared" si="609"/>
        <v/>
      </c>
      <c r="Q715" s="91" t="str">
        <f t="shared" si="599"/>
        <v/>
      </c>
      <c r="R715" s="91" t="str">
        <f t="shared" si="602"/>
        <v/>
      </c>
      <c r="S715" s="92" t="str">
        <f t="shared" si="600"/>
        <v/>
      </c>
      <c r="T715" s="93"/>
      <c r="U715" s="94" t="str">
        <f t="shared" si="604"/>
        <v/>
      </c>
      <c r="X715" s="96"/>
      <c r="Y715" s="97" t="str">
        <f t="shared" si="606"/>
        <v/>
      </c>
      <c r="Z715" s="98" t="str">
        <f>SUBSTITUTE('Digitas UK Task 26'!$O715, "Complet", "Not Requir")</f>
        <v/>
      </c>
      <c r="AA715" s="98" t="str">
        <f t="shared" si="605"/>
        <v/>
      </c>
      <c r="AB715" s="99"/>
      <c r="AF715" s="84" t="str">
        <f t="shared" si="601"/>
        <v/>
      </c>
      <c r="AH715" s="84" t="str">
        <f t="shared" si="607"/>
        <v/>
      </c>
      <c r="AI715" s="84" t="str">
        <f t="shared" si="608"/>
        <v/>
      </c>
      <c r="AJ715" s="84" t="str">
        <f>IF(Z715&lt;&gt;"Done","",(_xlfn.CONCAT("PL_",DigitasUKAdOp_26Team[[#This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16" spans="1:36" ht="15.75" customHeight="1" x14ac:dyDescent="0.3">
      <c r="A716" s="85" t="str">
        <f t="shared" si="603"/>
        <v/>
      </c>
      <c r="C716" s="87"/>
      <c r="E716" s="87"/>
      <c r="H716" s="87"/>
      <c r="I716" s="87"/>
      <c r="O716" s="90" t="str">
        <f t="shared" si="609"/>
        <v/>
      </c>
      <c r="Q716" s="91" t="str">
        <f t="shared" si="599"/>
        <v/>
      </c>
      <c r="R716" s="91" t="str">
        <f t="shared" si="602"/>
        <v/>
      </c>
      <c r="S716" s="92" t="str">
        <f t="shared" si="600"/>
        <v/>
      </c>
      <c r="T716" s="93"/>
      <c r="U716" s="94" t="str">
        <f t="shared" si="604"/>
        <v/>
      </c>
      <c r="X716" s="96"/>
      <c r="Y716" s="97" t="str">
        <f t="shared" si="606"/>
        <v/>
      </c>
      <c r="Z716" s="98" t="str">
        <f>SUBSTITUTE('Digitas UK Task 26'!$O716, "Complet", "Not Requir")</f>
        <v/>
      </c>
      <c r="AA716" s="98" t="str">
        <f t="shared" si="605"/>
        <v/>
      </c>
      <c r="AB716" s="99"/>
      <c r="AF716" s="84" t="str">
        <f t="shared" si="601"/>
        <v/>
      </c>
      <c r="AH716" s="84" t="str">
        <f t="shared" si="607"/>
        <v/>
      </c>
      <c r="AI716" s="84" t="str">
        <f t="shared" si="608"/>
        <v/>
      </c>
      <c r="AJ716" s="84" t="str">
        <f>IF(Z716&lt;&gt;"Done","",(_xlfn.CONCAT("PL_",DigitasUKAdOp_26Team[[#This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17" spans="1:36" ht="15.75" customHeight="1" x14ac:dyDescent="0.3">
      <c r="A717" s="85" t="str">
        <f t="shared" si="603"/>
        <v/>
      </c>
      <c r="C717" s="87"/>
      <c r="E717" s="87"/>
      <c r="H717" s="87"/>
      <c r="I717" s="87"/>
      <c r="O717" s="90" t="str">
        <f t="shared" si="609"/>
        <v/>
      </c>
      <c r="Q717" s="91" t="str">
        <f t="shared" si="599"/>
        <v/>
      </c>
      <c r="R717" s="91" t="str">
        <f t="shared" si="602"/>
        <v/>
      </c>
      <c r="S717" s="92" t="str">
        <f t="shared" si="600"/>
        <v/>
      </c>
      <c r="T717" s="93"/>
      <c r="U717" s="94" t="str">
        <f t="shared" si="604"/>
        <v/>
      </c>
      <c r="X717" s="96"/>
      <c r="Y717" s="97" t="str">
        <f t="shared" si="606"/>
        <v/>
      </c>
      <c r="Z717" s="98" t="str">
        <f>SUBSTITUTE('Digitas UK Task 26'!$O717, "Complet", "Not Requir")</f>
        <v/>
      </c>
      <c r="AA717" s="98" t="str">
        <f t="shared" si="605"/>
        <v/>
      </c>
      <c r="AB717" s="99"/>
      <c r="AF717" s="84" t="str">
        <f t="shared" si="601"/>
        <v/>
      </c>
      <c r="AH717" s="84" t="str">
        <f t="shared" si="607"/>
        <v/>
      </c>
      <c r="AI717" s="84" t="str">
        <f t="shared" si="608"/>
        <v/>
      </c>
      <c r="AJ717" s="84" t="str">
        <f>IF(Z717&lt;&gt;"Done","",(_xlfn.CONCAT("PL_",DigitasUKAdOp_26Team[[#This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18" spans="1:36" ht="15.75" customHeight="1" x14ac:dyDescent="0.3">
      <c r="A718" s="85" t="str">
        <f t="shared" si="603"/>
        <v/>
      </c>
      <c r="C718" s="87"/>
      <c r="E718" s="87"/>
      <c r="H718" s="87"/>
      <c r="I718" s="87"/>
      <c r="O718" s="90" t="str">
        <f t="shared" si="609"/>
        <v/>
      </c>
      <c r="Q718" s="91" t="str">
        <f t="shared" si="599"/>
        <v/>
      </c>
      <c r="R718" s="91" t="str">
        <f t="shared" si="602"/>
        <v/>
      </c>
      <c r="S718" s="92" t="str">
        <f t="shared" si="600"/>
        <v/>
      </c>
      <c r="T718" s="93"/>
      <c r="U718" s="94" t="str">
        <f t="shared" si="604"/>
        <v/>
      </c>
      <c r="X718" s="96"/>
      <c r="Y718" s="97" t="str">
        <f t="shared" si="606"/>
        <v/>
      </c>
      <c r="Z718" s="98" t="str">
        <f>SUBSTITUTE('Digitas UK Task 26'!$O718, "Complet", "Not Requir")</f>
        <v/>
      </c>
      <c r="AA718" s="98" t="str">
        <f t="shared" si="605"/>
        <v/>
      </c>
      <c r="AB718" s="99"/>
      <c r="AF718" s="84" t="str">
        <f t="shared" si="601"/>
        <v/>
      </c>
      <c r="AH718" s="84" t="str">
        <f t="shared" si="607"/>
        <v/>
      </c>
      <c r="AI718" s="84" t="str">
        <f t="shared" si="608"/>
        <v/>
      </c>
      <c r="AJ718" s="84" t="str">
        <f>IF(Z718&lt;&gt;"Done","",(_xlfn.CONCAT("PL_",DigitasUKAdOp_26Team[[#This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19" spans="1:36" ht="15.75" customHeight="1" x14ac:dyDescent="0.3">
      <c r="A719" s="85" t="str">
        <f t="shared" si="603"/>
        <v/>
      </c>
      <c r="C719" s="87"/>
      <c r="E719" s="87"/>
      <c r="H719" s="87"/>
      <c r="I719" s="87"/>
      <c r="O719" s="90" t="str">
        <f t="shared" si="609"/>
        <v/>
      </c>
      <c r="Q719" s="91" t="str">
        <f t="shared" ref="Q719:Q782" si="610">IF(B719="","",WEEKNUM(B719))</f>
        <v/>
      </c>
      <c r="R719" s="91" t="str">
        <f t="shared" si="602"/>
        <v/>
      </c>
      <c r="S719" s="92" t="str">
        <f t="shared" ref="S719:S782" si="611">IF(B719="","",TEXT(B719,"DDDD"))</f>
        <v/>
      </c>
      <c r="T719" s="93"/>
      <c r="U719" s="94" t="str">
        <f t="shared" si="604"/>
        <v/>
      </c>
      <c r="X719" s="96"/>
      <c r="Y719" s="97" t="str">
        <f t="shared" si="606"/>
        <v/>
      </c>
      <c r="Z719" s="98" t="str">
        <f>SUBSTITUTE('Digitas UK Task 26'!$O719, "Complet", "Not Requir")</f>
        <v/>
      </c>
      <c r="AA719" s="98" t="str">
        <f t="shared" si="605"/>
        <v/>
      </c>
      <c r="AB719" s="99"/>
      <c r="AF719" s="84" t="str">
        <f t="shared" si="601"/>
        <v/>
      </c>
      <c r="AH719" s="84" t="str">
        <f t="shared" si="607"/>
        <v/>
      </c>
      <c r="AI719" s="84" t="str">
        <f t="shared" si="608"/>
        <v/>
      </c>
      <c r="AJ719" s="84" t="str">
        <f>IF(Z719&lt;&gt;"Done","",(_xlfn.CONCAT("PL_",DigitasUKAdOp_26Team[[#This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20" spans="1:36" ht="15.75" customHeight="1" x14ac:dyDescent="0.3">
      <c r="A720" s="85" t="str">
        <f t="shared" si="603"/>
        <v/>
      </c>
      <c r="C720" s="87"/>
      <c r="E720" s="87"/>
      <c r="H720" s="87"/>
      <c r="I720" s="87"/>
      <c r="O720" s="90" t="str">
        <f t="shared" si="609"/>
        <v/>
      </c>
      <c r="Q720" s="91" t="str">
        <f t="shared" si="610"/>
        <v/>
      </c>
      <c r="R720" s="91" t="str">
        <f t="shared" si="602"/>
        <v/>
      </c>
      <c r="S720" s="92" t="str">
        <f t="shared" si="611"/>
        <v/>
      </c>
      <c r="T720" s="93"/>
      <c r="U720" s="94" t="str">
        <f t="shared" si="604"/>
        <v/>
      </c>
      <c r="X720" s="96"/>
      <c r="Y720" s="97" t="str">
        <f t="shared" si="606"/>
        <v/>
      </c>
      <c r="Z720" s="98" t="str">
        <f>SUBSTITUTE('Digitas UK Task 26'!$O720, "Complet", "Not Requir")</f>
        <v/>
      </c>
      <c r="AA720" s="98" t="str">
        <f t="shared" si="605"/>
        <v/>
      </c>
      <c r="AB720" s="99"/>
      <c r="AF720" s="84" t="str">
        <f t="shared" si="601"/>
        <v/>
      </c>
      <c r="AH720" s="84" t="str">
        <f t="shared" si="607"/>
        <v/>
      </c>
      <c r="AI720" s="84" t="str">
        <f t="shared" si="608"/>
        <v/>
      </c>
      <c r="AJ720" s="84" t="str">
        <f>IF(Z720&lt;&gt;"Done","",(_xlfn.CONCAT("PL_",DigitasUKAdOp_26Team[[#This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21" spans="1:36" ht="15.75" customHeight="1" x14ac:dyDescent="0.3">
      <c r="A721" s="85" t="str">
        <f t="shared" si="603"/>
        <v/>
      </c>
      <c r="C721" s="87"/>
      <c r="E721" s="87"/>
      <c r="H721" s="87"/>
      <c r="I721" s="87"/>
      <c r="O721" s="90" t="str">
        <f t="shared" si="609"/>
        <v/>
      </c>
      <c r="Q721" s="91" t="str">
        <f t="shared" si="610"/>
        <v/>
      </c>
      <c r="R721" s="91" t="str">
        <f t="shared" si="602"/>
        <v/>
      </c>
      <c r="S721" s="92" t="str">
        <f t="shared" si="611"/>
        <v/>
      </c>
      <c r="T721" s="93"/>
      <c r="U721" s="94" t="str">
        <f t="shared" si="604"/>
        <v/>
      </c>
      <c r="X721" s="96"/>
      <c r="Y721" s="97" t="str">
        <f t="shared" si="606"/>
        <v/>
      </c>
      <c r="Z721" s="98" t="str">
        <f>SUBSTITUTE('Digitas UK Task 26'!$O721, "Complet", "Not Requir")</f>
        <v/>
      </c>
      <c r="AA721" s="98" t="str">
        <f t="shared" si="605"/>
        <v/>
      </c>
      <c r="AB721" s="99"/>
      <c r="AF721" s="84" t="str">
        <f t="shared" si="601"/>
        <v/>
      </c>
      <c r="AH721" s="84" t="str">
        <f t="shared" si="607"/>
        <v/>
      </c>
      <c r="AI721" s="84" t="str">
        <f t="shared" si="608"/>
        <v/>
      </c>
      <c r="AJ721" s="84" t="str">
        <f>IF(Z721&lt;&gt;"Done","",(_xlfn.CONCAT("PL_",DigitasUKAdOp_26Team[[#This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22" spans="1:36" ht="15.75" customHeight="1" x14ac:dyDescent="0.3">
      <c r="A722" s="85" t="str">
        <f t="shared" si="603"/>
        <v/>
      </c>
      <c r="C722" s="87"/>
      <c r="E722" s="87"/>
      <c r="H722" s="87"/>
      <c r="I722" s="87"/>
      <c r="O722" s="90" t="str">
        <f t="shared" si="609"/>
        <v/>
      </c>
      <c r="Q722" s="91" t="str">
        <f t="shared" si="610"/>
        <v/>
      </c>
      <c r="R722" s="91" t="str">
        <f t="shared" si="602"/>
        <v/>
      </c>
      <c r="S722" s="92" t="str">
        <f t="shared" si="611"/>
        <v/>
      </c>
      <c r="T722" s="93"/>
      <c r="U722" s="94" t="str">
        <f t="shared" si="604"/>
        <v/>
      </c>
      <c r="X722" s="96"/>
      <c r="Y722" s="97" t="str">
        <f t="shared" si="606"/>
        <v/>
      </c>
      <c r="Z722" s="98" t="str">
        <f>SUBSTITUTE('Digitas UK Task 26'!$O722, "Complet", "Not Requir")</f>
        <v/>
      </c>
      <c r="AA722" s="98" t="str">
        <f t="shared" si="605"/>
        <v/>
      </c>
      <c r="AB722" s="99"/>
      <c r="AF722" s="84" t="str">
        <f t="shared" si="601"/>
        <v/>
      </c>
      <c r="AH722" s="84" t="str">
        <f t="shared" si="607"/>
        <v/>
      </c>
      <c r="AI722" s="84" t="str">
        <f t="shared" si="608"/>
        <v/>
      </c>
      <c r="AJ722" s="84" t="str">
        <f>IF(Z722&lt;&gt;"Done","",(_xlfn.CONCAT("PL_",DigitasUKAdOp_26Team[[#This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23" spans="1:36" ht="15.75" customHeight="1" x14ac:dyDescent="0.3">
      <c r="A723" s="85" t="str">
        <f t="shared" si="603"/>
        <v/>
      </c>
      <c r="C723" s="87"/>
      <c r="E723" s="87"/>
      <c r="H723" s="87"/>
      <c r="I723" s="87"/>
      <c r="O723" s="90" t="str">
        <f t="shared" si="609"/>
        <v/>
      </c>
      <c r="Q723" s="91" t="str">
        <f t="shared" si="610"/>
        <v/>
      </c>
      <c r="R723" s="91" t="str">
        <f t="shared" si="602"/>
        <v/>
      </c>
      <c r="S723" s="92" t="str">
        <f t="shared" si="611"/>
        <v/>
      </c>
      <c r="T723" s="93"/>
      <c r="U723" s="94" t="str">
        <f t="shared" si="604"/>
        <v/>
      </c>
      <c r="X723" s="96"/>
      <c r="Y723" s="97" t="str">
        <f t="shared" si="606"/>
        <v/>
      </c>
      <c r="Z723" s="98" t="str">
        <f>SUBSTITUTE('Digitas UK Task 26'!$O723, "Complet", "Not Requir")</f>
        <v/>
      </c>
      <c r="AA723" s="98" t="str">
        <f t="shared" si="605"/>
        <v/>
      </c>
      <c r="AB723" s="99"/>
      <c r="AF723" s="84" t="str">
        <f t="shared" si="601"/>
        <v/>
      </c>
      <c r="AH723" s="84" t="str">
        <f t="shared" si="607"/>
        <v/>
      </c>
      <c r="AI723" s="84" t="str">
        <f t="shared" si="608"/>
        <v/>
      </c>
      <c r="AJ723" s="84" t="str">
        <f>IF(Z723&lt;&gt;"Done","",(_xlfn.CONCAT("PL_",DigitasUKAdOp_26Team[[#This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24" spans="1:36" ht="15.75" customHeight="1" x14ac:dyDescent="0.3">
      <c r="A724" s="85" t="str">
        <f t="shared" si="603"/>
        <v/>
      </c>
      <c r="C724" s="87"/>
      <c r="E724" s="87"/>
      <c r="H724" s="87"/>
      <c r="I724" s="87"/>
      <c r="O724" s="90" t="str">
        <f t="shared" si="609"/>
        <v/>
      </c>
      <c r="Q724" s="91" t="str">
        <f t="shared" si="610"/>
        <v/>
      </c>
      <c r="R724" s="91" t="str">
        <f t="shared" si="602"/>
        <v/>
      </c>
      <c r="S724" s="92" t="str">
        <f t="shared" si="611"/>
        <v/>
      </c>
      <c r="T724" s="93"/>
      <c r="U724" s="94" t="str">
        <f t="shared" si="604"/>
        <v/>
      </c>
      <c r="X724" s="96"/>
      <c r="Y724" s="97" t="str">
        <f t="shared" si="606"/>
        <v/>
      </c>
      <c r="Z724" s="98" t="str">
        <f>SUBSTITUTE('Digitas UK Task 26'!$O724, "Complet", "Not Requir")</f>
        <v/>
      </c>
      <c r="AA724" s="98" t="str">
        <f t="shared" si="605"/>
        <v/>
      </c>
      <c r="AB724" s="99"/>
      <c r="AF724" s="84" t="str">
        <f t="shared" si="601"/>
        <v/>
      </c>
      <c r="AH724" s="84" t="str">
        <f t="shared" si="607"/>
        <v/>
      </c>
      <c r="AI724" s="84" t="str">
        <f t="shared" si="608"/>
        <v/>
      </c>
      <c r="AJ724" s="84" t="str">
        <f>IF(Z724&lt;&gt;"Done","",(_xlfn.CONCAT("PL_",DigitasUKAdOp_26Team[[#This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25" spans="1:36" ht="15.75" customHeight="1" x14ac:dyDescent="0.3">
      <c r="A725" s="85" t="str">
        <f t="shared" si="603"/>
        <v/>
      </c>
      <c r="C725" s="87"/>
      <c r="E725" s="87"/>
      <c r="H725" s="87"/>
      <c r="I725" s="87"/>
      <c r="O725" s="90" t="str">
        <f t="shared" si="609"/>
        <v/>
      </c>
      <c r="Q725" s="91" t="str">
        <f t="shared" si="610"/>
        <v/>
      </c>
      <c r="R725" s="91" t="str">
        <f t="shared" si="602"/>
        <v/>
      </c>
      <c r="S725" s="92" t="str">
        <f t="shared" si="611"/>
        <v/>
      </c>
      <c r="T725" s="93"/>
      <c r="U725" s="94" t="str">
        <f t="shared" si="604"/>
        <v/>
      </c>
      <c r="X725" s="96"/>
      <c r="Y725" s="97" t="str">
        <f t="shared" si="606"/>
        <v/>
      </c>
      <c r="Z725" s="98" t="str">
        <f>SUBSTITUTE('Digitas UK Task 26'!$O725, "Complet", "Not Requir")</f>
        <v/>
      </c>
      <c r="AA725" s="98" t="str">
        <f t="shared" si="605"/>
        <v/>
      </c>
      <c r="AB725" s="99"/>
      <c r="AF725" s="84" t="str">
        <f t="shared" ref="AF725:AF788" si="612">IF(AD725="","",WEEKNUM(AD725))</f>
        <v/>
      </c>
      <c r="AH725" s="84" t="str">
        <f t="shared" si="607"/>
        <v/>
      </c>
      <c r="AI725" s="84" t="str">
        <f t="shared" si="608"/>
        <v/>
      </c>
      <c r="AJ725" s="84" t="str">
        <f>IF(Z725&lt;&gt;"Done","",(_xlfn.CONCAT("PL_",DigitasUKAdOp_26Team[[#This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26" spans="1:36" ht="15.75" customHeight="1" x14ac:dyDescent="0.3">
      <c r="A726" s="85" t="str">
        <f t="shared" si="603"/>
        <v/>
      </c>
      <c r="C726" s="87"/>
      <c r="E726" s="87"/>
      <c r="H726" s="87"/>
      <c r="I726" s="87"/>
      <c r="O726" s="90" t="str">
        <f t="shared" si="609"/>
        <v/>
      </c>
      <c r="Q726" s="91" t="str">
        <f t="shared" si="610"/>
        <v/>
      </c>
      <c r="R726" s="91" t="str">
        <f t="shared" ref="R726:R789" si="613">IF(B726="","",TEXT(B726,"MMM"))</f>
        <v/>
      </c>
      <c r="S726" s="92" t="str">
        <f t="shared" si="611"/>
        <v/>
      </c>
      <c r="T726" s="93"/>
      <c r="U726" s="94" t="str">
        <f t="shared" si="604"/>
        <v/>
      </c>
      <c r="X726" s="96"/>
      <c r="Y726" s="97" t="str">
        <f t="shared" si="606"/>
        <v/>
      </c>
      <c r="Z726" s="98" t="str">
        <f>SUBSTITUTE('Digitas UK Task 26'!$O726, "Complet", "Not Requir")</f>
        <v/>
      </c>
      <c r="AA726" s="98" t="str">
        <f t="shared" si="605"/>
        <v/>
      </c>
      <c r="AB726" s="99"/>
      <c r="AF726" s="84" t="str">
        <f t="shared" si="612"/>
        <v/>
      </c>
      <c r="AH726" s="84" t="str">
        <f t="shared" si="607"/>
        <v/>
      </c>
      <c r="AI726" s="84" t="str">
        <f t="shared" si="608"/>
        <v/>
      </c>
      <c r="AJ726" s="84" t="str">
        <f>IF(Z726&lt;&gt;"Done","",(_xlfn.CONCAT("PL_",DigitasUKAdOp_26Team[[#This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27" spans="1:36" ht="15.75" customHeight="1" x14ac:dyDescent="0.3">
      <c r="A727" s="85" t="str">
        <f t="shared" si="603"/>
        <v/>
      </c>
      <c r="C727" s="87"/>
      <c r="E727" s="87"/>
      <c r="H727" s="87"/>
      <c r="I727" s="87"/>
      <c r="O727" s="90" t="str">
        <f t="shared" si="609"/>
        <v/>
      </c>
      <c r="Q727" s="91" t="str">
        <f t="shared" si="610"/>
        <v/>
      </c>
      <c r="R727" s="91" t="str">
        <f t="shared" si="613"/>
        <v/>
      </c>
      <c r="S727" s="92" t="str">
        <f t="shared" si="611"/>
        <v/>
      </c>
      <c r="T727" s="93"/>
      <c r="U727" s="94" t="str">
        <f t="shared" si="604"/>
        <v/>
      </c>
      <c r="X727" s="96"/>
      <c r="Y727" s="97" t="str">
        <f t="shared" si="606"/>
        <v/>
      </c>
      <c r="Z727" s="98" t="str">
        <f>SUBSTITUTE('Digitas UK Task 26'!$O727, "Complet", "Not Requir")</f>
        <v/>
      </c>
      <c r="AA727" s="98" t="str">
        <f t="shared" si="605"/>
        <v/>
      </c>
      <c r="AB727" s="99"/>
      <c r="AF727" s="84" t="str">
        <f t="shared" si="612"/>
        <v/>
      </c>
      <c r="AH727" s="84" t="str">
        <f t="shared" si="607"/>
        <v/>
      </c>
      <c r="AI727" s="84" t="str">
        <f t="shared" si="608"/>
        <v/>
      </c>
      <c r="AJ727" s="84" t="str">
        <f>IF(Z727&lt;&gt;"Done","",(_xlfn.CONCAT("PL_",DigitasUKAdOp_26Team[[#This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28" spans="1:36" ht="15.75" customHeight="1" x14ac:dyDescent="0.3">
      <c r="A728" s="85" t="str">
        <f t="shared" si="603"/>
        <v/>
      </c>
      <c r="C728" s="87"/>
      <c r="E728" s="87"/>
      <c r="H728" s="87"/>
      <c r="I728" s="87"/>
      <c r="O728" s="90" t="str">
        <f t="shared" si="609"/>
        <v/>
      </c>
      <c r="Q728" s="91" t="str">
        <f t="shared" si="610"/>
        <v/>
      </c>
      <c r="R728" s="91" t="str">
        <f t="shared" si="613"/>
        <v/>
      </c>
      <c r="S728" s="92" t="str">
        <f t="shared" si="611"/>
        <v/>
      </c>
      <c r="T728" s="93"/>
      <c r="U728" s="94" t="str">
        <f t="shared" si="604"/>
        <v/>
      </c>
      <c r="X728" s="96"/>
      <c r="Y728" s="97" t="str">
        <f t="shared" si="606"/>
        <v/>
      </c>
      <c r="Z728" s="98" t="str">
        <f>SUBSTITUTE('Digitas UK Task 26'!$O728, "Complet", "Not Requir")</f>
        <v/>
      </c>
      <c r="AA728" s="98" t="str">
        <f t="shared" si="605"/>
        <v/>
      </c>
      <c r="AB728" s="99"/>
      <c r="AF728" s="84" t="str">
        <f t="shared" si="612"/>
        <v/>
      </c>
      <c r="AH728" s="84" t="str">
        <f t="shared" si="607"/>
        <v/>
      </c>
      <c r="AI728" s="84" t="str">
        <f t="shared" si="608"/>
        <v/>
      </c>
      <c r="AJ728" s="84" t="str">
        <f>IF(Z728&lt;&gt;"Done","",(_xlfn.CONCAT("PL_",DigitasUKAdOp_26Team[[#This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29" spans="1:36" ht="15.75" customHeight="1" x14ac:dyDescent="0.3">
      <c r="A729" s="85" t="str">
        <f t="shared" si="603"/>
        <v/>
      </c>
      <c r="C729" s="87"/>
      <c r="E729" s="87"/>
      <c r="H729" s="87"/>
      <c r="I729" s="87"/>
      <c r="O729" s="90" t="str">
        <f t="shared" si="609"/>
        <v/>
      </c>
      <c r="Q729" s="91" t="str">
        <f t="shared" si="610"/>
        <v/>
      </c>
      <c r="R729" s="91" t="str">
        <f t="shared" si="613"/>
        <v/>
      </c>
      <c r="S729" s="92" t="str">
        <f t="shared" si="611"/>
        <v/>
      </c>
      <c r="T729" s="93"/>
      <c r="U729" s="94" t="str">
        <f t="shared" si="604"/>
        <v/>
      </c>
      <c r="X729" s="96"/>
      <c r="Y729" s="97" t="str">
        <f t="shared" si="606"/>
        <v/>
      </c>
      <c r="Z729" s="98" t="str">
        <f>SUBSTITUTE('Digitas UK Task 26'!$O729, "Complet", "Not Requir")</f>
        <v/>
      </c>
      <c r="AA729" s="98" t="str">
        <f t="shared" si="605"/>
        <v/>
      </c>
      <c r="AB729" s="99"/>
      <c r="AF729" s="84" t="str">
        <f t="shared" si="612"/>
        <v/>
      </c>
      <c r="AH729" s="84" t="str">
        <f t="shared" si="607"/>
        <v/>
      </c>
      <c r="AI729" s="84" t="str">
        <f t="shared" si="608"/>
        <v/>
      </c>
      <c r="AJ729" s="84" t="str">
        <f>IF(Z729&lt;&gt;"Done","",(_xlfn.CONCAT("PL_",DigitasUKAdOp_26Team[[#This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30" spans="1:36" ht="15.75" customHeight="1" x14ac:dyDescent="0.3">
      <c r="A730" s="85" t="str">
        <f t="shared" si="603"/>
        <v/>
      </c>
      <c r="C730" s="87"/>
      <c r="E730" s="87"/>
      <c r="H730" s="87"/>
      <c r="I730" s="87"/>
      <c r="O730" s="90" t="str">
        <f t="shared" si="609"/>
        <v/>
      </c>
      <c r="Q730" s="91" t="str">
        <f t="shared" si="610"/>
        <v/>
      </c>
      <c r="R730" s="91" t="str">
        <f t="shared" si="613"/>
        <v/>
      </c>
      <c r="S730" s="92" t="str">
        <f t="shared" si="611"/>
        <v/>
      </c>
      <c r="T730" s="93"/>
      <c r="U730" s="94" t="str">
        <f t="shared" si="604"/>
        <v/>
      </c>
      <c r="X730" s="96"/>
      <c r="Y730" s="97" t="str">
        <f t="shared" si="606"/>
        <v/>
      </c>
      <c r="Z730" s="98" t="str">
        <f>SUBSTITUTE('Digitas UK Task 26'!$O730, "Complet", "Not Requir")</f>
        <v/>
      </c>
      <c r="AA730" s="98" t="str">
        <f t="shared" si="605"/>
        <v/>
      </c>
      <c r="AB730" s="99"/>
      <c r="AF730" s="84" t="str">
        <f t="shared" si="612"/>
        <v/>
      </c>
      <c r="AH730" s="84" t="str">
        <f t="shared" si="607"/>
        <v/>
      </c>
      <c r="AI730" s="84" t="str">
        <f t="shared" si="608"/>
        <v/>
      </c>
      <c r="AJ730" s="84" t="str">
        <f>IF(Z730&lt;&gt;"Done","",(_xlfn.CONCAT("PL_",DigitasUKAdOp_26Team[[#This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31" spans="1:36" ht="15.75" customHeight="1" x14ac:dyDescent="0.3">
      <c r="A731" s="85" t="str">
        <f t="shared" si="603"/>
        <v/>
      </c>
      <c r="C731" s="87"/>
      <c r="E731" s="87"/>
      <c r="H731" s="87"/>
      <c r="I731" s="87"/>
      <c r="O731" s="90" t="str">
        <f t="shared" si="609"/>
        <v/>
      </c>
      <c r="Q731" s="91" t="str">
        <f t="shared" si="610"/>
        <v/>
      </c>
      <c r="R731" s="91" t="str">
        <f t="shared" si="613"/>
        <v/>
      </c>
      <c r="S731" s="92" t="str">
        <f t="shared" si="611"/>
        <v/>
      </c>
      <c r="T731" s="93"/>
      <c r="U731" s="94" t="str">
        <f t="shared" si="604"/>
        <v/>
      </c>
      <c r="X731" s="96"/>
      <c r="Y731" s="97" t="str">
        <f t="shared" si="606"/>
        <v/>
      </c>
      <c r="Z731" s="98" t="str">
        <f>SUBSTITUTE('Digitas UK Task 26'!$O731, "Complet", "Not Requir")</f>
        <v/>
      </c>
      <c r="AA731" s="98" t="str">
        <f t="shared" si="605"/>
        <v/>
      </c>
      <c r="AB731" s="99"/>
      <c r="AF731" s="84" t="str">
        <f t="shared" si="612"/>
        <v/>
      </c>
      <c r="AH731" s="84" t="str">
        <f t="shared" si="607"/>
        <v/>
      </c>
      <c r="AI731" s="84" t="str">
        <f t="shared" si="608"/>
        <v/>
      </c>
      <c r="AJ731" s="84" t="str">
        <f>IF(Z731&lt;&gt;"Done","",(_xlfn.CONCAT("PL_",DigitasUKAdOp_26Team[[#This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32" spans="1:36" ht="15.75" customHeight="1" x14ac:dyDescent="0.3">
      <c r="A732" s="85" t="str">
        <f t="shared" si="603"/>
        <v/>
      </c>
      <c r="C732" s="87"/>
      <c r="E732" s="87"/>
      <c r="H732" s="87"/>
      <c r="I732" s="87"/>
      <c r="O732" s="90" t="str">
        <f t="shared" si="609"/>
        <v/>
      </c>
      <c r="Q732" s="91" t="str">
        <f t="shared" si="610"/>
        <v/>
      </c>
      <c r="R732" s="91" t="str">
        <f t="shared" si="613"/>
        <v/>
      </c>
      <c r="S732" s="92" t="str">
        <f t="shared" si="611"/>
        <v/>
      </c>
      <c r="T732" s="93"/>
      <c r="U732" s="94" t="str">
        <f t="shared" si="604"/>
        <v/>
      </c>
      <c r="X732" s="96"/>
      <c r="Y732" s="97" t="str">
        <f t="shared" si="606"/>
        <v/>
      </c>
      <c r="Z732" s="98" t="str">
        <f>SUBSTITUTE('Digitas UK Task 26'!$O732, "Complet", "Not Requir")</f>
        <v/>
      </c>
      <c r="AA732" s="98" t="str">
        <f t="shared" si="605"/>
        <v/>
      </c>
      <c r="AB732" s="99"/>
      <c r="AF732" s="84" t="str">
        <f t="shared" si="612"/>
        <v/>
      </c>
      <c r="AH732" s="84" t="str">
        <f t="shared" si="607"/>
        <v/>
      </c>
      <c r="AI732" s="84" t="str">
        <f t="shared" si="608"/>
        <v/>
      </c>
      <c r="AJ732" s="84" t="str">
        <f>IF(Z732&lt;&gt;"Done","",(_xlfn.CONCAT("PL_",DigitasUKAdOp_26Team[[#This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33" spans="1:36" ht="15.75" customHeight="1" x14ac:dyDescent="0.3">
      <c r="A733" s="85" t="str">
        <f t="shared" si="603"/>
        <v/>
      </c>
      <c r="C733" s="87"/>
      <c r="E733" s="87"/>
      <c r="H733" s="87"/>
      <c r="I733" s="87"/>
      <c r="O733" s="90" t="str">
        <f t="shared" si="609"/>
        <v/>
      </c>
      <c r="Q733" s="91" t="str">
        <f t="shared" si="610"/>
        <v/>
      </c>
      <c r="R733" s="91" t="str">
        <f t="shared" si="613"/>
        <v/>
      </c>
      <c r="S733" s="92" t="str">
        <f t="shared" si="611"/>
        <v/>
      </c>
      <c r="T733" s="93"/>
      <c r="U733" s="94" t="str">
        <f t="shared" si="604"/>
        <v/>
      </c>
      <c r="X733" s="96"/>
      <c r="Y733" s="97" t="str">
        <f t="shared" si="606"/>
        <v/>
      </c>
      <c r="Z733" s="98" t="str">
        <f>SUBSTITUTE('Digitas UK Task 26'!$O733, "Complet", "Not Requir")</f>
        <v/>
      </c>
      <c r="AA733" s="98" t="str">
        <f t="shared" si="605"/>
        <v/>
      </c>
      <c r="AB733" s="99"/>
      <c r="AF733" s="84" t="str">
        <f t="shared" si="612"/>
        <v/>
      </c>
      <c r="AH733" s="84" t="str">
        <f t="shared" si="607"/>
        <v/>
      </c>
      <c r="AI733" s="84" t="str">
        <f t="shared" si="608"/>
        <v/>
      </c>
      <c r="AJ733" s="84" t="str">
        <f>IF(Z733&lt;&gt;"Done","",(_xlfn.CONCAT("PL_",DigitasUKAdOp_26Team[[#This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34" spans="1:36" ht="15.75" customHeight="1" x14ac:dyDescent="0.3">
      <c r="A734" s="85" t="str">
        <f t="shared" si="603"/>
        <v/>
      </c>
      <c r="C734" s="87"/>
      <c r="E734" s="87"/>
      <c r="H734" s="87"/>
      <c r="I734" s="87"/>
      <c r="O734" s="90" t="str">
        <f t="shared" si="609"/>
        <v/>
      </c>
      <c r="Q734" s="91" t="str">
        <f t="shared" si="610"/>
        <v/>
      </c>
      <c r="R734" s="91" t="str">
        <f t="shared" si="613"/>
        <v/>
      </c>
      <c r="S734" s="92" t="str">
        <f t="shared" si="611"/>
        <v/>
      </c>
      <c r="T734" s="93"/>
      <c r="U734" s="94" t="str">
        <f t="shared" si="604"/>
        <v/>
      </c>
      <c r="X734" s="96"/>
      <c r="Y734" s="97" t="str">
        <f t="shared" si="606"/>
        <v/>
      </c>
      <c r="Z734" s="98" t="str">
        <f>SUBSTITUTE('Digitas UK Task 26'!$O734, "Complet", "Not Requir")</f>
        <v/>
      </c>
      <c r="AA734" s="98" t="str">
        <f t="shared" si="605"/>
        <v/>
      </c>
      <c r="AB734" s="99"/>
      <c r="AF734" s="84" t="str">
        <f t="shared" si="612"/>
        <v/>
      </c>
      <c r="AH734" s="84" t="str">
        <f t="shared" si="607"/>
        <v/>
      </c>
      <c r="AI734" s="84" t="str">
        <f t="shared" si="608"/>
        <v/>
      </c>
      <c r="AJ734" s="84" t="str">
        <f>IF(Z734&lt;&gt;"Done","",(_xlfn.CONCAT("PL_",DigitasUKAdOp_26Team[[#This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35" spans="1:36" ht="15.75" customHeight="1" x14ac:dyDescent="0.3">
      <c r="A735" s="85" t="str">
        <f t="shared" si="603"/>
        <v/>
      </c>
      <c r="C735" s="87"/>
      <c r="E735" s="87"/>
      <c r="H735" s="87"/>
      <c r="I735" s="87"/>
      <c r="O735" s="90" t="str">
        <f t="shared" si="609"/>
        <v/>
      </c>
      <c r="Q735" s="91" t="str">
        <f t="shared" si="610"/>
        <v/>
      </c>
      <c r="R735" s="91" t="str">
        <f t="shared" si="613"/>
        <v/>
      </c>
      <c r="S735" s="92" t="str">
        <f t="shared" si="611"/>
        <v/>
      </c>
      <c r="T735" s="93"/>
      <c r="U735" s="94" t="str">
        <f t="shared" si="604"/>
        <v/>
      </c>
      <c r="X735" s="96"/>
      <c r="Y735" s="97" t="str">
        <f t="shared" si="606"/>
        <v/>
      </c>
      <c r="Z735" s="98" t="str">
        <f>SUBSTITUTE('Digitas UK Task 26'!$O735, "Complet", "Not Requir")</f>
        <v/>
      </c>
      <c r="AA735" s="98" t="str">
        <f t="shared" si="605"/>
        <v/>
      </c>
      <c r="AB735" s="99"/>
      <c r="AF735" s="84" t="str">
        <f t="shared" si="612"/>
        <v/>
      </c>
      <c r="AH735" s="84" t="str">
        <f t="shared" si="607"/>
        <v/>
      </c>
      <c r="AI735" s="84" t="str">
        <f t="shared" si="608"/>
        <v/>
      </c>
      <c r="AJ735" s="84" t="str">
        <f>IF(Z735&lt;&gt;"Done","",(_xlfn.CONCAT("PL_",DigitasUKAdOp_26Team[[#This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36" spans="1:36" ht="15.75" customHeight="1" x14ac:dyDescent="0.3">
      <c r="A736" s="85" t="str">
        <f t="shared" si="603"/>
        <v/>
      </c>
      <c r="C736" s="87"/>
      <c r="E736" s="87"/>
      <c r="H736" s="87"/>
      <c r="I736" s="87"/>
      <c r="O736" s="90" t="str">
        <f t="shared" si="609"/>
        <v/>
      </c>
      <c r="Q736" s="91" t="str">
        <f t="shared" si="610"/>
        <v/>
      </c>
      <c r="R736" s="91" t="str">
        <f t="shared" si="613"/>
        <v/>
      </c>
      <c r="S736" s="92" t="str">
        <f t="shared" si="611"/>
        <v/>
      </c>
      <c r="T736" s="93"/>
      <c r="U736" s="94" t="str">
        <f t="shared" si="604"/>
        <v/>
      </c>
      <c r="X736" s="96"/>
      <c r="Y736" s="97" t="str">
        <f t="shared" si="606"/>
        <v/>
      </c>
      <c r="Z736" s="98" t="str">
        <f>SUBSTITUTE('Digitas UK Task 26'!$O736, "Complet", "Not Requir")</f>
        <v/>
      </c>
      <c r="AA736" s="98" t="str">
        <f t="shared" si="605"/>
        <v/>
      </c>
      <c r="AB736" s="99"/>
      <c r="AF736" s="84" t="str">
        <f t="shared" si="612"/>
        <v/>
      </c>
      <c r="AH736" s="84" t="str">
        <f t="shared" si="607"/>
        <v/>
      </c>
      <c r="AI736" s="84" t="str">
        <f t="shared" si="608"/>
        <v/>
      </c>
      <c r="AJ736" s="84" t="str">
        <f>IF(Z736&lt;&gt;"Done","",(_xlfn.CONCAT("PL_",DigitasUKAdOp_26Team[[#This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37" spans="1:36" ht="15.75" customHeight="1" x14ac:dyDescent="0.3">
      <c r="A737" s="85" t="str">
        <f t="shared" ref="A737:A800" si="614">IF(B737="","",TEXT(B737,"MMM : DDDD"))</f>
        <v/>
      </c>
      <c r="C737" s="87"/>
      <c r="E737" s="87"/>
      <c r="H737" s="87"/>
      <c r="I737" s="87"/>
      <c r="O737" s="90" t="str">
        <f t="shared" si="609"/>
        <v/>
      </c>
      <c r="Q737" s="91" t="str">
        <f t="shared" si="610"/>
        <v/>
      </c>
      <c r="R737" s="91" t="str">
        <f t="shared" si="613"/>
        <v/>
      </c>
      <c r="S737" s="92" t="str">
        <f t="shared" si="611"/>
        <v/>
      </c>
      <c r="T737" s="93"/>
      <c r="U737" s="94" t="str">
        <f t="shared" ref="U737:U800" si="615">IF(O737="Completed","Pending","")</f>
        <v/>
      </c>
      <c r="X737" s="96"/>
      <c r="Y737" s="97" t="str">
        <f t="shared" si="606"/>
        <v/>
      </c>
      <c r="Z737" s="98" t="str">
        <f>SUBSTITUTE('Digitas UK Task 26'!$O737, "Complet", "Not Requir")</f>
        <v/>
      </c>
      <c r="AA737" s="98" t="str">
        <f t="shared" ref="AA737:AA800" si="616">IF(G737="","",G737)</f>
        <v/>
      </c>
      <c r="AB737" s="99"/>
      <c r="AF737" s="84" t="str">
        <f t="shared" si="612"/>
        <v/>
      </c>
      <c r="AH737" s="84" t="str">
        <f t="shared" si="607"/>
        <v/>
      </c>
      <c r="AI737" s="84" t="str">
        <f t="shared" si="608"/>
        <v/>
      </c>
      <c r="AJ737" s="84" t="str">
        <f>IF(Z737&lt;&gt;"Done","",(_xlfn.CONCAT("PL_",DigitasUKAdOp_26Team[[#This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38" spans="1:36" ht="15.75" customHeight="1" x14ac:dyDescent="0.3">
      <c r="A738" s="85" t="str">
        <f t="shared" si="614"/>
        <v/>
      </c>
      <c r="C738" s="87"/>
      <c r="E738" s="87"/>
      <c r="H738" s="87"/>
      <c r="I738" s="87"/>
      <c r="O738" s="90" t="str">
        <f t="shared" si="609"/>
        <v/>
      </c>
      <c r="Q738" s="91" t="str">
        <f t="shared" si="610"/>
        <v/>
      </c>
      <c r="R738" s="91" t="str">
        <f t="shared" si="613"/>
        <v/>
      </c>
      <c r="S738" s="92" t="str">
        <f t="shared" si="611"/>
        <v/>
      </c>
      <c r="T738" s="93"/>
      <c r="U738" s="94" t="str">
        <f t="shared" si="615"/>
        <v/>
      </c>
      <c r="X738" s="96"/>
      <c r="Y738" s="97" t="str">
        <f t="shared" si="606"/>
        <v/>
      </c>
      <c r="Z738" s="98" t="str">
        <f>SUBSTITUTE('Digitas UK Task 26'!$O738, "Complet", "Not Requir")</f>
        <v/>
      </c>
      <c r="AA738" s="98" t="str">
        <f t="shared" si="616"/>
        <v/>
      </c>
      <c r="AB738" s="99"/>
      <c r="AF738" s="84" t="str">
        <f t="shared" si="612"/>
        <v/>
      </c>
      <c r="AH738" s="84" t="str">
        <f t="shared" si="607"/>
        <v/>
      </c>
      <c r="AI738" s="84" t="str">
        <f t="shared" si="608"/>
        <v/>
      </c>
      <c r="AJ738" s="84" t="str">
        <f>IF(Z738&lt;&gt;"Done","",(_xlfn.CONCAT("PL_",DigitasUKAdOp_26Team[[#This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39" spans="1:36" ht="15.75" customHeight="1" x14ac:dyDescent="0.3">
      <c r="A739" s="85" t="str">
        <f t="shared" si="614"/>
        <v/>
      </c>
      <c r="C739" s="87"/>
      <c r="E739" s="87"/>
      <c r="H739" s="87"/>
      <c r="I739" s="87"/>
      <c r="O739" s="90" t="str">
        <f t="shared" si="609"/>
        <v/>
      </c>
      <c r="Q739" s="91" t="str">
        <f t="shared" si="610"/>
        <v/>
      </c>
      <c r="R739" s="91" t="str">
        <f t="shared" si="613"/>
        <v/>
      </c>
      <c r="S739" s="92" t="str">
        <f t="shared" si="611"/>
        <v/>
      </c>
      <c r="T739" s="93"/>
      <c r="U739" s="94" t="str">
        <f t="shared" si="615"/>
        <v/>
      </c>
      <c r="X739" s="96"/>
      <c r="Y739" s="97" t="str">
        <f t="shared" si="606"/>
        <v/>
      </c>
      <c r="Z739" s="98" t="str">
        <f>SUBSTITUTE('Digitas UK Task 26'!$O739, "Complet", "Not Requir")</f>
        <v/>
      </c>
      <c r="AA739" s="98" t="str">
        <f t="shared" si="616"/>
        <v/>
      </c>
      <c r="AB739" s="99"/>
      <c r="AF739" s="84" t="str">
        <f t="shared" si="612"/>
        <v/>
      </c>
      <c r="AH739" s="84" t="str">
        <f t="shared" si="607"/>
        <v/>
      </c>
      <c r="AI739" s="84" t="str">
        <f t="shared" si="608"/>
        <v/>
      </c>
      <c r="AJ739" s="84" t="str">
        <f>IF(Z739&lt;&gt;"Done","",(_xlfn.CONCAT("PL_",DigitasUKAdOp_26Team[[#This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40" spans="1:36" ht="15.75" customHeight="1" x14ac:dyDescent="0.3">
      <c r="A740" s="85" t="str">
        <f t="shared" si="614"/>
        <v/>
      </c>
      <c r="C740" s="87"/>
      <c r="E740" s="87"/>
      <c r="H740" s="87"/>
      <c r="I740" s="87"/>
      <c r="O740" s="90" t="str">
        <f t="shared" si="609"/>
        <v/>
      </c>
      <c r="Q740" s="91" t="str">
        <f t="shared" si="610"/>
        <v/>
      </c>
      <c r="R740" s="91" t="str">
        <f t="shared" si="613"/>
        <v/>
      </c>
      <c r="S740" s="92" t="str">
        <f t="shared" si="611"/>
        <v/>
      </c>
      <c r="T740" s="93"/>
      <c r="U740" s="94" t="str">
        <f t="shared" si="615"/>
        <v/>
      </c>
      <c r="X740" s="96"/>
      <c r="Y740" s="97" t="str">
        <f t="shared" si="606"/>
        <v/>
      </c>
      <c r="Z740" s="98" t="str">
        <f>SUBSTITUTE('Digitas UK Task 26'!$O740, "Complet", "Not Requir")</f>
        <v/>
      </c>
      <c r="AA740" s="98" t="str">
        <f t="shared" si="616"/>
        <v/>
      </c>
      <c r="AB740" s="99"/>
      <c r="AF740" s="84" t="str">
        <f t="shared" si="612"/>
        <v/>
      </c>
      <c r="AH740" s="84" t="str">
        <f t="shared" si="607"/>
        <v/>
      </c>
      <c r="AI740" s="84" t="str">
        <f t="shared" si="608"/>
        <v/>
      </c>
      <c r="AJ740" s="84" t="str">
        <f>IF(Z740&lt;&gt;"Done","",(_xlfn.CONCAT("PL_",DigitasUKAdOp_26Team[[#This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41" spans="1:36" ht="15.75" customHeight="1" x14ac:dyDescent="0.3">
      <c r="A741" s="85" t="str">
        <f t="shared" si="614"/>
        <v/>
      </c>
      <c r="C741" s="87"/>
      <c r="E741" s="87"/>
      <c r="H741" s="87"/>
      <c r="I741" s="87"/>
      <c r="O741" s="90" t="str">
        <f t="shared" si="609"/>
        <v/>
      </c>
      <c r="Q741" s="91" t="str">
        <f t="shared" si="610"/>
        <v/>
      </c>
      <c r="R741" s="91" t="str">
        <f t="shared" si="613"/>
        <v/>
      </c>
      <c r="S741" s="92" t="str">
        <f t="shared" si="611"/>
        <v/>
      </c>
      <c r="T741" s="93"/>
      <c r="U741" s="94" t="str">
        <f t="shared" si="615"/>
        <v/>
      </c>
      <c r="X741" s="96"/>
      <c r="Y741" s="97" t="str">
        <f t="shared" si="606"/>
        <v/>
      </c>
      <c r="Z741" s="98" t="str">
        <f>SUBSTITUTE('Digitas UK Task 26'!$O741, "Complet", "Not Requir")</f>
        <v/>
      </c>
      <c r="AA741" s="98" t="str">
        <f t="shared" si="616"/>
        <v/>
      </c>
      <c r="AB741" s="99"/>
      <c r="AF741" s="84" t="str">
        <f t="shared" si="612"/>
        <v/>
      </c>
      <c r="AH741" s="84" t="str">
        <f t="shared" si="607"/>
        <v/>
      </c>
      <c r="AI741" s="84" t="str">
        <f t="shared" si="608"/>
        <v/>
      </c>
      <c r="AJ741" s="84" t="str">
        <f>IF(Z741&lt;&gt;"Done","",(_xlfn.CONCAT("PL_",DigitasUKAdOp_26Team[[#This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42" spans="1:36" ht="15.75" customHeight="1" x14ac:dyDescent="0.3">
      <c r="A742" s="85" t="str">
        <f t="shared" si="614"/>
        <v/>
      </c>
      <c r="C742" s="87"/>
      <c r="E742" s="87"/>
      <c r="H742" s="87"/>
      <c r="I742" s="87"/>
      <c r="O742" s="90" t="str">
        <f t="shared" si="609"/>
        <v/>
      </c>
      <c r="Q742" s="91" t="str">
        <f t="shared" si="610"/>
        <v/>
      </c>
      <c r="R742" s="91" t="str">
        <f t="shared" si="613"/>
        <v/>
      </c>
      <c r="S742" s="92" t="str">
        <f t="shared" si="611"/>
        <v/>
      </c>
      <c r="T742" s="93"/>
      <c r="U742" s="94" t="str">
        <f t="shared" si="615"/>
        <v/>
      </c>
      <c r="X742" s="96"/>
      <c r="Y742" s="97" t="str">
        <f t="shared" si="606"/>
        <v/>
      </c>
      <c r="Z742" s="98" t="str">
        <f>SUBSTITUTE('Digitas UK Task 26'!$O742, "Complet", "Not Requir")</f>
        <v/>
      </c>
      <c r="AA742" s="98" t="str">
        <f t="shared" si="616"/>
        <v/>
      </c>
      <c r="AB742" s="99"/>
      <c r="AF742" s="84" t="str">
        <f t="shared" si="612"/>
        <v/>
      </c>
      <c r="AH742" s="84" t="str">
        <f t="shared" si="607"/>
        <v/>
      </c>
      <c r="AI742" s="84" t="str">
        <f t="shared" si="608"/>
        <v/>
      </c>
      <c r="AJ742" s="84" t="str">
        <f>IF(Z742&lt;&gt;"Done","",(_xlfn.CONCAT("PL_",DigitasUKAdOp_26Team[[#This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43" spans="1:36" ht="15.75" customHeight="1" x14ac:dyDescent="0.3">
      <c r="A743" s="85" t="str">
        <f t="shared" si="614"/>
        <v/>
      </c>
      <c r="C743" s="87"/>
      <c r="E743" s="87"/>
      <c r="H743" s="87"/>
      <c r="I743" s="87"/>
      <c r="O743" s="90" t="str">
        <f t="shared" si="609"/>
        <v/>
      </c>
      <c r="Q743" s="91" t="str">
        <f t="shared" si="610"/>
        <v/>
      </c>
      <c r="R743" s="91" t="str">
        <f t="shared" si="613"/>
        <v/>
      </c>
      <c r="S743" s="92" t="str">
        <f t="shared" si="611"/>
        <v/>
      </c>
      <c r="T743" s="93"/>
      <c r="U743" s="94" t="str">
        <f t="shared" si="615"/>
        <v/>
      </c>
      <c r="X743" s="96"/>
      <c r="Y743" s="97" t="str">
        <f t="shared" ref="Y743:Y806" si="617">IF(M743="","",M743)</f>
        <v/>
      </c>
      <c r="Z743" s="98" t="str">
        <f>SUBSTITUTE('Digitas UK Task 26'!$O743, "Complet", "Not Requir")</f>
        <v/>
      </c>
      <c r="AA743" s="98" t="str">
        <f t="shared" si="616"/>
        <v/>
      </c>
      <c r="AB743" s="99"/>
      <c r="AF743" s="84" t="str">
        <f t="shared" si="612"/>
        <v/>
      </c>
      <c r="AH743" s="84" t="str">
        <f t="shared" si="607"/>
        <v/>
      </c>
      <c r="AI743" s="84" t="str">
        <f t="shared" si="608"/>
        <v/>
      </c>
      <c r="AJ743" s="84" t="str">
        <f>IF(Z743&lt;&gt;"Done","",(_xlfn.CONCAT("PL_",DigitasUKAdOp_26Team[[#This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44" spans="1:36" ht="15.75" customHeight="1" x14ac:dyDescent="0.3">
      <c r="A744" s="85" t="str">
        <f t="shared" si="614"/>
        <v/>
      </c>
      <c r="C744" s="87"/>
      <c r="E744" s="87"/>
      <c r="H744" s="87"/>
      <c r="I744" s="87"/>
      <c r="O744" s="90" t="str">
        <f t="shared" si="609"/>
        <v/>
      </c>
      <c r="Q744" s="91" t="str">
        <f t="shared" si="610"/>
        <v/>
      </c>
      <c r="R744" s="91" t="str">
        <f t="shared" si="613"/>
        <v/>
      </c>
      <c r="S744" s="92" t="str">
        <f t="shared" si="611"/>
        <v/>
      </c>
      <c r="T744" s="93"/>
      <c r="U744" s="94" t="str">
        <f t="shared" si="615"/>
        <v/>
      </c>
      <c r="X744" s="96"/>
      <c r="Y744" s="97" t="str">
        <f t="shared" si="617"/>
        <v/>
      </c>
      <c r="Z744" s="98" t="str">
        <f>SUBSTITUTE('Digitas UK Task 26'!$O744, "Complet", "Not Requir")</f>
        <v/>
      </c>
      <c r="AA744" s="98" t="str">
        <f t="shared" si="616"/>
        <v/>
      </c>
      <c r="AB744" s="99"/>
      <c r="AF744" s="84" t="str">
        <f t="shared" si="612"/>
        <v/>
      </c>
      <c r="AH744" s="84" t="str">
        <f t="shared" si="607"/>
        <v/>
      </c>
      <c r="AI744" s="84" t="str">
        <f t="shared" si="608"/>
        <v/>
      </c>
      <c r="AJ744" s="84" t="str">
        <f>IF(Z744&lt;&gt;"Done","",(_xlfn.CONCAT("PL_",DigitasUKAdOp_26Team[[#This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45" spans="1:36" ht="15.75" customHeight="1" x14ac:dyDescent="0.3">
      <c r="A745" s="85" t="str">
        <f t="shared" si="614"/>
        <v/>
      </c>
      <c r="C745" s="87"/>
      <c r="E745" s="87"/>
      <c r="H745" s="87"/>
      <c r="I745" s="87"/>
      <c r="O745" s="90" t="str">
        <f t="shared" si="609"/>
        <v/>
      </c>
      <c r="Q745" s="91" t="str">
        <f t="shared" si="610"/>
        <v/>
      </c>
      <c r="R745" s="91" t="str">
        <f t="shared" si="613"/>
        <v/>
      </c>
      <c r="S745" s="92" t="str">
        <f t="shared" si="611"/>
        <v/>
      </c>
      <c r="T745" s="93"/>
      <c r="U745" s="94" t="str">
        <f t="shared" si="615"/>
        <v/>
      </c>
      <c r="X745" s="96"/>
      <c r="Y745" s="97" t="str">
        <f t="shared" si="617"/>
        <v/>
      </c>
      <c r="Z745" s="98" t="str">
        <f>SUBSTITUTE('Digitas UK Task 26'!$O745, "Complet", "Not Requir")</f>
        <v/>
      </c>
      <c r="AA745" s="98" t="str">
        <f t="shared" si="616"/>
        <v/>
      </c>
      <c r="AB745" s="99"/>
      <c r="AF745" s="84" t="str">
        <f t="shared" si="612"/>
        <v/>
      </c>
      <c r="AH745" s="84" t="str">
        <f t="shared" si="607"/>
        <v/>
      </c>
      <c r="AI745" s="84" t="str">
        <f t="shared" si="608"/>
        <v/>
      </c>
      <c r="AJ745" s="84" t="str">
        <f>IF(Z745&lt;&gt;"Done","",(_xlfn.CONCAT("PL_",DigitasUKAdOp_26Team[[#This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46" spans="1:36" ht="15.75" customHeight="1" x14ac:dyDescent="0.3">
      <c r="A746" s="85" t="str">
        <f t="shared" si="614"/>
        <v/>
      </c>
      <c r="C746" s="87"/>
      <c r="E746" s="87"/>
      <c r="H746" s="87"/>
      <c r="I746" s="87"/>
      <c r="O746" s="90" t="str">
        <f t="shared" si="609"/>
        <v/>
      </c>
      <c r="Q746" s="91" t="str">
        <f t="shared" si="610"/>
        <v/>
      </c>
      <c r="R746" s="91" t="str">
        <f t="shared" si="613"/>
        <v/>
      </c>
      <c r="S746" s="92" t="str">
        <f t="shared" si="611"/>
        <v/>
      </c>
      <c r="T746" s="93"/>
      <c r="U746" s="94" t="str">
        <f t="shared" si="615"/>
        <v/>
      </c>
      <c r="X746" s="96"/>
      <c r="Y746" s="97" t="str">
        <f t="shared" si="617"/>
        <v/>
      </c>
      <c r="Z746" s="98" t="str">
        <f>SUBSTITUTE('Digitas UK Task 26'!$O746, "Complet", "Not Requir")</f>
        <v/>
      </c>
      <c r="AA746" s="98" t="str">
        <f t="shared" si="616"/>
        <v/>
      </c>
      <c r="AB746" s="99"/>
      <c r="AF746" s="84" t="str">
        <f t="shared" si="612"/>
        <v/>
      </c>
      <c r="AH746" s="84" t="str">
        <f t="shared" si="607"/>
        <v/>
      </c>
      <c r="AI746" s="84" t="str">
        <f t="shared" si="608"/>
        <v/>
      </c>
      <c r="AJ746" s="84" t="str">
        <f>IF(Z746&lt;&gt;"Done","",(_xlfn.CONCAT("PL_",DigitasUKAdOp_26Team[[#This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47" spans="1:36" ht="15.75" customHeight="1" x14ac:dyDescent="0.3">
      <c r="A747" s="85" t="str">
        <f t="shared" si="614"/>
        <v/>
      </c>
      <c r="C747" s="87"/>
      <c r="E747" s="87"/>
      <c r="H747" s="87"/>
      <c r="I747" s="87"/>
      <c r="O747" s="90" t="str">
        <f t="shared" si="609"/>
        <v/>
      </c>
      <c r="Q747" s="91" t="str">
        <f t="shared" si="610"/>
        <v/>
      </c>
      <c r="R747" s="91" t="str">
        <f t="shared" si="613"/>
        <v/>
      </c>
      <c r="S747" s="92" t="str">
        <f t="shared" si="611"/>
        <v/>
      </c>
      <c r="T747" s="93"/>
      <c r="U747" s="94" t="str">
        <f t="shared" si="615"/>
        <v/>
      </c>
      <c r="X747" s="96"/>
      <c r="Y747" s="97" t="str">
        <f t="shared" si="617"/>
        <v/>
      </c>
      <c r="Z747" s="98" t="str">
        <f>SUBSTITUTE('Digitas UK Task 26'!$O747, "Complet", "Not Requir")</f>
        <v/>
      </c>
      <c r="AA747" s="98" t="str">
        <f t="shared" si="616"/>
        <v/>
      </c>
      <c r="AB747" s="99"/>
      <c r="AF747" s="84" t="str">
        <f t="shared" si="612"/>
        <v/>
      </c>
      <c r="AH747" s="84" t="str">
        <f t="shared" si="607"/>
        <v/>
      </c>
      <c r="AI747" s="84" t="str">
        <f t="shared" si="608"/>
        <v/>
      </c>
      <c r="AJ747" s="84" t="str">
        <f>IF(Z747&lt;&gt;"Done","",(_xlfn.CONCAT("PL_",DigitasUKAdOp_26Team[[#This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48" spans="1:36" ht="15.75" customHeight="1" x14ac:dyDescent="0.3">
      <c r="A748" s="85" t="str">
        <f t="shared" si="614"/>
        <v/>
      </c>
      <c r="C748" s="87"/>
      <c r="E748" s="87"/>
      <c r="H748" s="87"/>
      <c r="I748" s="87"/>
      <c r="O748" s="90" t="str">
        <f t="shared" si="609"/>
        <v/>
      </c>
      <c r="Q748" s="91" t="str">
        <f t="shared" si="610"/>
        <v/>
      </c>
      <c r="R748" s="91" t="str">
        <f t="shared" si="613"/>
        <v/>
      </c>
      <c r="S748" s="92" t="str">
        <f t="shared" si="611"/>
        <v/>
      </c>
      <c r="T748" s="93"/>
      <c r="U748" s="94" t="str">
        <f t="shared" si="615"/>
        <v/>
      </c>
      <c r="X748" s="96"/>
      <c r="Y748" s="97" t="str">
        <f t="shared" si="617"/>
        <v/>
      </c>
      <c r="Z748" s="98" t="str">
        <f>SUBSTITUTE('Digitas UK Task 26'!$O748, "Complet", "Not Requir")</f>
        <v/>
      </c>
      <c r="AA748" s="98" t="str">
        <f t="shared" si="616"/>
        <v/>
      </c>
      <c r="AB748" s="99"/>
      <c r="AF748" s="84" t="str">
        <f t="shared" si="612"/>
        <v/>
      </c>
      <c r="AH748" s="84" t="str">
        <f t="shared" si="607"/>
        <v/>
      </c>
      <c r="AI748" s="84" t="str">
        <f t="shared" si="608"/>
        <v/>
      </c>
      <c r="AJ748" s="84" t="str">
        <f>IF(Z748&lt;&gt;"Done","",(_xlfn.CONCAT("PL_",DigitasUKAdOp_26Team[[#This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49" spans="1:36" ht="15.75" customHeight="1" x14ac:dyDescent="0.3">
      <c r="A749" s="85" t="str">
        <f t="shared" si="614"/>
        <v/>
      </c>
      <c r="C749" s="87"/>
      <c r="E749" s="87"/>
      <c r="H749" s="87"/>
      <c r="I749" s="87"/>
      <c r="O749" s="90" t="str">
        <f t="shared" si="609"/>
        <v/>
      </c>
      <c r="Q749" s="91" t="str">
        <f t="shared" si="610"/>
        <v/>
      </c>
      <c r="R749" s="91" t="str">
        <f t="shared" si="613"/>
        <v/>
      </c>
      <c r="S749" s="92" t="str">
        <f t="shared" si="611"/>
        <v/>
      </c>
      <c r="T749" s="93"/>
      <c r="U749" s="94" t="str">
        <f t="shared" si="615"/>
        <v/>
      </c>
      <c r="X749" s="96"/>
      <c r="Y749" s="97" t="str">
        <f t="shared" si="617"/>
        <v/>
      </c>
      <c r="Z749" s="98" t="str">
        <f>SUBSTITUTE('Digitas UK Task 26'!$O749, "Complet", "Not Requir")</f>
        <v/>
      </c>
      <c r="AA749" s="98" t="str">
        <f t="shared" si="616"/>
        <v/>
      </c>
      <c r="AB749" s="99"/>
      <c r="AF749" s="84" t="str">
        <f t="shared" si="612"/>
        <v/>
      </c>
      <c r="AH749" s="84" t="str">
        <f t="shared" si="607"/>
        <v/>
      </c>
      <c r="AI749" s="84" t="str">
        <f t="shared" si="608"/>
        <v/>
      </c>
      <c r="AJ749" s="84" t="str">
        <f>IF(Z749&lt;&gt;"Done","",(_xlfn.CONCAT("PL_",DigitasUKAdOp_26Team[[#This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50" spans="1:36" ht="15.75" customHeight="1" x14ac:dyDescent="0.3">
      <c r="A750" s="85" t="str">
        <f t="shared" si="614"/>
        <v/>
      </c>
      <c r="C750" s="87"/>
      <c r="E750" s="87"/>
      <c r="H750" s="87"/>
      <c r="I750" s="87"/>
      <c r="O750" s="90" t="str">
        <f t="shared" si="609"/>
        <v/>
      </c>
      <c r="Q750" s="91" t="str">
        <f t="shared" si="610"/>
        <v/>
      </c>
      <c r="R750" s="91" t="str">
        <f t="shared" si="613"/>
        <v/>
      </c>
      <c r="S750" s="92" t="str">
        <f t="shared" si="611"/>
        <v/>
      </c>
      <c r="T750" s="93"/>
      <c r="U750" s="94" t="str">
        <f t="shared" si="615"/>
        <v/>
      </c>
      <c r="X750" s="96"/>
      <c r="Y750" s="97" t="str">
        <f t="shared" si="617"/>
        <v/>
      </c>
      <c r="Z750" s="98" t="str">
        <f>SUBSTITUTE('Digitas UK Task 26'!$O750, "Complet", "Not Requir")</f>
        <v/>
      </c>
      <c r="AA750" s="98" t="str">
        <f t="shared" si="616"/>
        <v/>
      </c>
      <c r="AB750" s="99"/>
      <c r="AF750" s="84" t="str">
        <f t="shared" si="612"/>
        <v/>
      </c>
      <c r="AH750" s="84" t="str">
        <f t="shared" si="607"/>
        <v/>
      </c>
      <c r="AI750" s="84" t="str">
        <f t="shared" si="608"/>
        <v/>
      </c>
      <c r="AJ750" s="84" t="str">
        <f>IF(Z750&lt;&gt;"Done","",(_xlfn.CONCAT("PL_",DigitasUKAdOp_26Team[[#This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51" spans="1:36" ht="15.75" customHeight="1" x14ac:dyDescent="0.3">
      <c r="A751" s="85" t="str">
        <f t="shared" si="614"/>
        <v/>
      </c>
      <c r="C751" s="87"/>
      <c r="E751" s="87"/>
      <c r="H751" s="87"/>
      <c r="I751" s="87"/>
      <c r="O751" s="90" t="str">
        <f t="shared" si="609"/>
        <v/>
      </c>
      <c r="Q751" s="91" t="str">
        <f t="shared" si="610"/>
        <v/>
      </c>
      <c r="R751" s="91" t="str">
        <f t="shared" si="613"/>
        <v/>
      </c>
      <c r="S751" s="92" t="str">
        <f t="shared" si="611"/>
        <v/>
      </c>
      <c r="T751" s="93"/>
      <c r="U751" s="94" t="str">
        <f t="shared" si="615"/>
        <v/>
      </c>
      <c r="X751" s="96"/>
      <c r="Y751" s="97" t="str">
        <f t="shared" si="617"/>
        <v/>
      </c>
      <c r="Z751" s="98" t="str">
        <f>SUBSTITUTE('Digitas UK Task 26'!$O751, "Complet", "Not Requir")</f>
        <v/>
      </c>
      <c r="AA751" s="98" t="str">
        <f t="shared" si="616"/>
        <v/>
      </c>
      <c r="AB751" s="99"/>
      <c r="AF751" s="84" t="str">
        <f t="shared" si="612"/>
        <v/>
      </c>
      <c r="AH751" s="84" t="str">
        <f t="shared" ref="AH751:AH814" si="618">IF(B751="","",_xlfn.CONCAT("PL_",J751,"_CR_",K751,"_AD_",L751,"_Jira_",IF(AND(C751="P&amp;G",ISNUMBER(SEARCH("TAAGPNG-",G751))),MID(G751,SEARCH("TAAGPNG-",G751)+8,LEN(G751)-SEARCH("TAAGPNG-",G751)-7),"0"),"_"))</f>
        <v/>
      </c>
      <c r="AI751" s="84" t="str">
        <f t="shared" si="608"/>
        <v/>
      </c>
      <c r="AJ751" s="84" t="str">
        <f>IF(Z751&lt;&gt;"Done","",(_xlfn.CONCAT("PL_",DigitasUKAdOp_26Team[[#This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52" spans="1:36" ht="15.75" customHeight="1" x14ac:dyDescent="0.3">
      <c r="A752" s="85" t="str">
        <f t="shared" si="614"/>
        <v/>
      </c>
      <c r="C752" s="87"/>
      <c r="E752" s="87"/>
      <c r="H752" s="87"/>
      <c r="I752" s="87"/>
      <c r="O752" s="90" t="str">
        <f t="shared" si="609"/>
        <v/>
      </c>
      <c r="Q752" s="91" t="str">
        <f t="shared" si="610"/>
        <v/>
      </c>
      <c r="R752" s="91" t="str">
        <f t="shared" si="613"/>
        <v/>
      </c>
      <c r="S752" s="92" t="str">
        <f t="shared" si="611"/>
        <v/>
      </c>
      <c r="T752" s="93"/>
      <c r="U752" s="94" t="str">
        <f t="shared" si="615"/>
        <v/>
      </c>
      <c r="X752" s="96"/>
      <c r="Y752" s="97" t="str">
        <f t="shared" si="617"/>
        <v/>
      </c>
      <c r="Z752" s="98" t="str">
        <f>SUBSTITUTE('Digitas UK Task 26'!$O752, "Complet", "Not Requir")</f>
        <v/>
      </c>
      <c r="AA752" s="98" t="str">
        <f t="shared" si="616"/>
        <v/>
      </c>
      <c r="AB752" s="99"/>
      <c r="AF752" s="84" t="str">
        <f t="shared" si="612"/>
        <v/>
      </c>
      <c r="AH752" s="84" t="str">
        <f t="shared" si="618"/>
        <v/>
      </c>
      <c r="AI752" s="84" t="str">
        <f t="shared" si="608"/>
        <v/>
      </c>
      <c r="AJ752" s="84" t="str">
        <f>IF(Z752&lt;&gt;"Done","",(_xlfn.CONCAT("PL_",DigitasUKAdOp_26Team[[#This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53" spans="1:36" ht="15.75" customHeight="1" x14ac:dyDescent="0.3">
      <c r="A753" s="85" t="str">
        <f t="shared" si="614"/>
        <v/>
      </c>
      <c r="C753" s="87"/>
      <c r="E753" s="87"/>
      <c r="H753" s="87"/>
      <c r="I753" s="87"/>
      <c r="O753" s="90" t="str">
        <f t="shared" si="609"/>
        <v/>
      </c>
      <c r="Q753" s="91" t="str">
        <f t="shared" si="610"/>
        <v/>
      </c>
      <c r="R753" s="91" t="str">
        <f t="shared" si="613"/>
        <v/>
      </c>
      <c r="S753" s="92" t="str">
        <f t="shared" si="611"/>
        <v/>
      </c>
      <c r="T753" s="93"/>
      <c r="U753" s="94" t="str">
        <f t="shared" si="615"/>
        <v/>
      </c>
      <c r="X753" s="96"/>
      <c r="Y753" s="97" t="str">
        <f t="shared" si="617"/>
        <v/>
      </c>
      <c r="Z753" s="98" t="str">
        <f>SUBSTITUTE('Digitas UK Task 26'!$O753, "Complet", "Not Requir")</f>
        <v/>
      </c>
      <c r="AA753" s="98" t="str">
        <f t="shared" si="616"/>
        <v/>
      </c>
      <c r="AB753" s="99"/>
      <c r="AF753" s="84" t="str">
        <f t="shared" si="612"/>
        <v/>
      </c>
      <c r="AH753" s="84" t="str">
        <f t="shared" si="618"/>
        <v/>
      </c>
      <c r="AI753" s="84" t="str">
        <f t="shared" si="608"/>
        <v/>
      </c>
      <c r="AJ753" s="84" t="str">
        <f>IF(Z753&lt;&gt;"Done","",(_xlfn.CONCAT("PL_",DigitasUKAdOp_26Team[[#This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54" spans="1:36" ht="15.75" customHeight="1" x14ac:dyDescent="0.3">
      <c r="A754" s="85" t="str">
        <f t="shared" si="614"/>
        <v/>
      </c>
      <c r="C754" s="87"/>
      <c r="E754" s="87"/>
      <c r="H754" s="87"/>
      <c r="I754" s="87"/>
      <c r="O754" s="90" t="str">
        <f t="shared" si="609"/>
        <v/>
      </c>
      <c r="Q754" s="91" t="str">
        <f t="shared" si="610"/>
        <v/>
      </c>
      <c r="R754" s="91" t="str">
        <f t="shared" si="613"/>
        <v/>
      </c>
      <c r="S754" s="92" t="str">
        <f t="shared" si="611"/>
        <v/>
      </c>
      <c r="T754" s="93"/>
      <c r="U754" s="94" t="str">
        <f t="shared" si="615"/>
        <v/>
      </c>
      <c r="X754" s="96"/>
      <c r="Y754" s="97" t="str">
        <f t="shared" si="617"/>
        <v/>
      </c>
      <c r="Z754" s="98" t="str">
        <f>SUBSTITUTE('Digitas UK Task 26'!$O754, "Complet", "Not Requir")</f>
        <v/>
      </c>
      <c r="AA754" s="98" t="str">
        <f t="shared" si="616"/>
        <v/>
      </c>
      <c r="AB754" s="99"/>
      <c r="AF754" s="84" t="str">
        <f t="shared" si="612"/>
        <v/>
      </c>
      <c r="AH754" s="84" t="str">
        <f t="shared" si="618"/>
        <v/>
      </c>
      <c r="AI754" s="84" t="str">
        <f t="shared" si="608"/>
        <v/>
      </c>
      <c r="AJ754" s="84" t="str">
        <f>IF(Z754&lt;&gt;"Done","",(_xlfn.CONCAT("PL_",DigitasUKAdOp_26Team[[#This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55" spans="1:36" ht="15.75" customHeight="1" x14ac:dyDescent="0.3">
      <c r="A755" s="85" t="str">
        <f t="shared" si="614"/>
        <v/>
      </c>
      <c r="C755" s="87"/>
      <c r="E755" s="87"/>
      <c r="H755" s="87"/>
      <c r="I755" s="87"/>
      <c r="O755" s="90" t="str">
        <f t="shared" si="609"/>
        <v/>
      </c>
      <c r="Q755" s="91" t="str">
        <f t="shared" si="610"/>
        <v/>
      </c>
      <c r="R755" s="91" t="str">
        <f t="shared" si="613"/>
        <v/>
      </c>
      <c r="S755" s="92" t="str">
        <f t="shared" si="611"/>
        <v/>
      </c>
      <c r="T755" s="93"/>
      <c r="U755" s="94" t="str">
        <f t="shared" si="615"/>
        <v/>
      </c>
      <c r="X755" s="96"/>
      <c r="Y755" s="97" t="str">
        <f t="shared" si="617"/>
        <v/>
      </c>
      <c r="Z755" s="98" t="str">
        <f>SUBSTITUTE('Digitas UK Task 26'!$O755, "Complet", "Not Requir")</f>
        <v/>
      </c>
      <c r="AA755" s="98" t="str">
        <f t="shared" si="616"/>
        <v/>
      </c>
      <c r="AB755" s="99"/>
      <c r="AF755" s="84" t="str">
        <f t="shared" si="612"/>
        <v/>
      </c>
      <c r="AH755" s="84" t="str">
        <f t="shared" si="618"/>
        <v/>
      </c>
      <c r="AI755" s="84" t="str">
        <f t="shared" si="608"/>
        <v/>
      </c>
      <c r="AJ755" s="84" t="str">
        <f>IF(Z755&lt;&gt;"Done","",(_xlfn.CONCAT("PL_",DigitasUKAdOp_26Team[[#This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56" spans="1:36" ht="15.75" customHeight="1" x14ac:dyDescent="0.3">
      <c r="A756" s="85" t="str">
        <f t="shared" si="614"/>
        <v/>
      </c>
      <c r="C756" s="87"/>
      <c r="E756" s="87"/>
      <c r="H756" s="87"/>
      <c r="I756" s="87"/>
      <c r="O756" s="90" t="str">
        <f t="shared" si="609"/>
        <v/>
      </c>
      <c r="Q756" s="91" t="str">
        <f t="shared" si="610"/>
        <v/>
      </c>
      <c r="R756" s="91" t="str">
        <f t="shared" si="613"/>
        <v/>
      </c>
      <c r="S756" s="92" t="str">
        <f t="shared" si="611"/>
        <v/>
      </c>
      <c r="T756" s="93"/>
      <c r="U756" s="94" t="str">
        <f t="shared" si="615"/>
        <v/>
      </c>
      <c r="X756" s="96"/>
      <c r="Y756" s="97" t="str">
        <f t="shared" si="617"/>
        <v/>
      </c>
      <c r="Z756" s="98" t="str">
        <f>SUBSTITUTE('Digitas UK Task 26'!$O756, "Complet", "Not Requir")</f>
        <v/>
      </c>
      <c r="AA756" s="98" t="str">
        <f t="shared" si="616"/>
        <v/>
      </c>
      <c r="AB756" s="99"/>
      <c r="AF756" s="84" t="str">
        <f t="shared" si="612"/>
        <v/>
      </c>
      <c r="AH756" s="84" t="str">
        <f t="shared" si="618"/>
        <v/>
      </c>
      <c r="AI756" s="84" t="str">
        <f t="shared" si="608"/>
        <v/>
      </c>
      <c r="AJ756" s="84" t="str">
        <f>IF(Z756&lt;&gt;"Done","",(_xlfn.CONCAT("PL_",DigitasUKAdOp_26Team[[#This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57" spans="1:36" ht="15.75" customHeight="1" x14ac:dyDescent="0.3">
      <c r="A757" s="85" t="str">
        <f t="shared" si="614"/>
        <v/>
      </c>
      <c r="C757" s="87"/>
      <c r="E757" s="87"/>
      <c r="H757" s="87"/>
      <c r="I757" s="87"/>
      <c r="O757" s="90" t="str">
        <f t="shared" si="609"/>
        <v/>
      </c>
      <c r="Q757" s="91" t="str">
        <f t="shared" si="610"/>
        <v/>
      </c>
      <c r="R757" s="91" t="str">
        <f t="shared" si="613"/>
        <v/>
      </c>
      <c r="S757" s="92" t="str">
        <f t="shared" si="611"/>
        <v/>
      </c>
      <c r="T757" s="93"/>
      <c r="U757" s="94" t="str">
        <f t="shared" si="615"/>
        <v/>
      </c>
      <c r="X757" s="96"/>
      <c r="Y757" s="97" t="str">
        <f t="shared" si="617"/>
        <v/>
      </c>
      <c r="Z757" s="98" t="str">
        <f>SUBSTITUTE('Digitas UK Task 26'!$O757, "Complet", "Not Requir")</f>
        <v/>
      </c>
      <c r="AA757" s="98" t="str">
        <f t="shared" si="616"/>
        <v/>
      </c>
      <c r="AB757" s="99"/>
      <c r="AF757" s="84" t="str">
        <f t="shared" si="612"/>
        <v/>
      </c>
      <c r="AH757" s="84" t="str">
        <f t="shared" si="618"/>
        <v/>
      </c>
      <c r="AI757" s="84" t="str">
        <f t="shared" ref="AI757:AI820" si="619">IF(U757&lt;&gt;"Done","",_xlfn.CONCAT("PL_",J757,"_CR_",K757,"_AD_",L757,"_Jira_",IF(AND(C757="P&amp;G",ISNUMBER(SEARCH("TAAGPNG-",G757))),MID(G757,SEARCH("TAAGPNG-",G757)+8,LEN(G757)-SEARCH("TAAGPNG-",G757)-7),"0"),"_"))</f>
        <v/>
      </c>
      <c r="AJ757" s="84" t="str">
        <f>IF(Z757&lt;&gt;"Done","",(_xlfn.CONCAT("PL_",DigitasUKAdOp_26Team[[#This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58" spans="1:36" ht="15.75" customHeight="1" x14ac:dyDescent="0.3">
      <c r="A758" s="85" t="str">
        <f t="shared" si="614"/>
        <v/>
      </c>
      <c r="C758" s="87"/>
      <c r="E758" s="87"/>
      <c r="H758" s="87"/>
      <c r="I758" s="87"/>
      <c r="O758" s="90" t="str">
        <f t="shared" si="609"/>
        <v/>
      </c>
      <c r="Q758" s="91" t="str">
        <f t="shared" si="610"/>
        <v/>
      </c>
      <c r="R758" s="91" t="str">
        <f t="shared" si="613"/>
        <v/>
      </c>
      <c r="S758" s="92" t="str">
        <f t="shared" si="611"/>
        <v/>
      </c>
      <c r="T758" s="93"/>
      <c r="U758" s="94" t="str">
        <f t="shared" si="615"/>
        <v/>
      </c>
      <c r="X758" s="96"/>
      <c r="Y758" s="97" t="str">
        <f t="shared" si="617"/>
        <v/>
      </c>
      <c r="Z758" s="98" t="str">
        <f>SUBSTITUTE('Digitas UK Task 26'!$O758, "Complet", "Not Requir")</f>
        <v/>
      </c>
      <c r="AA758" s="98" t="str">
        <f t="shared" si="616"/>
        <v/>
      </c>
      <c r="AB758" s="99"/>
      <c r="AF758" s="84" t="str">
        <f t="shared" si="612"/>
        <v/>
      </c>
      <c r="AH758" s="84" t="str">
        <f t="shared" si="618"/>
        <v/>
      </c>
      <c r="AI758" s="84" t="str">
        <f t="shared" si="619"/>
        <v/>
      </c>
      <c r="AJ758" s="84" t="str">
        <f>IF(Z758&lt;&gt;"Done","",(_xlfn.CONCAT("PL_",DigitasUKAdOp_26Team[[#This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59" spans="1:36" ht="15.75" customHeight="1" x14ac:dyDescent="0.3">
      <c r="A759" s="85" t="str">
        <f t="shared" si="614"/>
        <v/>
      </c>
      <c r="C759" s="87"/>
      <c r="E759" s="87"/>
      <c r="H759" s="87"/>
      <c r="I759" s="87"/>
      <c r="O759" s="90" t="str">
        <f t="shared" ref="O759:O822" si="620">IF(F759="","","In-process")</f>
        <v/>
      </c>
      <c r="Q759" s="91" t="str">
        <f t="shared" si="610"/>
        <v/>
      </c>
      <c r="R759" s="91" t="str">
        <f t="shared" si="613"/>
        <v/>
      </c>
      <c r="S759" s="92" t="str">
        <f t="shared" si="611"/>
        <v/>
      </c>
      <c r="T759" s="93"/>
      <c r="U759" s="94" t="str">
        <f t="shared" si="615"/>
        <v/>
      </c>
      <c r="X759" s="96"/>
      <c r="Y759" s="97" t="str">
        <f t="shared" si="617"/>
        <v/>
      </c>
      <c r="Z759" s="98" t="str">
        <f>SUBSTITUTE('Digitas UK Task 26'!$O759, "Complet", "Not Requir")</f>
        <v/>
      </c>
      <c r="AA759" s="98" t="str">
        <f t="shared" si="616"/>
        <v/>
      </c>
      <c r="AB759" s="99"/>
      <c r="AF759" s="84" t="str">
        <f t="shared" si="612"/>
        <v/>
      </c>
      <c r="AH759" s="84" t="str">
        <f t="shared" si="618"/>
        <v/>
      </c>
      <c r="AI759" s="84" t="str">
        <f t="shared" si="619"/>
        <v/>
      </c>
      <c r="AJ759" s="84" t="str">
        <f>IF(Z759&lt;&gt;"Done","",(_xlfn.CONCAT("PL_",DigitasUKAdOp_26Team[[#This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60" spans="1:36" ht="15.75" customHeight="1" x14ac:dyDescent="0.3">
      <c r="A760" s="85" t="str">
        <f t="shared" si="614"/>
        <v/>
      </c>
      <c r="C760" s="87"/>
      <c r="E760" s="87"/>
      <c r="H760" s="87"/>
      <c r="I760" s="87"/>
      <c r="O760" s="90" t="str">
        <f t="shared" si="620"/>
        <v/>
      </c>
      <c r="Q760" s="91" t="str">
        <f t="shared" si="610"/>
        <v/>
      </c>
      <c r="R760" s="91" t="str">
        <f t="shared" si="613"/>
        <v/>
      </c>
      <c r="S760" s="92" t="str">
        <f t="shared" si="611"/>
        <v/>
      </c>
      <c r="T760" s="93"/>
      <c r="U760" s="94" t="str">
        <f t="shared" si="615"/>
        <v/>
      </c>
      <c r="X760" s="96"/>
      <c r="Y760" s="97" t="str">
        <f t="shared" si="617"/>
        <v/>
      </c>
      <c r="Z760" s="98" t="str">
        <f>SUBSTITUTE('Digitas UK Task 26'!$O760, "Complet", "Not Requir")</f>
        <v/>
      </c>
      <c r="AA760" s="98" t="str">
        <f t="shared" si="616"/>
        <v/>
      </c>
      <c r="AB760" s="99"/>
      <c r="AF760" s="84" t="str">
        <f t="shared" si="612"/>
        <v/>
      </c>
      <c r="AH760" s="84" t="str">
        <f t="shared" si="618"/>
        <v/>
      </c>
      <c r="AI760" s="84" t="str">
        <f t="shared" si="619"/>
        <v/>
      </c>
      <c r="AJ760" s="84" t="str">
        <f>IF(Z760&lt;&gt;"Done","",(_xlfn.CONCAT("PL_",DigitasUKAdOp_26Team[[#This Row],[Placement Count]],"_CR_",DigitasUKAdOp_26Team[[#This Row],[Creative Count]],"_AD_",DigitasUKAdOp_26Team[[#This Row],[Ad Count]],"_Jira_",IF(DigitasUKAdOp_26Team[[#This Row],[Camapign Type]]="Flashtalking",RIGHT(DigitasUKAdOp_26Team[[#This Row],[Email Subject Line]],4),"0"),"_Post Live QA")))</f>
        <v/>
      </c>
    </row>
    <row r="761" spans="1:36" ht="15.75" customHeight="1" x14ac:dyDescent="0.3">
      <c r="A761" s="85" t="str">
        <f t="shared" si="614"/>
        <v/>
      </c>
      <c r="C761" s="87"/>
      <c r="E761" s="87"/>
      <c r="H761" s="87"/>
      <c r="I761" s="87"/>
      <c r="O761" s="90" t="str">
        <f t="shared" si="620"/>
        <v/>
      </c>
      <c r="Q761" s="91" t="str">
        <f t="shared" si="610"/>
        <v/>
      </c>
      <c r="R761" s="91" t="str">
        <f t="shared" si="613"/>
        <v/>
      </c>
      <c r="S761" s="92" t="str">
        <f t="shared" si="611"/>
        <v/>
      </c>
      <c r="T761" s="93"/>
      <c r="U761" s="94" t="str">
        <f t="shared" si="615"/>
        <v/>
      </c>
      <c r="X761" s="96"/>
      <c r="Y761" s="97" t="str">
        <f t="shared" si="617"/>
        <v/>
      </c>
      <c r="Z761" s="98" t="str">
        <f>SUBSTITUTE('Digitas UK Task 26'!$O761, "Complet", "Not Requir")</f>
        <v/>
      </c>
      <c r="AA761" s="98" t="str">
        <f t="shared" si="616"/>
        <v/>
      </c>
      <c r="AB761" s="99"/>
      <c r="AF761" s="84" t="str">
        <f t="shared" si="612"/>
        <v/>
      </c>
      <c r="AH761" s="84" t="str">
        <f t="shared" si="618"/>
        <v/>
      </c>
      <c r="AI761" s="84" t="str">
        <f t="shared" si="619"/>
        <v/>
      </c>
    </row>
    <row r="762" spans="1:36" ht="15.75" customHeight="1" x14ac:dyDescent="0.3">
      <c r="A762" s="85" t="str">
        <f t="shared" si="614"/>
        <v/>
      </c>
      <c r="C762" s="87"/>
      <c r="E762" s="87"/>
      <c r="H762" s="87"/>
      <c r="I762" s="87"/>
      <c r="O762" s="90" t="str">
        <f t="shared" si="620"/>
        <v/>
      </c>
      <c r="Q762" s="91" t="str">
        <f t="shared" si="610"/>
        <v/>
      </c>
      <c r="R762" s="91" t="str">
        <f t="shared" si="613"/>
        <v/>
      </c>
      <c r="S762" s="92" t="str">
        <f t="shared" si="611"/>
        <v/>
      </c>
      <c r="T762" s="93"/>
      <c r="U762" s="94" t="str">
        <f t="shared" si="615"/>
        <v/>
      </c>
      <c r="X762" s="96"/>
      <c r="Y762" s="97" t="str">
        <f t="shared" si="617"/>
        <v/>
      </c>
      <c r="Z762" s="98" t="str">
        <f>SUBSTITUTE('Digitas UK Task 26'!$O762, "Complet", "Not Requir")</f>
        <v/>
      </c>
      <c r="AA762" s="98" t="str">
        <f t="shared" si="616"/>
        <v/>
      </c>
      <c r="AB762" s="99"/>
      <c r="AF762" s="84" t="str">
        <f t="shared" si="612"/>
        <v/>
      </c>
      <c r="AH762" s="84" t="str">
        <f t="shared" si="618"/>
        <v/>
      </c>
      <c r="AI762" s="84" t="str">
        <f t="shared" si="619"/>
        <v/>
      </c>
    </row>
    <row r="763" spans="1:36" ht="15.75" customHeight="1" x14ac:dyDescent="0.3">
      <c r="A763" s="85" t="str">
        <f t="shared" si="614"/>
        <v/>
      </c>
      <c r="C763" s="87"/>
      <c r="E763" s="87"/>
      <c r="H763" s="87"/>
      <c r="I763" s="87"/>
      <c r="O763" s="90" t="str">
        <f t="shared" si="620"/>
        <v/>
      </c>
      <c r="Q763" s="91" t="str">
        <f t="shared" si="610"/>
        <v/>
      </c>
      <c r="R763" s="91" t="str">
        <f t="shared" si="613"/>
        <v/>
      </c>
      <c r="S763" s="92" t="str">
        <f t="shared" si="611"/>
        <v/>
      </c>
      <c r="T763" s="93"/>
      <c r="U763" s="94" t="str">
        <f t="shared" si="615"/>
        <v/>
      </c>
      <c r="X763" s="96"/>
      <c r="Y763" s="97" t="str">
        <f t="shared" si="617"/>
        <v/>
      </c>
      <c r="Z763" s="98" t="str">
        <f>SUBSTITUTE('Digitas UK Task 26'!$O763, "Complet", "Not Requir")</f>
        <v/>
      </c>
      <c r="AA763" s="98" t="str">
        <f t="shared" si="616"/>
        <v/>
      </c>
      <c r="AB763" s="99"/>
      <c r="AF763" s="84" t="str">
        <f t="shared" si="612"/>
        <v/>
      </c>
      <c r="AH763" s="84" t="str">
        <f t="shared" si="618"/>
        <v/>
      </c>
      <c r="AI763" s="84" t="str">
        <f t="shared" si="619"/>
        <v/>
      </c>
    </row>
    <row r="764" spans="1:36" ht="15.75" customHeight="1" x14ac:dyDescent="0.3">
      <c r="A764" s="85" t="str">
        <f t="shared" si="614"/>
        <v/>
      </c>
      <c r="C764" s="87"/>
      <c r="E764" s="87"/>
      <c r="H764" s="87"/>
      <c r="I764" s="87"/>
      <c r="O764" s="90" t="str">
        <f t="shared" si="620"/>
        <v/>
      </c>
      <c r="Q764" s="91" t="str">
        <f t="shared" si="610"/>
        <v/>
      </c>
      <c r="R764" s="91" t="str">
        <f t="shared" si="613"/>
        <v/>
      </c>
      <c r="S764" s="92" t="str">
        <f t="shared" si="611"/>
        <v/>
      </c>
      <c r="T764" s="93"/>
      <c r="U764" s="94" t="str">
        <f t="shared" si="615"/>
        <v/>
      </c>
      <c r="X764" s="96"/>
      <c r="Y764" s="97" t="str">
        <f t="shared" si="617"/>
        <v/>
      </c>
      <c r="Z764" s="98" t="str">
        <f>SUBSTITUTE('Digitas UK Task 26'!$O764, "Complet", "Not Requir")</f>
        <v/>
      </c>
      <c r="AA764" s="98" t="str">
        <f t="shared" si="616"/>
        <v/>
      </c>
      <c r="AB764" s="99"/>
      <c r="AF764" s="84" t="str">
        <f t="shared" si="612"/>
        <v/>
      </c>
      <c r="AH764" s="84" t="str">
        <f t="shared" si="618"/>
        <v/>
      </c>
      <c r="AI764" s="84" t="str">
        <f t="shared" si="619"/>
        <v/>
      </c>
    </row>
    <row r="765" spans="1:36" ht="15.75" customHeight="1" x14ac:dyDescent="0.3">
      <c r="A765" s="85" t="str">
        <f t="shared" si="614"/>
        <v/>
      </c>
      <c r="C765" s="87"/>
      <c r="E765" s="87"/>
      <c r="H765" s="87"/>
      <c r="I765" s="87"/>
      <c r="O765" s="90" t="str">
        <f t="shared" si="620"/>
        <v/>
      </c>
      <c r="Q765" s="91" t="str">
        <f t="shared" si="610"/>
        <v/>
      </c>
      <c r="R765" s="91" t="str">
        <f t="shared" si="613"/>
        <v/>
      </c>
      <c r="S765" s="92" t="str">
        <f t="shared" si="611"/>
        <v/>
      </c>
      <c r="T765" s="93"/>
      <c r="U765" s="94" t="str">
        <f t="shared" si="615"/>
        <v/>
      </c>
      <c r="X765" s="96"/>
      <c r="Y765" s="97" t="str">
        <f t="shared" si="617"/>
        <v/>
      </c>
      <c r="Z765" s="98" t="str">
        <f>SUBSTITUTE('Digitas UK Task 26'!$O765, "Complet", "Not Requir")</f>
        <v/>
      </c>
      <c r="AA765" s="98" t="str">
        <f t="shared" si="616"/>
        <v/>
      </c>
      <c r="AB765" s="99"/>
      <c r="AF765" s="84" t="str">
        <f t="shared" si="612"/>
        <v/>
      </c>
      <c r="AH765" s="84" t="str">
        <f t="shared" si="618"/>
        <v/>
      </c>
      <c r="AI765" s="84" t="str">
        <f t="shared" si="619"/>
        <v/>
      </c>
    </row>
    <row r="766" spans="1:36" ht="15.75" customHeight="1" x14ac:dyDescent="0.3">
      <c r="A766" s="85" t="str">
        <f t="shared" si="614"/>
        <v/>
      </c>
      <c r="C766" s="87"/>
      <c r="E766" s="87"/>
      <c r="H766" s="87"/>
      <c r="I766" s="87"/>
      <c r="O766" s="90" t="str">
        <f t="shared" si="620"/>
        <v/>
      </c>
      <c r="Q766" s="91" t="str">
        <f t="shared" si="610"/>
        <v/>
      </c>
      <c r="R766" s="91" t="str">
        <f t="shared" si="613"/>
        <v/>
      </c>
      <c r="S766" s="92" t="str">
        <f t="shared" si="611"/>
        <v/>
      </c>
      <c r="T766" s="93"/>
      <c r="U766" s="94" t="str">
        <f t="shared" si="615"/>
        <v/>
      </c>
      <c r="X766" s="96"/>
      <c r="Y766" s="97" t="str">
        <f t="shared" si="617"/>
        <v/>
      </c>
      <c r="Z766" s="98" t="str">
        <f>SUBSTITUTE('Digitas UK Task 26'!$O766, "Complet", "Not Requir")</f>
        <v/>
      </c>
      <c r="AA766" s="98" t="str">
        <f t="shared" si="616"/>
        <v/>
      </c>
      <c r="AB766" s="99"/>
      <c r="AF766" s="84" t="str">
        <f t="shared" si="612"/>
        <v/>
      </c>
      <c r="AH766" s="84" t="str">
        <f t="shared" si="618"/>
        <v/>
      </c>
      <c r="AI766" s="84" t="str">
        <f t="shared" si="619"/>
        <v/>
      </c>
    </row>
    <row r="767" spans="1:36" ht="15.75" customHeight="1" x14ac:dyDescent="0.3">
      <c r="A767" s="85" t="str">
        <f t="shared" si="614"/>
        <v/>
      </c>
      <c r="C767" s="87"/>
      <c r="E767" s="87"/>
      <c r="H767" s="87"/>
      <c r="I767" s="87"/>
      <c r="O767" s="90" t="str">
        <f t="shared" si="620"/>
        <v/>
      </c>
      <c r="Q767" s="91" t="str">
        <f t="shared" si="610"/>
        <v/>
      </c>
      <c r="R767" s="91" t="str">
        <f t="shared" si="613"/>
        <v/>
      </c>
      <c r="S767" s="92" t="str">
        <f t="shared" si="611"/>
        <v/>
      </c>
      <c r="T767" s="93"/>
      <c r="U767" s="94" t="str">
        <f t="shared" si="615"/>
        <v/>
      </c>
      <c r="X767" s="96"/>
      <c r="Y767" s="97" t="str">
        <f t="shared" si="617"/>
        <v/>
      </c>
      <c r="Z767" s="98" t="str">
        <f>SUBSTITUTE('Digitas UK Task 26'!$O767, "Complet", "Not Requir")</f>
        <v/>
      </c>
      <c r="AA767" s="98" t="str">
        <f t="shared" si="616"/>
        <v/>
      </c>
      <c r="AB767" s="99"/>
      <c r="AF767" s="84" t="str">
        <f t="shared" si="612"/>
        <v/>
      </c>
      <c r="AH767" s="84" t="str">
        <f t="shared" si="618"/>
        <v/>
      </c>
      <c r="AI767" s="84" t="str">
        <f t="shared" si="619"/>
        <v/>
      </c>
    </row>
    <row r="768" spans="1:36" ht="15.75" customHeight="1" x14ac:dyDescent="0.3">
      <c r="A768" s="85" t="str">
        <f t="shared" si="614"/>
        <v/>
      </c>
      <c r="C768" s="87"/>
      <c r="E768" s="87"/>
      <c r="H768" s="87"/>
      <c r="I768" s="87"/>
      <c r="O768" s="90" t="str">
        <f t="shared" si="620"/>
        <v/>
      </c>
      <c r="Q768" s="91" t="str">
        <f t="shared" si="610"/>
        <v/>
      </c>
      <c r="R768" s="91" t="str">
        <f t="shared" si="613"/>
        <v/>
      </c>
      <c r="S768" s="92" t="str">
        <f t="shared" si="611"/>
        <v/>
      </c>
      <c r="T768" s="93"/>
      <c r="U768" s="94" t="str">
        <f t="shared" si="615"/>
        <v/>
      </c>
      <c r="X768" s="96"/>
      <c r="Y768" s="97" t="str">
        <f t="shared" si="617"/>
        <v/>
      </c>
      <c r="Z768" s="98" t="str">
        <f>SUBSTITUTE('Digitas UK Task 26'!$O768, "Complet", "Not Requir")</f>
        <v/>
      </c>
      <c r="AA768" s="98" t="str">
        <f t="shared" si="616"/>
        <v/>
      </c>
      <c r="AB768" s="99"/>
      <c r="AF768" s="84" t="str">
        <f t="shared" si="612"/>
        <v/>
      </c>
      <c r="AH768" s="84" t="str">
        <f t="shared" si="618"/>
        <v/>
      </c>
      <c r="AI768" s="84" t="str">
        <f t="shared" si="619"/>
        <v/>
      </c>
    </row>
    <row r="769" spans="1:35" ht="15.75" customHeight="1" x14ac:dyDescent="0.3">
      <c r="A769" s="85" t="str">
        <f t="shared" si="614"/>
        <v/>
      </c>
      <c r="C769" s="87"/>
      <c r="E769" s="87"/>
      <c r="H769" s="87"/>
      <c r="I769" s="87"/>
      <c r="O769" s="90" t="str">
        <f t="shared" si="620"/>
        <v/>
      </c>
      <c r="Q769" s="91" t="str">
        <f t="shared" si="610"/>
        <v/>
      </c>
      <c r="R769" s="91" t="str">
        <f t="shared" si="613"/>
        <v/>
      </c>
      <c r="S769" s="92" t="str">
        <f t="shared" si="611"/>
        <v/>
      </c>
      <c r="T769" s="93"/>
      <c r="U769" s="94" t="str">
        <f t="shared" si="615"/>
        <v/>
      </c>
      <c r="X769" s="96"/>
      <c r="Y769" s="97" t="str">
        <f t="shared" si="617"/>
        <v/>
      </c>
      <c r="Z769" s="98" t="str">
        <f>SUBSTITUTE('Digitas UK Task 26'!$O769, "Complet", "Not Requir")</f>
        <v/>
      </c>
      <c r="AA769" s="98" t="str">
        <f t="shared" si="616"/>
        <v/>
      </c>
      <c r="AB769" s="99"/>
      <c r="AF769" s="84" t="str">
        <f t="shared" si="612"/>
        <v/>
      </c>
      <c r="AH769" s="84" t="str">
        <f t="shared" si="618"/>
        <v/>
      </c>
      <c r="AI769" s="84" t="str">
        <f t="shared" si="619"/>
        <v/>
      </c>
    </row>
    <row r="770" spans="1:35" ht="15.75" customHeight="1" x14ac:dyDescent="0.3">
      <c r="A770" s="85" t="str">
        <f t="shared" si="614"/>
        <v/>
      </c>
      <c r="C770" s="87"/>
      <c r="E770" s="87"/>
      <c r="H770" s="87"/>
      <c r="I770" s="87"/>
      <c r="O770" s="90" t="str">
        <f t="shared" si="620"/>
        <v/>
      </c>
      <c r="Q770" s="91" t="str">
        <f t="shared" si="610"/>
        <v/>
      </c>
      <c r="R770" s="91" t="str">
        <f t="shared" si="613"/>
        <v/>
      </c>
      <c r="S770" s="92" t="str">
        <f t="shared" si="611"/>
        <v/>
      </c>
      <c r="T770" s="93"/>
      <c r="U770" s="94" t="str">
        <f t="shared" si="615"/>
        <v/>
      </c>
      <c r="X770" s="96"/>
      <c r="Y770" s="97" t="str">
        <f t="shared" si="617"/>
        <v/>
      </c>
      <c r="Z770" s="98" t="str">
        <f>SUBSTITUTE('Digitas UK Task 26'!$O770, "Complet", "Not Requir")</f>
        <v/>
      </c>
      <c r="AA770" s="98" t="str">
        <f t="shared" si="616"/>
        <v/>
      </c>
      <c r="AB770" s="99"/>
      <c r="AF770" s="84" t="str">
        <f t="shared" si="612"/>
        <v/>
      </c>
      <c r="AH770" s="84" t="str">
        <f t="shared" si="618"/>
        <v/>
      </c>
      <c r="AI770" s="84" t="str">
        <f t="shared" si="619"/>
        <v/>
      </c>
    </row>
    <row r="771" spans="1:35" ht="15.75" customHeight="1" x14ac:dyDescent="0.3">
      <c r="A771" s="85" t="str">
        <f t="shared" si="614"/>
        <v/>
      </c>
      <c r="C771" s="87"/>
      <c r="E771" s="87"/>
      <c r="H771" s="87"/>
      <c r="I771" s="87"/>
      <c r="O771" s="90" t="str">
        <f t="shared" si="620"/>
        <v/>
      </c>
      <c r="Q771" s="91" t="str">
        <f t="shared" si="610"/>
        <v/>
      </c>
      <c r="R771" s="91" t="str">
        <f t="shared" si="613"/>
        <v/>
      </c>
      <c r="S771" s="92" t="str">
        <f t="shared" si="611"/>
        <v/>
      </c>
      <c r="T771" s="93"/>
      <c r="U771" s="94" t="str">
        <f t="shared" si="615"/>
        <v/>
      </c>
      <c r="X771" s="96"/>
      <c r="Y771" s="97" t="str">
        <f t="shared" si="617"/>
        <v/>
      </c>
      <c r="Z771" s="98" t="str">
        <f>SUBSTITUTE('Digitas UK Task 26'!$O771, "Complet", "Not Requir")</f>
        <v/>
      </c>
      <c r="AA771" s="98" t="str">
        <f t="shared" si="616"/>
        <v/>
      </c>
      <c r="AB771" s="99"/>
      <c r="AF771" s="84" t="str">
        <f t="shared" si="612"/>
        <v/>
      </c>
      <c r="AH771" s="84" t="str">
        <f t="shared" si="618"/>
        <v/>
      </c>
      <c r="AI771" s="84" t="str">
        <f t="shared" si="619"/>
        <v/>
      </c>
    </row>
    <row r="772" spans="1:35" ht="15.75" customHeight="1" x14ac:dyDescent="0.3">
      <c r="A772" s="85" t="str">
        <f t="shared" si="614"/>
        <v/>
      </c>
      <c r="C772" s="87"/>
      <c r="E772" s="87"/>
      <c r="H772" s="87"/>
      <c r="I772" s="87"/>
      <c r="O772" s="90" t="str">
        <f t="shared" si="620"/>
        <v/>
      </c>
      <c r="Q772" s="91" t="str">
        <f t="shared" si="610"/>
        <v/>
      </c>
      <c r="R772" s="91" t="str">
        <f t="shared" si="613"/>
        <v/>
      </c>
      <c r="S772" s="92" t="str">
        <f t="shared" si="611"/>
        <v/>
      </c>
      <c r="T772" s="93"/>
      <c r="U772" s="94" t="str">
        <f t="shared" si="615"/>
        <v/>
      </c>
      <c r="X772" s="96"/>
      <c r="Y772" s="97" t="str">
        <f t="shared" si="617"/>
        <v/>
      </c>
      <c r="Z772" s="98" t="str">
        <f>SUBSTITUTE('Digitas UK Task 26'!$O772, "Complet", "Not Requir")</f>
        <v/>
      </c>
      <c r="AA772" s="98" t="str">
        <f t="shared" si="616"/>
        <v/>
      </c>
      <c r="AB772" s="99"/>
      <c r="AF772" s="84" t="str">
        <f t="shared" si="612"/>
        <v/>
      </c>
      <c r="AH772" s="84" t="str">
        <f t="shared" si="618"/>
        <v/>
      </c>
      <c r="AI772" s="84" t="str">
        <f t="shared" si="619"/>
        <v/>
      </c>
    </row>
    <row r="773" spans="1:35" ht="15.75" customHeight="1" x14ac:dyDescent="0.3">
      <c r="A773" s="85" t="str">
        <f t="shared" si="614"/>
        <v/>
      </c>
      <c r="C773" s="87"/>
      <c r="E773" s="87"/>
      <c r="H773" s="87"/>
      <c r="I773" s="87"/>
      <c r="O773" s="90" t="str">
        <f t="shared" si="620"/>
        <v/>
      </c>
      <c r="Q773" s="91" t="str">
        <f t="shared" si="610"/>
        <v/>
      </c>
      <c r="R773" s="91" t="str">
        <f t="shared" si="613"/>
        <v/>
      </c>
      <c r="S773" s="92" t="str">
        <f t="shared" si="611"/>
        <v/>
      </c>
      <c r="T773" s="93"/>
      <c r="U773" s="94" t="str">
        <f t="shared" si="615"/>
        <v/>
      </c>
      <c r="X773" s="96"/>
      <c r="Y773" s="97" t="str">
        <f t="shared" si="617"/>
        <v/>
      </c>
      <c r="Z773" s="98" t="str">
        <f>SUBSTITUTE('Digitas UK Task 26'!$O773, "Complet", "Not Requir")</f>
        <v/>
      </c>
      <c r="AA773" s="98" t="str">
        <f t="shared" si="616"/>
        <v/>
      </c>
      <c r="AB773" s="99"/>
      <c r="AF773" s="84" t="str">
        <f t="shared" si="612"/>
        <v/>
      </c>
      <c r="AH773" s="84" t="str">
        <f t="shared" si="618"/>
        <v/>
      </c>
      <c r="AI773" s="84" t="str">
        <f t="shared" si="619"/>
        <v/>
      </c>
    </row>
    <row r="774" spans="1:35" ht="15.75" customHeight="1" x14ac:dyDescent="0.3">
      <c r="A774" s="85" t="str">
        <f t="shared" si="614"/>
        <v/>
      </c>
      <c r="C774" s="87"/>
      <c r="E774" s="87"/>
      <c r="H774" s="87"/>
      <c r="I774" s="87"/>
      <c r="O774" s="90" t="str">
        <f t="shared" si="620"/>
        <v/>
      </c>
      <c r="Q774" s="91" t="str">
        <f t="shared" si="610"/>
        <v/>
      </c>
      <c r="R774" s="91" t="str">
        <f t="shared" si="613"/>
        <v/>
      </c>
      <c r="S774" s="92" t="str">
        <f t="shared" si="611"/>
        <v/>
      </c>
      <c r="T774" s="93"/>
      <c r="U774" s="94" t="str">
        <f t="shared" si="615"/>
        <v/>
      </c>
      <c r="X774" s="96"/>
      <c r="Y774" s="97" t="str">
        <f t="shared" si="617"/>
        <v/>
      </c>
      <c r="Z774" s="98" t="str">
        <f>SUBSTITUTE('Digitas UK Task 26'!$O774, "Complet", "Not Requir")</f>
        <v/>
      </c>
      <c r="AA774" s="98" t="str">
        <f t="shared" si="616"/>
        <v/>
      </c>
      <c r="AB774" s="99"/>
      <c r="AF774" s="84" t="str">
        <f t="shared" si="612"/>
        <v/>
      </c>
      <c r="AH774" s="84" t="str">
        <f t="shared" si="618"/>
        <v/>
      </c>
      <c r="AI774" s="84" t="str">
        <f t="shared" si="619"/>
        <v/>
      </c>
    </row>
    <row r="775" spans="1:35" ht="15.75" customHeight="1" x14ac:dyDescent="0.3">
      <c r="A775" s="85" t="str">
        <f t="shared" si="614"/>
        <v/>
      </c>
      <c r="C775" s="87"/>
      <c r="E775" s="87"/>
      <c r="H775" s="87"/>
      <c r="I775" s="87"/>
      <c r="O775" s="90" t="str">
        <f t="shared" si="620"/>
        <v/>
      </c>
      <c r="Q775" s="91" t="str">
        <f t="shared" si="610"/>
        <v/>
      </c>
      <c r="R775" s="91" t="str">
        <f t="shared" si="613"/>
        <v/>
      </c>
      <c r="S775" s="92" t="str">
        <f t="shared" si="611"/>
        <v/>
      </c>
      <c r="T775" s="93"/>
      <c r="U775" s="94" t="str">
        <f t="shared" si="615"/>
        <v/>
      </c>
      <c r="X775" s="96"/>
      <c r="Y775" s="97" t="str">
        <f t="shared" si="617"/>
        <v/>
      </c>
      <c r="Z775" s="98" t="str">
        <f>SUBSTITUTE('Digitas UK Task 26'!$O775, "Complet", "Not Requir")</f>
        <v/>
      </c>
      <c r="AA775" s="98" t="str">
        <f t="shared" si="616"/>
        <v/>
      </c>
      <c r="AB775" s="99"/>
      <c r="AF775" s="84" t="str">
        <f t="shared" si="612"/>
        <v/>
      </c>
      <c r="AH775" s="84" t="str">
        <f t="shared" si="618"/>
        <v/>
      </c>
      <c r="AI775" s="84" t="str">
        <f t="shared" si="619"/>
        <v/>
      </c>
    </row>
    <row r="776" spans="1:35" ht="15.75" customHeight="1" x14ac:dyDescent="0.3">
      <c r="A776" s="85" t="str">
        <f t="shared" si="614"/>
        <v/>
      </c>
      <c r="C776" s="87"/>
      <c r="E776" s="87"/>
      <c r="H776" s="87"/>
      <c r="I776" s="87"/>
      <c r="O776" s="90" t="str">
        <f t="shared" si="620"/>
        <v/>
      </c>
      <c r="Q776" s="91" t="str">
        <f t="shared" si="610"/>
        <v/>
      </c>
      <c r="R776" s="91" t="str">
        <f t="shared" si="613"/>
        <v/>
      </c>
      <c r="S776" s="92" t="str">
        <f t="shared" si="611"/>
        <v/>
      </c>
      <c r="T776" s="93"/>
      <c r="U776" s="94" t="str">
        <f t="shared" si="615"/>
        <v/>
      </c>
      <c r="X776" s="96"/>
      <c r="Y776" s="97" t="str">
        <f t="shared" si="617"/>
        <v/>
      </c>
      <c r="Z776" s="98" t="str">
        <f>SUBSTITUTE('Digitas UK Task 26'!$O776, "Complet", "Not Requir")</f>
        <v/>
      </c>
      <c r="AA776" s="98" t="str">
        <f t="shared" si="616"/>
        <v/>
      </c>
      <c r="AB776" s="99"/>
      <c r="AF776" s="84" t="str">
        <f t="shared" si="612"/>
        <v/>
      </c>
      <c r="AH776" s="84" t="str">
        <f t="shared" si="618"/>
        <v/>
      </c>
      <c r="AI776" s="84" t="str">
        <f t="shared" si="619"/>
        <v/>
      </c>
    </row>
    <row r="777" spans="1:35" ht="15.75" customHeight="1" x14ac:dyDescent="0.3">
      <c r="A777" s="85" t="str">
        <f t="shared" si="614"/>
        <v/>
      </c>
      <c r="C777" s="87"/>
      <c r="E777" s="87"/>
      <c r="H777" s="87"/>
      <c r="I777" s="87"/>
      <c r="O777" s="90" t="str">
        <f t="shared" si="620"/>
        <v/>
      </c>
      <c r="Q777" s="91" t="str">
        <f t="shared" si="610"/>
        <v/>
      </c>
      <c r="R777" s="91" t="str">
        <f t="shared" si="613"/>
        <v/>
      </c>
      <c r="S777" s="92" t="str">
        <f t="shared" si="611"/>
        <v/>
      </c>
      <c r="T777" s="93"/>
      <c r="U777" s="94" t="str">
        <f t="shared" si="615"/>
        <v/>
      </c>
      <c r="X777" s="96"/>
      <c r="Y777" s="97" t="str">
        <f t="shared" si="617"/>
        <v/>
      </c>
      <c r="Z777" s="98" t="str">
        <f>SUBSTITUTE('Digitas UK Task 26'!$O777, "Complet", "Not Requir")</f>
        <v/>
      </c>
      <c r="AA777" s="98" t="str">
        <f t="shared" si="616"/>
        <v/>
      </c>
      <c r="AB777" s="99"/>
      <c r="AF777" s="84" t="str">
        <f t="shared" si="612"/>
        <v/>
      </c>
      <c r="AH777" s="84" t="str">
        <f t="shared" si="618"/>
        <v/>
      </c>
      <c r="AI777" s="84" t="str">
        <f t="shared" si="619"/>
        <v/>
      </c>
    </row>
    <row r="778" spans="1:35" ht="15.75" customHeight="1" x14ac:dyDescent="0.3">
      <c r="A778" s="85" t="str">
        <f t="shared" si="614"/>
        <v/>
      </c>
      <c r="C778" s="87"/>
      <c r="E778" s="87"/>
      <c r="H778" s="87"/>
      <c r="I778" s="87"/>
      <c r="O778" s="90" t="str">
        <f t="shared" si="620"/>
        <v/>
      </c>
      <c r="Q778" s="91" t="str">
        <f t="shared" si="610"/>
        <v/>
      </c>
      <c r="R778" s="91" t="str">
        <f t="shared" si="613"/>
        <v/>
      </c>
      <c r="S778" s="92" t="str">
        <f t="shared" si="611"/>
        <v/>
      </c>
      <c r="T778" s="93"/>
      <c r="U778" s="94" t="str">
        <f t="shared" si="615"/>
        <v/>
      </c>
      <c r="X778" s="96"/>
      <c r="Y778" s="97" t="str">
        <f t="shared" si="617"/>
        <v/>
      </c>
      <c r="Z778" s="98" t="str">
        <f>SUBSTITUTE('Digitas UK Task 26'!$O778, "Complet", "Not Requir")</f>
        <v/>
      </c>
      <c r="AA778" s="98" t="str">
        <f t="shared" si="616"/>
        <v/>
      </c>
      <c r="AB778" s="99"/>
      <c r="AF778" s="84" t="str">
        <f t="shared" si="612"/>
        <v/>
      </c>
      <c r="AH778" s="84" t="str">
        <f t="shared" si="618"/>
        <v/>
      </c>
      <c r="AI778" s="84" t="str">
        <f t="shared" si="619"/>
        <v/>
      </c>
    </row>
    <row r="779" spans="1:35" ht="15.75" customHeight="1" x14ac:dyDescent="0.3">
      <c r="A779" s="85" t="str">
        <f t="shared" si="614"/>
        <v/>
      </c>
      <c r="C779" s="87"/>
      <c r="E779" s="87"/>
      <c r="H779" s="87"/>
      <c r="I779" s="87"/>
      <c r="O779" s="90" t="str">
        <f t="shared" si="620"/>
        <v/>
      </c>
      <c r="Q779" s="91" t="str">
        <f t="shared" si="610"/>
        <v/>
      </c>
      <c r="R779" s="91" t="str">
        <f t="shared" si="613"/>
        <v/>
      </c>
      <c r="S779" s="92" t="str">
        <f t="shared" si="611"/>
        <v/>
      </c>
      <c r="T779" s="93"/>
      <c r="U779" s="94" t="str">
        <f t="shared" si="615"/>
        <v/>
      </c>
      <c r="X779" s="96"/>
      <c r="Y779" s="97" t="str">
        <f t="shared" si="617"/>
        <v/>
      </c>
      <c r="Z779" s="98" t="str">
        <f>SUBSTITUTE('Digitas UK Task 26'!$O779, "Complet", "Not Requir")</f>
        <v/>
      </c>
      <c r="AA779" s="98" t="str">
        <f t="shared" si="616"/>
        <v/>
      </c>
      <c r="AB779" s="99"/>
      <c r="AF779" s="84" t="str">
        <f t="shared" si="612"/>
        <v/>
      </c>
      <c r="AH779" s="84" t="str">
        <f t="shared" si="618"/>
        <v/>
      </c>
      <c r="AI779" s="84" t="str">
        <f t="shared" si="619"/>
        <v/>
      </c>
    </row>
    <row r="780" spans="1:35" ht="15.75" customHeight="1" x14ac:dyDescent="0.3">
      <c r="A780" s="85" t="str">
        <f t="shared" si="614"/>
        <v/>
      </c>
      <c r="C780" s="87"/>
      <c r="E780" s="87"/>
      <c r="H780" s="87"/>
      <c r="I780" s="87"/>
      <c r="O780" s="90" t="str">
        <f t="shared" si="620"/>
        <v/>
      </c>
      <c r="Q780" s="91" t="str">
        <f t="shared" si="610"/>
        <v/>
      </c>
      <c r="R780" s="91" t="str">
        <f t="shared" si="613"/>
        <v/>
      </c>
      <c r="S780" s="92" t="str">
        <f t="shared" si="611"/>
        <v/>
      </c>
      <c r="T780" s="93"/>
      <c r="U780" s="94" t="str">
        <f t="shared" si="615"/>
        <v/>
      </c>
      <c r="X780" s="96"/>
      <c r="Y780" s="97" t="str">
        <f t="shared" si="617"/>
        <v/>
      </c>
      <c r="Z780" s="98" t="str">
        <f>SUBSTITUTE('Digitas UK Task 26'!$O780, "Complet", "Not Requir")</f>
        <v/>
      </c>
      <c r="AA780" s="98" t="str">
        <f t="shared" si="616"/>
        <v/>
      </c>
      <c r="AB780" s="99"/>
      <c r="AF780" s="84" t="str">
        <f t="shared" si="612"/>
        <v/>
      </c>
      <c r="AH780" s="84" t="str">
        <f t="shared" si="618"/>
        <v/>
      </c>
      <c r="AI780" s="84" t="str">
        <f t="shared" si="619"/>
        <v/>
      </c>
    </row>
    <row r="781" spans="1:35" ht="15.75" customHeight="1" x14ac:dyDescent="0.3">
      <c r="A781" s="85" t="str">
        <f t="shared" si="614"/>
        <v/>
      </c>
      <c r="C781" s="87"/>
      <c r="E781" s="87"/>
      <c r="H781" s="87"/>
      <c r="I781" s="87"/>
      <c r="O781" s="90" t="str">
        <f t="shared" si="620"/>
        <v/>
      </c>
      <c r="Q781" s="91" t="str">
        <f t="shared" si="610"/>
        <v/>
      </c>
      <c r="R781" s="91" t="str">
        <f t="shared" si="613"/>
        <v/>
      </c>
      <c r="S781" s="92" t="str">
        <f t="shared" si="611"/>
        <v/>
      </c>
      <c r="T781" s="93"/>
      <c r="U781" s="94" t="str">
        <f t="shared" si="615"/>
        <v/>
      </c>
      <c r="X781" s="96"/>
      <c r="Y781" s="97" t="str">
        <f t="shared" si="617"/>
        <v/>
      </c>
      <c r="Z781" s="98" t="str">
        <f>SUBSTITUTE('Digitas UK Task 26'!$O781, "Complet", "Not Requir")</f>
        <v/>
      </c>
      <c r="AA781" s="98" t="str">
        <f t="shared" si="616"/>
        <v/>
      </c>
      <c r="AB781" s="99"/>
      <c r="AF781" s="84" t="str">
        <f t="shared" si="612"/>
        <v/>
      </c>
      <c r="AH781" s="84" t="str">
        <f t="shared" si="618"/>
        <v/>
      </c>
      <c r="AI781" s="84" t="str">
        <f t="shared" si="619"/>
        <v/>
      </c>
    </row>
    <row r="782" spans="1:35" ht="15.75" customHeight="1" x14ac:dyDescent="0.3">
      <c r="A782" s="85" t="str">
        <f t="shared" si="614"/>
        <v/>
      </c>
      <c r="C782" s="87"/>
      <c r="E782" s="87"/>
      <c r="H782" s="87"/>
      <c r="I782" s="87"/>
      <c r="O782" s="90" t="str">
        <f t="shared" si="620"/>
        <v/>
      </c>
      <c r="Q782" s="91" t="str">
        <f t="shared" si="610"/>
        <v/>
      </c>
      <c r="R782" s="91" t="str">
        <f t="shared" si="613"/>
        <v/>
      </c>
      <c r="S782" s="92" t="str">
        <f t="shared" si="611"/>
        <v/>
      </c>
      <c r="T782" s="93"/>
      <c r="U782" s="94" t="str">
        <f t="shared" si="615"/>
        <v/>
      </c>
      <c r="X782" s="96"/>
      <c r="Y782" s="97" t="str">
        <f t="shared" si="617"/>
        <v/>
      </c>
      <c r="Z782" s="98" t="str">
        <f>SUBSTITUTE('Digitas UK Task 26'!$O782, "Complet", "Not Requir")</f>
        <v/>
      </c>
      <c r="AA782" s="98" t="str">
        <f t="shared" si="616"/>
        <v/>
      </c>
      <c r="AB782" s="99"/>
      <c r="AF782" s="84" t="str">
        <f t="shared" si="612"/>
        <v/>
      </c>
      <c r="AH782" s="84" t="str">
        <f t="shared" si="618"/>
        <v/>
      </c>
      <c r="AI782" s="84" t="str">
        <f t="shared" si="619"/>
        <v/>
      </c>
    </row>
    <row r="783" spans="1:35" ht="15.75" customHeight="1" x14ac:dyDescent="0.3">
      <c r="A783" s="85" t="str">
        <f t="shared" si="614"/>
        <v/>
      </c>
      <c r="C783" s="87"/>
      <c r="E783" s="87"/>
      <c r="H783" s="87"/>
      <c r="I783" s="87"/>
      <c r="O783" s="90" t="str">
        <f t="shared" si="620"/>
        <v/>
      </c>
      <c r="Q783" s="91" t="str">
        <f t="shared" ref="Q783:Q846" si="621">IF(B783="","",WEEKNUM(B783))</f>
        <v/>
      </c>
      <c r="R783" s="91" t="str">
        <f t="shared" si="613"/>
        <v/>
      </c>
      <c r="S783" s="92" t="str">
        <f t="shared" ref="S783:S846" si="622">IF(B783="","",TEXT(B783,"DDDD"))</f>
        <v/>
      </c>
      <c r="T783" s="93"/>
      <c r="U783" s="94" t="str">
        <f t="shared" si="615"/>
        <v/>
      </c>
      <c r="X783" s="96"/>
      <c r="Y783" s="97" t="str">
        <f t="shared" si="617"/>
        <v/>
      </c>
      <c r="Z783" s="98" t="str">
        <f>SUBSTITUTE('Digitas UK Task 26'!$O783, "Complet", "Not Requir")</f>
        <v/>
      </c>
      <c r="AA783" s="98" t="str">
        <f t="shared" si="616"/>
        <v/>
      </c>
      <c r="AB783" s="99"/>
      <c r="AF783" s="84" t="str">
        <f t="shared" si="612"/>
        <v/>
      </c>
      <c r="AH783" s="84" t="str">
        <f t="shared" si="618"/>
        <v/>
      </c>
      <c r="AI783" s="84" t="str">
        <f t="shared" si="619"/>
        <v/>
      </c>
    </row>
    <row r="784" spans="1:35" ht="15.75" customHeight="1" x14ac:dyDescent="0.3">
      <c r="A784" s="85" t="str">
        <f t="shared" si="614"/>
        <v/>
      </c>
      <c r="C784" s="87"/>
      <c r="E784" s="87"/>
      <c r="H784" s="87"/>
      <c r="I784" s="87"/>
      <c r="O784" s="90" t="str">
        <f t="shared" si="620"/>
        <v/>
      </c>
      <c r="Q784" s="91" t="str">
        <f t="shared" si="621"/>
        <v/>
      </c>
      <c r="R784" s="91" t="str">
        <f t="shared" si="613"/>
        <v/>
      </c>
      <c r="S784" s="92" t="str">
        <f t="shared" si="622"/>
        <v/>
      </c>
      <c r="T784" s="93"/>
      <c r="U784" s="94" t="str">
        <f t="shared" si="615"/>
        <v/>
      </c>
      <c r="X784" s="96"/>
      <c r="Y784" s="97" t="str">
        <f t="shared" si="617"/>
        <v/>
      </c>
      <c r="Z784" s="98" t="str">
        <f>SUBSTITUTE('Digitas UK Task 26'!$O784, "Complet", "Not Requir")</f>
        <v/>
      </c>
      <c r="AA784" s="98" t="str">
        <f t="shared" si="616"/>
        <v/>
      </c>
      <c r="AB784" s="99"/>
      <c r="AF784" s="84" t="str">
        <f t="shared" si="612"/>
        <v/>
      </c>
      <c r="AH784" s="84" t="str">
        <f t="shared" si="618"/>
        <v/>
      </c>
      <c r="AI784" s="84" t="str">
        <f t="shared" si="619"/>
        <v/>
      </c>
    </row>
    <row r="785" spans="1:35" ht="15.75" customHeight="1" x14ac:dyDescent="0.3">
      <c r="A785" s="85" t="str">
        <f t="shared" si="614"/>
        <v/>
      </c>
      <c r="C785" s="87"/>
      <c r="E785" s="87"/>
      <c r="H785" s="87"/>
      <c r="I785" s="87"/>
      <c r="O785" s="90" t="str">
        <f t="shared" si="620"/>
        <v/>
      </c>
      <c r="Q785" s="91" t="str">
        <f t="shared" si="621"/>
        <v/>
      </c>
      <c r="R785" s="91" t="str">
        <f t="shared" si="613"/>
        <v/>
      </c>
      <c r="S785" s="92" t="str">
        <f t="shared" si="622"/>
        <v/>
      </c>
      <c r="T785" s="93"/>
      <c r="U785" s="94" t="str">
        <f t="shared" si="615"/>
        <v/>
      </c>
      <c r="X785" s="96"/>
      <c r="Y785" s="97" t="str">
        <f t="shared" si="617"/>
        <v/>
      </c>
      <c r="Z785" s="98" t="str">
        <f>SUBSTITUTE('Digitas UK Task 26'!$O785, "Complet", "Not Requir")</f>
        <v/>
      </c>
      <c r="AA785" s="98" t="str">
        <f t="shared" si="616"/>
        <v/>
      </c>
      <c r="AB785" s="99"/>
      <c r="AF785" s="84" t="str">
        <f t="shared" si="612"/>
        <v/>
      </c>
      <c r="AH785" s="84" t="str">
        <f t="shared" si="618"/>
        <v/>
      </c>
      <c r="AI785" s="84" t="str">
        <f t="shared" si="619"/>
        <v/>
      </c>
    </row>
    <row r="786" spans="1:35" ht="15.75" customHeight="1" x14ac:dyDescent="0.3">
      <c r="A786" s="85" t="str">
        <f t="shared" si="614"/>
        <v/>
      </c>
      <c r="C786" s="87"/>
      <c r="E786" s="87"/>
      <c r="H786" s="87"/>
      <c r="I786" s="87"/>
      <c r="O786" s="90" t="str">
        <f t="shared" si="620"/>
        <v/>
      </c>
      <c r="Q786" s="91" t="str">
        <f t="shared" si="621"/>
        <v/>
      </c>
      <c r="R786" s="91" t="str">
        <f t="shared" si="613"/>
        <v/>
      </c>
      <c r="S786" s="92" t="str">
        <f t="shared" si="622"/>
        <v/>
      </c>
      <c r="T786" s="93"/>
      <c r="U786" s="94" t="str">
        <f t="shared" si="615"/>
        <v/>
      </c>
      <c r="X786" s="96"/>
      <c r="Y786" s="97" t="str">
        <f t="shared" si="617"/>
        <v/>
      </c>
      <c r="Z786" s="98" t="str">
        <f>SUBSTITUTE('Digitas UK Task 26'!$O786, "Complet", "Not Requir")</f>
        <v/>
      </c>
      <c r="AA786" s="98" t="str">
        <f t="shared" si="616"/>
        <v/>
      </c>
      <c r="AB786" s="99"/>
      <c r="AF786" s="84" t="str">
        <f t="shared" si="612"/>
        <v/>
      </c>
      <c r="AH786" s="84" t="str">
        <f t="shared" si="618"/>
        <v/>
      </c>
      <c r="AI786" s="84" t="str">
        <f t="shared" si="619"/>
        <v/>
      </c>
    </row>
    <row r="787" spans="1:35" ht="15.75" customHeight="1" x14ac:dyDescent="0.3">
      <c r="A787" s="85" t="str">
        <f t="shared" si="614"/>
        <v/>
      </c>
      <c r="C787" s="87"/>
      <c r="E787" s="87"/>
      <c r="H787" s="87"/>
      <c r="I787" s="87"/>
      <c r="O787" s="90" t="str">
        <f t="shared" si="620"/>
        <v/>
      </c>
      <c r="Q787" s="91" t="str">
        <f t="shared" si="621"/>
        <v/>
      </c>
      <c r="R787" s="91" t="str">
        <f t="shared" si="613"/>
        <v/>
      </c>
      <c r="S787" s="92" t="str">
        <f t="shared" si="622"/>
        <v/>
      </c>
      <c r="T787" s="93"/>
      <c r="U787" s="94" t="str">
        <f t="shared" si="615"/>
        <v/>
      </c>
      <c r="X787" s="96"/>
      <c r="Y787" s="97" t="str">
        <f t="shared" si="617"/>
        <v/>
      </c>
      <c r="Z787" s="98" t="str">
        <f>SUBSTITUTE('Digitas UK Task 26'!$O787, "Complet", "Not Requir")</f>
        <v/>
      </c>
      <c r="AA787" s="98" t="str">
        <f t="shared" si="616"/>
        <v/>
      </c>
      <c r="AB787" s="99"/>
      <c r="AF787" s="84" t="str">
        <f t="shared" si="612"/>
        <v/>
      </c>
      <c r="AH787" s="84" t="str">
        <f t="shared" si="618"/>
        <v/>
      </c>
      <c r="AI787" s="84" t="str">
        <f t="shared" si="619"/>
        <v/>
      </c>
    </row>
    <row r="788" spans="1:35" ht="15.75" customHeight="1" x14ac:dyDescent="0.3">
      <c r="A788" s="85" t="str">
        <f t="shared" si="614"/>
        <v/>
      </c>
      <c r="C788" s="87"/>
      <c r="E788" s="87"/>
      <c r="H788" s="87"/>
      <c r="I788" s="87"/>
      <c r="O788" s="90" t="str">
        <f t="shared" si="620"/>
        <v/>
      </c>
      <c r="Q788" s="91" t="str">
        <f t="shared" si="621"/>
        <v/>
      </c>
      <c r="R788" s="91" t="str">
        <f t="shared" si="613"/>
        <v/>
      </c>
      <c r="S788" s="92" t="str">
        <f t="shared" si="622"/>
        <v/>
      </c>
      <c r="T788" s="93"/>
      <c r="U788" s="94" t="str">
        <f t="shared" si="615"/>
        <v/>
      </c>
      <c r="X788" s="96"/>
      <c r="Y788" s="97" t="str">
        <f t="shared" si="617"/>
        <v/>
      </c>
      <c r="Z788" s="98" t="str">
        <f>SUBSTITUTE('Digitas UK Task 26'!$O788, "Complet", "Not Requir")</f>
        <v/>
      </c>
      <c r="AA788" s="98" t="str">
        <f t="shared" si="616"/>
        <v/>
      </c>
      <c r="AB788" s="99"/>
      <c r="AF788" s="84" t="str">
        <f t="shared" si="612"/>
        <v/>
      </c>
      <c r="AH788" s="84" t="str">
        <f t="shared" si="618"/>
        <v/>
      </c>
      <c r="AI788" s="84" t="str">
        <f t="shared" si="619"/>
        <v/>
      </c>
    </row>
    <row r="789" spans="1:35" ht="15.75" customHeight="1" x14ac:dyDescent="0.3">
      <c r="A789" s="85" t="str">
        <f t="shared" si="614"/>
        <v/>
      </c>
      <c r="C789" s="87"/>
      <c r="E789" s="87"/>
      <c r="H789" s="87"/>
      <c r="I789" s="87"/>
      <c r="O789" s="90" t="str">
        <f t="shared" si="620"/>
        <v/>
      </c>
      <c r="Q789" s="91" t="str">
        <f t="shared" si="621"/>
        <v/>
      </c>
      <c r="R789" s="91" t="str">
        <f t="shared" si="613"/>
        <v/>
      </c>
      <c r="S789" s="92" t="str">
        <f t="shared" si="622"/>
        <v/>
      </c>
      <c r="T789" s="93"/>
      <c r="U789" s="94" t="str">
        <f t="shared" si="615"/>
        <v/>
      </c>
      <c r="X789" s="96"/>
      <c r="Y789" s="97" t="str">
        <f t="shared" si="617"/>
        <v/>
      </c>
      <c r="Z789" s="98" t="str">
        <f>SUBSTITUTE('Digitas UK Task 26'!$O789, "Complet", "Not Requir")</f>
        <v/>
      </c>
      <c r="AA789" s="98" t="str">
        <f t="shared" si="616"/>
        <v/>
      </c>
      <c r="AB789" s="99"/>
      <c r="AF789" s="84" t="str">
        <f t="shared" ref="AF789:AF852" si="623">IF(AD789="","",WEEKNUM(AD789))</f>
        <v/>
      </c>
      <c r="AH789" s="84" t="str">
        <f t="shared" si="618"/>
        <v/>
      </c>
      <c r="AI789" s="84" t="str">
        <f t="shared" si="619"/>
        <v/>
      </c>
    </row>
    <row r="790" spans="1:35" ht="15.75" customHeight="1" x14ac:dyDescent="0.3">
      <c r="A790" s="85" t="str">
        <f t="shared" si="614"/>
        <v/>
      </c>
      <c r="C790" s="87"/>
      <c r="E790" s="87"/>
      <c r="H790" s="87"/>
      <c r="I790" s="87"/>
      <c r="O790" s="90" t="str">
        <f t="shared" si="620"/>
        <v/>
      </c>
      <c r="Q790" s="91" t="str">
        <f t="shared" si="621"/>
        <v/>
      </c>
      <c r="R790" s="91" t="str">
        <f t="shared" ref="R790:R853" si="624">IF(B790="","",TEXT(B790,"MMM"))</f>
        <v/>
      </c>
      <c r="S790" s="92" t="str">
        <f t="shared" si="622"/>
        <v/>
      </c>
      <c r="T790" s="93"/>
      <c r="U790" s="94" t="str">
        <f t="shared" si="615"/>
        <v/>
      </c>
      <c r="X790" s="96"/>
      <c r="Y790" s="97" t="str">
        <f t="shared" si="617"/>
        <v/>
      </c>
      <c r="Z790" s="98" t="str">
        <f>SUBSTITUTE('Digitas UK Task 26'!$O790, "Complet", "Not Requir")</f>
        <v/>
      </c>
      <c r="AA790" s="98" t="str">
        <f t="shared" si="616"/>
        <v/>
      </c>
      <c r="AB790" s="99"/>
      <c r="AF790" s="84" t="str">
        <f t="shared" si="623"/>
        <v/>
      </c>
      <c r="AH790" s="84" t="str">
        <f t="shared" si="618"/>
        <v/>
      </c>
      <c r="AI790" s="84" t="str">
        <f t="shared" si="619"/>
        <v/>
      </c>
    </row>
    <row r="791" spans="1:35" ht="15.75" customHeight="1" x14ac:dyDescent="0.3">
      <c r="A791" s="85" t="str">
        <f t="shared" si="614"/>
        <v/>
      </c>
      <c r="C791" s="87"/>
      <c r="E791" s="87"/>
      <c r="H791" s="87"/>
      <c r="I791" s="87"/>
      <c r="O791" s="90" t="str">
        <f t="shared" si="620"/>
        <v/>
      </c>
      <c r="Q791" s="91" t="str">
        <f t="shared" si="621"/>
        <v/>
      </c>
      <c r="R791" s="91" t="str">
        <f t="shared" si="624"/>
        <v/>
      </c>
      <c r="S791" s="92" t="str">
        <f t="shared" si="622"/>
        <v/>
      </c>
      <c r="T791" s="93"/>
      <c r="U791" s="94" t="str">
        <f t="shared" si="615"/>
        <v/>
      </c>
      <c r="X791" s="96"/>
      <c r="Y791" s="97" t="str">
        <f t="shared" si="617"/>
        <v/>
      </c>
      <c r="Z791" s="98" t="str">
        <f>SUBSTITUTE('Digitas UK Task 26'!$O791, "Complet", "Not Requir")</f>
        <v/>
      </c>
      <c r="AA791" s="98" t="str">
        <f t="shared" si="616"/>
        <v/>
      </c>
      <c r="AB791" s="99"/>
      <c r="AF791" s="84" t="str">
        <f t="shared" si="623"/>
        <v/>
      </c>
      <c r="AH791" s="84" t="str">
        <f t="shared" si="618"/>
        <v/>
      </c>
      <c r="AI791" s="84" t="str">
        <f t="shared" si="619"/>
        <v/>
      </c>
    </row>
    <row r="792" spans="1:35" ht="15.75" customHeight="1" x14ac:dyDescent="0.3">
      <c r="A792" s="85" t="str">
        <f t="shared" si="614"/>
        <v/>
      </c>
      <c r="C792" s="87"/>
      <c r="E792" s="87"/>
      <c r="H792" s="87"/>
      <c r="I792" s="87"/>
      <c r="O792" s="90" t="str">
        <f t="shared" si="620"/>
        <v/>
      </c>
      <c r="Q792" s="91" t="str">
        <f t="shared" si="621"/>
        <v/>
      </c>
      <c r="R792" s="91" t="str">
        <f t="shared" si="624"/>
        <v/>
      </c>
      <c r="S792" s="92" t="str">
        <f t="shared" si="622"/>
        <v/>
      </c>
      <c r="T792" s="93"/>
      <c r="U792" s="94" t="str">
        <f t="shared" si="615"/>
        <v/>
      </c>
      <c r="X792" s="96"/>
      <c r="Y792" s="97" t="str">
        <f t="shared" si="617"/>
        <v/>
      </c>
      <c r="Z792" s="98" t="str">
        <f>SUBSTITUTE('Digitas UK Task 26'!$O792, "Complet", "Not Requir")</f>
        <v/>
      </c>
      <c r="AA792" s="98" t="str">
        <f t="shared" si="616"/>
        <v/>
      </c>
      <c r="AB792" s="99"/>
      <c r="AF792" s="84" t="str">
        <f t="shared" si="623"/>
        <v/>
      </c>
      <c r="AH792" s="84" t="str">
        <f t="shared" si="618"/>
        <v/>
      </c>
      <c r="AI792" s="84" t="str">
        <f t="shared" si="619"/>
        <v/>
      </c>
    </row>
    <row r="793" spans="1:35" ht="15.75" customHeight="1" x14ac:dyDescent="0.3">
      <c r="A793" s="85" t="str">
        <f t="shared" si="614"/>
        <v/>
      </c>
      <c r="C793" s="87"/>
      <c r="E793" s="87"/>
      <c r="H793" s="87"/>
      <c r="I793" s="87"/>
      <c r="O793" s="90" t="str">
        <f t="shared" si="620"/>
        <v/>
      </c>
      <c r="Q793" s="91" t="str">
        <f t="shared" si="621"/>
        <v/>
      </c>
      <c r="R793" s="91" t="str">
        <f t="shared" si="624"/>
        <v/>
      </c>
      <c r="S793" s="92" t="str">
        <f t="shared" si="622"/>
        <v/>
      </c>
      <c r="T793" s="93"/>
      <c r="U793" s="94" t="str">
        <f t="shared" si="615"/>
        <v/>
      </c>
      <c r="X793" s="96"/>
      <c r="Y793" s="97" t="str">
        <f t="shared" si="617"/>
        <v/>
      </c>
      <c r="Z793" s="98" t="str">
        <f>SUBSTITUTE('Digitas UK Task 26'!$O793, "Complet", "Not Requir")</f>
        <v/>
      </c>
      <c r="AA793" s="98" t="str">
        <f t="shared" si="616"/>
        <v/>
      </c>
      <c r="AB793" s="99"/>
      <c r="AF793" s="84" t="str">
        <f t="shared" si="623"/>
        <v/>
      </c>
      <c r="AH793" s="84" t="str">
        <f t="shared" si="618"/>
        <v/>
      </c>
      <c r="AI793" s="84" t="str">
        <f t="shared" si="619"/>
        <v/>
      </c>
    </row>
    <row r="794" spans="1:35" ht="15.75" customHeight="1" x14ac:dyDescent="0.3">
      <c r="A794" s="85" t="str">
        <f t="shared" si="614"/>
        <v/>
      </c>
      <c r="C794" s="87"/>
      <c r="E794" s="87"/>
      <c r="H794" s="87"/>
      <c r="I794" s="87"/>
      <c r="O794" s="90" t="str">
        <f t="shared" si="620"/>
        <v/>
      </c>
      <c r="Q794" s="91" t="str">
        <f t="shared" si="621"/>
        <v/>
      </c>
      <c r="R794" s="91" t="str">
        <f t="shared" si="624"/>
        <v/>
      </c>
      <c r="S794" s="92" t="str">
        <f t="shared" si="622"/>
        <v/>
      </c>
      <c r="T794" s="93"/>
      <c r="U794" s="94" t="str">
        <f t="shared" si="615"/>
        <v/>
      </c>
      <c r="X794" s="96"/>
      <c r="Y794" s="97" t="str">
        <f t="shared" si="617"/>
        <v/>
      </c>
      <c r="Z794" s="98" t="str">
        <f>SUBSTITUTE('Digitas UK Task 26'!$O794, "Complet", "Not Requir")</f>
        <v/>
      </c>
      <c r="AA794" s="98" t="str">
        <f t="shared" si="616"/>
        <v/>
      </c>
      <c r="AB794" s="99"/>
      <c r="AF794" s="84" t="str">
        <f t="shared" si="623"/>
        <v/>
      </c>
      <c r="AH794" s="84" t="str">
        <f t="shared" si="618"/>
        <v/>
      </c>
      <c r="AI794" s="84" t="str">
        <f t="shared" si="619"/>
        <v/>
      </c>
    </row>
    <row r="795" spans="1:35" ht="15.75" customHeight="1" x14ac:dyDescent="0.3">
      <c r="A795" s="85" t="str">
        <f t="shared" si="614"/>
        <v/>
      </c>
      <c r="C795" s="87"/>
      <c r="E795" s="87"/>
      <c r="H795" s="87"/>
      <c r="I795" s="87"/>
      <c r="O795" s="90" t="str">
        <f t="shared" si="620"/>
        <v/>
      </c>
      <c r="Q795" s="91" t="str">
        <f t="shared" si="621"/>
        <v/>
      </c>
      <c r="R795" s="91" t="str">
        <f t="shared" si="624"/>
        <v/>
      </c>
      <c r="S795" s="92" t="str">
        <f t="shared" si="622"/>
        <v/>
      </c>
      <c r="T795" s="93"/>
      <c r="U795" s="94" t="str">
        <f t="shared" si="615"/>
        <v/>
      </c>
      <c r="X795" s="96"/>
      <c r="Y795" s="97" t="str">
        <f t="shared" si="617"/>
        <v/>
      </c>
      <c r="Z795" s="98" t="str">
        <f>SUBSTITUTE('Digitas UK Task 26'!$O795, "Complet", "Not Requir")</f>
        <v/>
      </c>
      <c r="AA795" s="98" t="str">
        <f t="shared" si="616"/>
        <v/>
      </c>
      <c r="AB795" s="99"/>
      <c r="AF795" s="84" t="str">
        <f t="shared" si="623"/>
        <v/>
      </c>
      <c r="AH795" s="84" t="str">
        <f t="shared" si="618"/>
        <v/>
      </c>
      <c r="AI795" s="84" t="str">
        <f t="shared" si="619"/>
        <v/>
      </c>
    </row>
    <row r="796" spans="1:35" ht="15.75" customHeight="1" x14ac:dyDescent="0.3">
      <c r="A796" s="85" t="str">
        <f t="shared" si="614"/>
        <v/>
      </c>
      <c r="C796" s="87"/>
      <c r="E796" s="87"/>
      <c r="H796" s="87"/>
      <c r="I796" s="87"/>
      <c r="O796" s="90" t="str">
        <f t="shared" si="620"/>
        <v/>
      </c>
      <c r="Q796" s="91" t="str">
        <f t="shared" si="621"/>
        <v/>
      </c>
      <c r="R796" s="91" t="str">
        <f t="shared" si="624"/>
        <v/>
      </c>
      <c r="S796" s="92" t="str">
        <f t="shared" si="622"/>
        <v/>
      </c>
      <c r="T796" s="93"/>
      <c r="U796" s="94" t="str">
        <f t="shared" si="615"/>
        <v/>
      </c>
      <c r="X796" s="96"/>
      <c r="Y796" s="97" t="str">
        <f t="shared" si="617"/>
        <v/>
      </c>
      <c r="Z796" s="98" t="str">
        <f>SUBSTITUTE('Digitas UK Task 26'!$O796, "Complet", "Not Requir")</f>
        <v/>
      </c>
      <c r="AA796" s="98" t="str">
        <f t="shared" si="616"/>
        <v/>
      </c>
      <c r="AB796" s="99"/>
      <c r="AF796" s="84" t="str">
        <f t="shared" si="623"/>
        <v/>
      </c>
      <c r="AH796" s="84" t="str">
        <f t="shared" si="618"/>
        <v/>
      </c>
      <c r="AI796" s="84" t="str">
        <f t="shared" si="619"/>
        <v/>
      </c>
    </row>
    <row r="797" spans="1:35" ht="15.75" customHeight="1" x14ac:dyDescent="0.3">
      <c r="A797" s="85" t="str">
        <f t="shared" si="614"/>
        <v/>
      </c>
      <c r="C797" s="87"/>
      <c r="E797" s="87"/>
      <c r="H797" s="87"/>
      <c r="I797" s="87"/>
      <c r="O797" s="90" t="str">
        <f t="shared" si="620"/>
        <v/>
      </c>
      <c r="Q797" s="91" t="str">
        <f t="shared" si="621"/>
        <v/>
      </c>
      <c r="R797" s="91" t="str">
        <f t="shared" si="624"/>
        <v/>
      </c>
      <c r="S797" s="92" t="str">
        <f t="shared" si="622"/>
        <v/>
      </c>
      <c r="T797" s="93"/>
      <c r="U797" s="94" t="str">
        <f t="shared" si="615"/>
        <v/>
      </c>
      <c r="X797" s="96"/>
      <c r="Y797" s="97" t="str">
        <f t="shared" si="617"/>
        <v/>
      </c>
      <c r="Z797" s="98" t="str">
        <f>SUBSTITUTE('Digitas UK Task 26'!$O797, "Complet", "Not Requir")</f>
        <v/>
      </c>
      <c r="AA797" s="98" t="str">
        <f t="shared" si="616"/>
        <v/>
      </c>
      <c r="AB797" s="99"/>
      <c r="AF797" s="84" t="str">
        <f t="shared" si="623"/>
        <v/>
      </c>
      <c r="AH797" s="84" t="str">
        <f t="shared" si="618"/>
        <v/>
      </c>
      <c r="AI797" s="84" t="str">
        <f t="shared" si="619"/>
        <v/>
      </c>
    </row>
    <row r="798" spans="1:35" ht="15.75" customHeight="1" x14ac:dyDescent="0.3">
      <c r="A798" s="85" t="str">
        <f t="shared" si="614"/>
        <v/>
      </c>
      <c r="C798" s="87"/>
      <c r="E798" s="87"/>
      <c r="H798" s="87"/>
      <c r="I798" s="87"/>
      <c r="O798" s="90" t="str">
        <f t="shared" si="620"/>
        <v/>
      </c>
      <c r="Q798" s="91" t="str">
        <f t="shared" si="621"/>
        <v/>
      </c>
      <c r="R798" s="91" t="str">
        <f t="shared" si="624"/>
        <v/>
      </c>
      <c r="S798" s="92" t="str">
        <f t="shared" si="622"/>
        <v/>
      </c>
      <c r="T798" s="93"/>
      <c r="U798" s="94" t="str">
        <f t="shared" si="615"/>
        <v/>
      </c>
      <c r="X798" s="96"/>
      <c r="Y798" s="97" t="str">
        <f t="shared" si="617"/>
        <v/>
      </c>
      <c r="Z798" s="98" t="str">
        <f>SUBSTITUTE('Digitas UK Task 26'!$O798, "Complet", "Not Requir")</f>
        <v/>
      </c>
      <c r="AA798" s="98" t="str">
        <f t="shared" si="616"/>
        <v/>
      </c>
      <c r="AB798" s="99"/>
      <c r="AF798" s="84" t="str">
        <f t="shared" si="623"/>
        <v/>
      </c>
      <c r="AH798" s="84" t="str">
        <f t="shared" si="618"/>
        <v/>
      </c>
      <c r="AI798" s="84" t="str">
        <f t="shared" si="619"/>
        <v/>
      </c>
    </row>
    <row r="799" spans="1:35" ht="15.75" customHeight="1" x14ac:dyDescent="0.3">
      <c r="A799" s="85" t="str">
        <f t="shared" si="614"/>
        <v/>
      </c>
      <c r="C799" s="87"/>
      <c r="E799" s="87"/>
      <c r="H799" s="87"/>
      <c r="I799" s="87"/>
      <c r="O799" s="90" t="str">
        <f t="shared" si="620"/>
        <v/>
      </c>
      <c r="Q799" s="91" t="str">
        <f t="shared" si="621"/>
        <v/>
      </c>
      <c r="R799" s="91" t="str">
        <f t="shared" si="624"/>
        <v/>
      </c>
      <c r="S799" s="92" t="str">
        <f t="shared" si="622"/>
        <v/>
      </c>
      <c r="T799" s="93"/>
      <c r="U799" s="94" t="str">
        <f t="shared" si="615"/>
        <v/>
      </c>
      <c r="X799" s="96"/>
      <c r="Y799" s="97" t="str">
        <f t="shared" si="617"/>
        <v/>
      </c>
      <c r="Z799" s="98" t="str">
        <f>SUBSTITUTE('Digitas UK Task 26'!$O799, "Complet", "Not Requir")</f>
        <v/>
      </c>
      <c r="AA799" s="98" t="str">
        <f t="shared" si="616"/>
        <v/>
      </c>
      <c r="AB799" s="99"/>
      <c r="AF799" s="84" t="str">
        <f t="shared" si="623"/>
        <v/>
      </c>
      <c r="AH799" s="84" t="str">
        <f t="shared" si="618"/>
        <v/>
      </c>
      <c r="AI799" s="84" t="str">
        <f t="shared" si="619"/>
        <v/>
      </c>
    </row>
    <row r="800" spans="1:35" ht="15.75" customHeight="1" x14ac:dyDescent="0.3">
      <c r="A800" s="85" t="str">
        <f t="shared" si="614"/>
        <v/>
      </c>
      <c r="C800" s="87"/>
      <c r="E800" s="87"/>
      <c r="H800" s="87"/>
      <c r="I800" s="87"/>
      <c r="O800" s="90" t="str">
        <f t="shared" si="620"/>
        <v/>
      </c>
      <c r="Q800" s="91" t="str">
        <f t="shared" si="621"/>
        <v/>
      </c>
      <c r="R800" s="91" t="str">
        <f t="shared" si="624"/>
        <v/>
      </c>
      <c r="S800" s="92" t="str">
        <f t="shared" si="622"/>
        <v/>
      </c>
      <c r="T800" s="93"/>
      <c r="U800" s="94" t="str">
        <f t="shared" si="615"/>
        <v/>
      </c>
      <c r="X800" s="96"/>
      <c r="Y800" s="97" t="str">
        <f t="shared" si="617"/>
        <v/>
      </c>
      <c r="Z800" s="98" t="str">
        <f>SUBSTITUTE('Digitas UK Task 26'!$O800, "Complet", "Not Requir")</f>
        <v/>
      </c>
      <c r="AA800" s="98" t="str">
        <f t="shared" si="616"/>
        <v/>
      </c>
      <c r="AB800" s="99"/>
      <c r="AF800" s="84" t="str">
        <f t="shared" si="623"/>
        <v/>
      </c>
      <c r="AH800" s="84" t="str">
        <f t="shared" si="618"/>
        <v/>
      </c>
      <c r="AI800" s="84" t="str">
        <f t="shared" si="619"/>
        <v/>
      </c>
    </row>
    <row r="801" spans="1:35" ht="15.75" customHeight="1" x14ac:dyDescent="0.3">
      <c r="A801" s="85" t="str">
        <f t="shared" ref="A801:A864" si="625">IF(B801="","",TEXT(B801,"MMM : DDDD"))</f>
        <v/>
      </c>
      <c r="C801" s="87"/>
      <c r="E801" s="87"/>
      <c r="H801" s="87"/>
      <c r="I801" s="87"/>
      <c r="O801" s="90" t="str">
        <f t="shared" si="620"/>
        <v/>
      </c>
      <c r="Q801" s="91" t="str">
        <f t="shared" si="621"/>
        <v/>
      </c>
      <c r="R801" s="91" t="str">
        <f t="shared" si="624"/>
        <v/>
      </c>
      <c r="S801" s="92" t="str">
        <f t="shared" si="622"/>
        <v/>
      </c>
      <c r="T801" s="93"/>
      <c r="U801" s="94" t="str">
        <f t="shared" ref="U801:U864" si="626">IF(O801="Completed","Pending","")</f>
        <v/>
      </c>
      <c r="X801" s="96"/>
      <c r="Y801" s="97" t="str">
        <f t="shared" si="617"/>
        <v/>
      </c>
      <c r="Z801" s="98" t="str">
        <f>SUBSTITUTE('Digitas UK Task 26'!$O801, "Complet", "Not Requir")</f>
        <v/>
      </c>
      <c r="AA801" s="98" t="str">
        <f t="shared" ref="AA801:AA864" si="627">IF(G801="","",G801)</f>
        <v/>
      </c>
      <c r="AB801" s="99"/>
      <c r="AF801" s="84" t="str">
        <f t="shared" si="623"/>
        <v/>
      </c>
      <c r="AH801" s="84" t="str">
        <f t="shared" si="618"/>
        <v/>
      </c>
      <c r="AI801" s="84" t="str">
        <f t="shared" si="619"/>
        <v/>
      </c>
    </row>
    <row r="802" spans="1:35" ht="15.75" customHeight="1" x14ac:dyDescent="0.3">
      <c r="A802" s="85" t="str">
        <f t="shared" si="625"/>
        <v/>
      </c>
      <c r="C802" s="87"/>
      <c r="E802" s="87"/>
      <c r="H802" s="87"/>
      <c r="I802" s="87"/>
      <c r="O802" s="90" t="str">
        <f t="shared" si="620"/>
        <v/>
      </c>
      <c r="Q802" s="91" t="str">
        <f t="shared" si="621"/>
        <v/>
      </c>
      <c r="R802" s="91" t="str">
        <f t="shared" si="624"/>
        <v/>
      </c>
      <c r="S802" s="92" t="str">
        <f t="shared" si="622"/>
        <v/>
      </c>
      <c r="T802" s="93"/>
      <c r="U802" s="94" t="str">
        <f t="shared" si="626"/>
        <v/>
      </c>
      <c r="X802" s="96"/>
      <c r="Y802" s="97" t="str">
        <f t="shared" si="617"/>
        <v/>
      </c>
      <c r="Z802" s="98" t="str">
        <f>SUBSTITUTE('Digitas UK Task 26'!$O802, "Complet", "Not Requir")</f>
        <v/>
      </c>
      <c r="AA802" s="98" t="str">
        <f t="shared" si="627"/>
        <v/>
      </c>
      <c r="AB802" s="99"/>
      <c r="AF802" s="84" t="str">
        <f t="shared" si="623"/>
        <v/>
      </c>
      <c r="AH802" s="84" t="str">
        <f t="shared" si="618"/>
        <v/>
      </c>
      <c r="AI802" s="84" t="str">
        <f t="shared" si="619"/>
        <v/>
      </c>
    </row>
    <row r="803" spans="1:35" ht="15.75" customHeight="1" x14ac:dyDescent="0.3">
      <c r="A803" s="85" t="str">
        <f t="shared" si="625"/>
        <v/>
      </c>
      <c r="C803" s="87"/>
      <c r="E803" s="87"/>
      <c r="H803" s="87"/>
      <c r="I803" s="87"/>
      <c r="O803" s="90" t="str">
        <f t="shared" si="620"/>
        <v/>
      </c>
      <c r="Q803" s="91" t="str">
        <f t="shared" si="621"/>
        <v/>
      </c>
      <c r="R803" s="91" t="str">
        <f t="shared" si="624"/>
        <v/>
      </c>
      <c r="S803" s="92" t="str">
        <f t="shared" si="622"/>
        <v/>
      </c>
      <c r="T803" s="93"/>
      <c r="U803" s="94" t="str">
        <f t="shared" si="626"/>
        <v/>
      </c>
      <c r="X803" s="96"/>
      <c r="Y803" s="97" t="str">
        <f t="shared" si="617"/>
        <v/>
      </c>
      <c r="Z803" s="98" t="str">
        <f>SUBSTITUTE('Digitas UK Task 26'!$O803, "Complet", "Not Requir")</f>
        <v/>
      </c>
      <c r="AA803" s="98" t="str">
        <f t="shared" si="627"/>
        <v/>
      </c>
      <c r="AB803" s="99"/>
      <c r="AF803" s="84" t="str">
        <f t="shared" si="623"/>
        <v/>
      </c>
      <c r="AH803" s="84" t="str">
        <f t="shared" si="618"/>
        <v/>
      </c>
      <c r="AI803" s="84" t="str">
        <f t="shared" si="619"/>
        <v/>
      </c>
    </row>
    <row r="804" spans="1:35" ht="15.75" customHeight="1" x14ac:dyDescent="0.3">
      <c r="A804" s="85" t="str">
        <f t="shared" si="625"/>
        <v/>
      </c>
      <c r="C804" s="87"/>
      <c r="E804" s="87"/>
      <c r="H804" s="87"/>
      <c r="I804" s="87"/>
      <c r="O804" s="90" t="str">
        <f t="shared" si="620"/>
        <v/>
      </c>
      <c r="Q804" s="91" t="str">
        <f t="shared" si="621"/>
        <v/>
      </c>
      <c r="R804" s="91" t="str">
        <f t="shared" si="624"/>
        <v/>
      </c>
      <c r="S804" s="92" t="str">
        <f t="shared" si="622"/>
        <v/>
      </c>
      <c r="T804" s="93"/>
      <c r="U804" s="94" t="str">
        <f t="shared" si="626"/>
        <v/>
      </c>
      <c r="X804" s="96"/>
      <c r="Y804" s="97" t="str">
        <f t="shared" si="617"/>
        <v/>
      </c>
      <c r="Z804" s="98" t="str">
        <f>SUBSTITUTE('Digitas UK Task 26'!$O804, "Complet", "Not Requir")</f>
        <v/>
      </c>
      <c r="AA804" s="98" t="str">
        <f t="shared" si="627"/>
        <v/>
      </c>
      <c r="AB804" s="99"/>
      <c r="AF804" s="84" t="str">
        <f t="shared" si="623"/>
        <v/>
      </c>
      <c r="AH804" s="84" t="str">
        <f t="shared" si="618"/>
        <v/>
      </c>
      <c r="AI804" s="84" t="str">
        <f t="shared" si="619"/>
        <v/>
      </c>
    </row>
    <row r="805" spans="1:35" ht="15.75" customHeight="1" x14ac:dyDescent="0.3">
      <c r="A805" s="85" t="str">
        <f t="shared" si="625"/>
        <v/>
      </c>
      <c r="C805" s="87"/>
      <c r="E805" s="87"/>
      <c r="H805" s="87"/>
      <c r="I805" s="87"/>
      <c r="O805" s="90" t="str">
        <f t="shared" si="620"/>
        <v/>
      </c>
      <c r="Q805" s="91" t="str">
        <f t="shared" si="621"/>
        <v/>
      </c>
      <c r="R805" s="91" t="str">
        <f t="shared" si="624"/>
        <v/>
      </c>
      <c r="S805" s="92" t="str">
        <f t="shared" si="622"/>
        <v/>
      </c>
      <c r="T805" s="93"/>
      <c r="U805" s="94" t="str">
        <f t="shared" si="626"/>
        <v/>
      </c>
      <c r="X805" s="96"/>
      <c r="Y805" s="97" t="str">
        <f t="shared" si="617"/>
        <v/>
      </c>
      <c r="Z805" s="98" t="str">
        <f>SUBSTITUTE('Digitas UK Task 26'!$O805, "Complet", "Not Requir")</f>
        <v/>
      </c>
      <c r="AA805" s="98" t="str">
        <f t="shared" si="627"/>
        <v/>
      </c>
      <c r="AB805" s="99"/>
      <c r="AF805" s="84" t="str">
        <f t="shared" si="623"/>
        <v/>
      </c>
      <c r="AH805" s="84" t="str">
        <f t="shared" si="618"/>
        <v/>
      </c>
      <c r="AI805" s="84" t="str">
        <f t="shared" si="619"/>
        <v/>
      </c>
    </row>
    <row r="806" spans="1:35" ht="15.75" customHeight="1" x14ac:dyDescent="0.3">
      <c r="A806" s="85" t="str">
        <f t="shared" si="625"/>
        <v/>
      </c>
      <c r="C806" s="87"/>
      <c r="E806" s="87"/>
      <c r="H806" s="87"/>
      <c r="I806" s="87"/>
      <c r="O806" s="90" t="str">
        <f t="shared" si="620"/>
        <v/>
      </c>
      <c r="Q806" s="91" t="str">
        <f t="shared" si="621"/>
        <v/>
      </c>
      <c r="R806" s="91" t="str">
        <f t="shared" si="624"/>
        <v/>
      </c>
      <c r="S806" s="92" t="str">
        <f t="shared" si="622"/>
        <v/>
      </c>
      <c r="T806" s="93"/>
      <c r="U806" s="94" t="str">
        <f t="shared" si="626"/>
        <v/>
      </c>
      <c r="X806" s="96"/>
      <c r="Y806" s="97" t="str">
        <f t="shared" si="617"/>
        <v/>
      </c>
      <c r="Z806" s="98" t="str">
        <f>SUBSTITUTE('Digitas UK Task 26'!$O806, "Complet", "Not Requir")</f>
        <v/>
      </c>
      <c r="AA806" s="98" t="str">
        <f t="shared" si="627"/>
        <v/>
      </c>
      <c r="AB806" s="99"/>
      <c r="AF806" s="84" t="str">
        <f t="shared" si="623"/>
        <v/>
      </c>
      <c r="AH806" s="84" t="str">
        <f t="shared" si="618"/>
        <v/>
      </c>
      <c r="AI806" s="84" t="str">
        <f t="shared" si="619"/>
        <v/>
      </c>
    </row>
    <row r="807" spans="1:35" ht="15.75" customHeight="1" x14ac:dyDescent="0.3">
      <c r="A807" s="85" t="str">
        <f t="shared" si="625"/>
        <v/>
      </c>
      <c r="C807" s="87"/>
      <c r="E807" s="87"/>
      <c r="H807" s="87"/>
      <c r="I807" s="87"/>
      <c r="O807" s="90" t="str">
        <f t="shared" si="620"/>
        <v/>
      </c>
      <c r="Q807" s="91" t="str">
        <f t="shared" si="621"/>
        <v/>
      </c>
      <c r="R807" s="91" t="str">
        <f t="shared" si="624"/>
        <v/>
      </c>
      <c r="S807" s="92" t="str">
        <f t="shared" si="622"/>
        <v/>
      </c>
      <c r="T807" s="93"/>
      <c r="U807" s="94" t="str">
        <f t="shared" si="626"/>
        <v/>
      </c>
      <c r="X807" s="96"/>
      <c r="Y807" s="97" t="str">
        <f t="shared" ref="Y807:Y870" si="628">IF(M807="","",M807)</f>
        <v/>
      </c>
      <c r="Z807" s="98" t="str">
        <f>SUBSTITUTE('Digitas UK Task 26'!$O807, "Complet", "Not Requir")</f>
        <v/>
      </c>
      <c r="AA807" s="98" t="str">
        <f t="shared" si="627"/>
        <v/>
      </c>
      <c r="AB807" s="99"/>
      <c r="AF807" s="84" t="str">
        <f t="shared" si="623"/>
        <v/>
      </c>
      <c r="AH807" s="84" t="str">
        <f t="shared" si="618"/>
        <v/>
      </c>
      <c r="AI807" s="84" t="str">
        <f t="shared" si="619"/>
        <v/>
      </c>
    </row>
    <row r="808" spans="1:35" ht="15.75" customHeight="1" x14ac:dyDescent="0.3">
      <c r="A808" s="85" t="str">
        <f t="shared" si="625"/>
        <v/>
      </c>
      <c r="C808" s="87"/>
      <c r="E808" s="87"/>
      <c r="H808" s="87"/>
      <c r="I808" s="87"/>
      <c r="O808" s="90" t="str">
        <f t="shared" si="620"/>
        <v/>
      </c>
      <c r="Q808" s="91" t="str">
        <f t="shared" si="621"/>
        <v/>
      </c>
      <c r="R808" s="91" t="str">
        <f t="shared" si="624"/>
        <v/>
      </c>
      <c r="S808" s="92" t="str">
        <f t="shared" si="622"/>
        <v/>
      </c>
      <c r="T808" s="93"/>
      <c r="U808" s="94" t="str">
        <f t="shared" si="626"/>
        <v/>
      </c>
      <c r="X808" s="96"/>
      <c r="Y808" s="97" t="str">
        <f t="shared" si="628"/>
        <v/>
      </c>
      <c r="Z808" s="98" t="str">
        <f>SUBSTITUTE('Digitas UK Task 26'!$O808, "Complet", "Not Requir")</f>
        <v/>
      </c>
      <c r="AA808" s="98" t="str">
        <f t="shared" si="627"/>
        <v/>
      </c>
      <c r="AB808" s="99"/>
      <c r="AF808" s="84" t="str">
        <f t="shared" si="623"/>
        <v/>
      </c>
      <c r="AH808" s="84" t="str">
        <f t="shared" si="618"/>
        <v/>
      </c>
      <c r="AI808" s="84" t="str">
        <f t="shared" si="619"/>
        <v/>
      </c>
    </row>
    <row r="809" spans="1:35" ht="15.75" customHeight="1" x14ac:dyDescent="0.3">
      <c r="A809" s="85" t="str">
        <f t="shared" si="625"/>
        <v/>
      </c>
      <c r="C809" s="87"/>
      <c r="E809" s="87"/>
      <c r="H809" s="87"/>
      <c r="I809" s="87"/>
      <c r="O809" s="90" t="str">
        <f t="shared" si="620"/>
        <v/>
      </c>
      <c r="Q809" s="91" t="str">
        <f t="shared" si="621"/>
        <v/>
      </c>
      <c r="R809" s="91" t="str">
        <f t="shared" si="624"/>
        <v/>
      </c>
      <c r="S809" s="92" t="str">
        <f t="shared" si="622"/>
        <v/>
      </c>
      <c r="T809" s="93"/>
      <c r="U809" s="94" t="str">
        <f t="shared" si="626"/>
        <v/>
      </c>
      <c r="X809" s="96"/>
      <c r="Y809" s="97" t="str">
        <f t="shared" si="628"/>
        <v/>
      </c>
      <c r="Z809" s="98" t="str">
        <f>SUBSTITUTE('Digitas UK Task 26'!$O809, "Complet", "Not Requir")</f>
        <v/>
      </c>
      <c r="AA809" s="98" t="str">
        <f t="shared" si="627"/>
        <v/>
      </c>
      <c r="AB809" s="99"/>
      <c r="AF809" s="84" t="str">
        <f t="shared" si="623"/>
        <v/>
      </c>
      <c r="AH809" s="84" t="str">
        <f t="shared" si="618"/>
        <v/>
      </c>
      <c r="AI809" s="84" t="str">
        <f t="shared" si="619"/>
        <v/>
      </c>
    </row>
    <row r="810" spans="1:35" ht="15.75" customHeight="1" x14ac:dyDescent="0.3">
      <c r="A810" s="85" t="str">
        <f t="shared" si="625"/>
        <v/>
      </c>
      <c r="C810" s="87"/>
      <c r="E810" s="87"/>
      <c r="H810" s="87"/>
      <c r="I810" s="87"/>
      <c r="O810" s="90" t="str">
        <f t="shared" si="620"/>
        <v/>
      </c>
      <c r="Q810" s="91" t="str">
        <f t="shared" si="621"/>
        <v/>
      </c>
      <c r="R810" s="91" t="str">
        <f t="shared" si="624"/>
        <v/>
      </c>
      <c r="S810" s="92" t="str">
        <f t="shared" si="622"/>
        <v/>
      </c>
      <c r="T810" s="93"/>
      <c r="U810" s="94" t="str">
        <f t="shared" si="626"/>
        <v/>
      </c>
      <c r="X810" s="96"/>
      <c r="Y810" s="97" t="str">
        <f t="shared" si="628"/>
        <v/>
      </c>
      <c r="Z810" s="98" t="str">
        <f>SUBSTITUTE('Digitas UK Task 26'!$O810, "Complet", "Not Requir")</f>
        <v/>
      </c>
      <c r="AA810" s="98" t="str">
        <f t="shared" si="627"/>
        <v/>
      </c>
      <c r="AB810" s="99"/>
      <c r="AF810" s="84" t="str">
        <f t="shared" si="623"/>
        <v/>
      </c>
      <c r="AH810" s="84" t="str">
        <f t="shared" si="618"/>
        <v/>
      </c>
      <c r="AI810" s="84" t="str">
        <f t="shared" si="619"/>
        <v/>
      </c>
    </row>
    <row r="811" spans="1:35" ht="15.75" customHeight="1" x14ac:dyDescent="0.3">
      <c r="A811" s="85" t="str">
        <f t="shared" si="625"/>
        <v/>
      </c>
      <c r="C811" s="87"/>
      <c r="E811" s="87"/>
      <c r="H811" s="87"/>
      <c r="I811" s="87"/>
      <c r="O811" s="90" t="str">
        <f t="shared" si="620"/>
        <v/>
      </c>
      <c r="Q811" s="91" t="str">
        <f t="shared" si="621"/>
        <v/>
      </c>
      <c r="R811" s="91" t="str">
        <f t="shared" si="624"/>
        <v/>
      </c>
      <c r="S811" s="92" t="str">
        <f t="shared" si="622"/>
        <v/>
      </c>
      <c r="T811" s="93"/>
      <c r="U811" s="94" t="str">
        <f t="shared" si="626"/>
        <v/>
      </c>
      <c r="X811" s="96"/>
      <c r="Y811" s="97" t="str">
        <f t="shared" si="628"/>
        <v/>
      </c>
      <c r="Z811" s="98" t="str">
        <f>SUBSTITUTE('Digitas UK Task 26'!$O811, "Complet", "Not Requir")</f>
        <v/>
      </c>
      <c r="AA811" s="98" t="str">
        <f t="shared" si="627"/>
        <v/>
      </c>
      <c r="AB811" s="99"/>
      <c r="AF811" s="84" t="str">
        <f t="shared" si="623"/>
        <v/>
      </c>
      <c r="AH811" s="84" t="str">
        <f t="shared" si="618"/>
        <v/>
      </c>
      <c r="AI811" s="84" t="str">
        <f t="shared" si="619"/>
        <v/>
      </c>
    </row>
    <row r="812" spans="1:35" ht="15.75" customHeight="1" x14ac:dyDescent="0.3">
      <c r="A812" s="85" t="str">
        <f t="shared" si="625"/>
        <v/>
      </c>
      <c r="C812" s="87"/>
      <c r="E812" s="87"/>
      <c r="H812" s="87"/>
      <c r="I812" s="87"/>
      <c r="O812" s="90" t="str">
        <f t="shared" si="620"/>
        <v/>
      </c>
      <c r="Q812" s="91" t="str">
        <f t="shared" si="621"/>
        <v/>
      </c>
      <c r="R812" s="91" t="str">
        <f t="shared" si="624"/>
        <v/>
      </c>
      <c r="S812" s="92" t="str">
        <f t="shared" si="622"/>
        <v/>
      </c>
      <c r="T812" s="93"/>
      <c r="U812" s="94" t="str">
        <f t="shared" si="626"/>
        <v/>
      </c>
      <c r="X812" s="96"/>
      <c r="Y812" s="97" t="str">
        <f t="shared" si="628"/>
        <v/>
      </c>
      <c r="Z812" s="98" t="str">
        <f>SUBSTITUTE('Digitas UK Task 26'!$O812, "Complet", "Not Requir")</f>
        <v/>
      </c>
      <c r="AA812" s="98" t="str">
        <f t="shared" si="627"/>
        <v/>
      </c>
      <c r="AB812" s="99"/>
      <c r="AF812" s="84" t="str">
        <f t="shared" si="623"/>
        <v/>
      </c>
      <c r="AH812" s="84" t="str">
        <f t="shared" si="618"/>
        <v/>
      </c>
      <c r="AI812" s="84" t="str">
        <f t="shared" si="619"/>
        <v/>
      </c>
    </row>
    <row r="813" spans="1:35" ht="15.75" customHeight="1" x14ac:dyDescent="0.3">
      <c r="A813" s="85" t="str">
        <f t="shared" si="625"/>
        <v/>
      </c>
      <c r="C813" s="87"/>
      <c r="E813" s="87"/>
      <c r="H813" s="87"/>
      <c r="I813" s="87"/>
      <c r="O813" s="90" t="str">
        <f t="shared" si="620"/>
        <v/>
      </c>
      <c r="Q813" s="91" t="str">
        <f t="shared" si="621"/>
        <v/>
      </c>
      <c r="R813" s="91" t="str">
        <f t="shared" si="624"/>
        <v/>
      </c>
      <c r="S813" s="92" t="str">
        <f t="shared" si="622"/>
        <v/>
      </c>
      <c r="T813" s="93"/>
      <c r="U813" s="94" t="str">
        <f t="shared" si="626"/>
        <v/>
      </c>
      <c r="X813" s="96"/>
      <c r="Y813" s="97" t="str">
        <f t="shared" si="628"/>
        <v/>
      </c>
      <c r="Z813" s="98" t="str">
        <f>SUBSTITUTE('Digitas UK Task 26'!$O813, "Complet", "Not Requir")</f>
        <v/>
      </c>
      <c r="AA813" s="98" t="str">
        <f t="shared" si="627"/>
        <v/>
      </c>
      <c r="AB813" s="99"/>
      <c r="AF813" s="84" t="str">
        <f t="shared" si="623"/>
        <v/>
      </c>
      <c r="AH813" s="84" t="str">
        <f t="shared" si="618"/>
        <v/>
      </c>
      <c r="AI813" s="84" t="str">
        <f t="shared" si="619"/>
        <v/>
      </c>
    </row>
    <row r="814" spans="1:35" ht="15.75" customHeight="1" x14ac:dyDescent="0.3">
      <c r="A814" s="85" t="str">
        <f t="shared" si="625"/>
        <v/>
      </c>
      <c r="C814" s="87"/>
      <c r="E814" s="87"/>
      <c r="H814" s="87"/>
      <c r="I814" s="87"/>
      <c r="O814" s="90" t="str">
        <f t="shared" si="620"/>
        <v/>
      </c>
      <c r="Q814" s="91" t="str">
        <f t="shared" si="621"/>
        <v/>
      </c>
      <c r="R814" s="91" t="str">
        <f t="shared" si="624"/>
        <v/>
      </c>
      <c r="S814" s="92" t="str">
        <f t="shared" si="622"/>
        <v/>
      </c>
      <c r="T814" s="93"/>
      <c r="U814" s="94" t="str">
        <f t="shared" si="626"/>
        <v/>
      </c>
      <c r="X814" s="96"/>
      <c r="Y814" s="97" t="str">
        <f t="shared" si="628"/>
        <v/>
      </c>
      <c r="Z814" s="98" t="str">
        <f>SUBSTITUTE('Digitas UK Task 26'!$O814, "Complet", "Not Requir")</f>
        <v/>
      </c>
      <c r="AA814" s="98" t="str">
        <f t="shared" si="627"/>
        <v/>
      </c>
      <c r="AB814" s="99"/>
      <c r="AF814" s="84" t="str">
        <f t="shared" si="623"/>
        <v/>
      </c>
      <c r="AH814" s="84" t="str">
        <f t="shared" si="618"/>
        <v/>
      </c>
      <c r="AI814" s="84" t="str">
        <f t="shared" si="619"/>
        <v/>
      </c>
    </row>
    <row r="815" spans="1:35" ht="15.75" customHeight="1" x14ac:dyDescent="0.3">
      <c r="A815" s="85" t="str">
        <f t="shared" si="625"/>
        <v/>
      </c>
      <c r="C815" s="87"/>
      <c r="E815" s="87"/>
      <c r="H815" s="87"/>
      <c r="I815" s="87"/>
      <c r="O815" s="90" t="str">
        <f t="shared" si="620"/>
        <v/>
      </c>
      <c r="Q815" s="91" t="str">
        <f t="shared" si="621"/>
        <v/>
      </c>
      <c r="R815" s="91" t="str">
        <f t="shared" si="624"/>
        <v/>
      </c>
      <c r="S815" s="92" t="str">
        <f t="shared" si="622"/>
        <v/>
      </c>
      <c r="T815" s="93"/>
      <c r="U815" s="94" t="str">
        <f t="shared" si="626"/>
        <v/>
      </c>
      <c r="X815" s="96"/>
      <c r="Y815" s="97" t="str">
        <f t="shared" si="628"/>
        <v/>
      </c>
      <c r="Z815" s="98" t="str">
        <f>SUBSTITUTE('Digitas UK Task 26'!$O815, "Complet", "Not Requir")</f>
        <v/>
      </c>
      <c r="AA815" s="98" t="str">
        <f t="shared" si="627"/>
        <v/>
      </c>
      <c r="AB815" s="99"/>
      <c r="AF815" s="84" t="str">
        <f t="shared" si="623"/>
        <v/>
      </c>
      <c r="AH815" s="84" t="str">
        <f t="shared" ref="AH815:AH878" si="629">IF(B815="","",_xlfn.CONCAT("PL_",J815,"_CR_",K815,"_AD_",L815,"_Jira_",IF(AND(C815="P&amp;G",ISNUMBER(SEARCH("TAAGPNG-",G815))),MID(G815,SEARCH("TAAGPNG-",G815)+8,LEN(G815)-SEARCH("TAAGPNG-",G815)-7),"0"),"_"))</f>
        <v/>
      </c>
      <c r="AI815" s="84" t="str">
        <f t="shared" si="619"/>
        <v/>
      </c>
    </row>
    <row r="816" spans="1:35" ht="15.75" customHeight="1" x14ac:dyDescent="0.3">
      <c r="A816" s="85" t="str">
        <f t="shared" si="625"/>
        <v/>
      </c>
      <c r="C816" s="87"/>
      <c r="E816" s="87"/>
      <c r="H816" s="87"/>
      <c r="I816" s="87"/>
      <c r="O816" s="90" t="str">
        <f t="shared" si="620"/>
        <v/>
      </c>
      <c r="Q816" s="91" t="str">
        <f t="shared" si="621"/>
        <v/>
      </c>
      <c r="R816" s="91" t="str">
        <f t="shared" si="624"/>
        <v/>
      </c>
      <c r="S816" s="92" t="str">
        <f t="shared" si="622"/>
        <v/>
      </c>
      <c r="T816" s="93"/>
      <c r="U816" s="94" t="str">
        <f t="shared" si="626"/>
        <v/>
      </c>
      <c r="X816" s="96"/>
      <c r="Y816" s="97" t="str">
        <f t="shared" si="628"/>
        <v/>
      </c>
      <c r="Z816" s="98" t="str">
        <f>SUBSTITUTE('Digitas UK Task 26'!$O816, "Complet", "Not Requir")</f>
        <v/>
      </c>
      <c r="AA816" s="98" t="str">
        <f t="shared" si="627"/>
        <v/>
      </c>
      <c r="AB816" s="99"/>
      <c r="AF816" s="84" t="str">
        <f t="shared" si="623"/>
        <v/>
      </c>
      <c r="AH816" s="84" t="str">
        <f t="shared" si="629"/>
        <v/>
      </c>
      <c r="AI816" s="84" t="str">
        <f t="shared" si="619"/>
        <v/>
      </c>
    </row>
    <row r="817" spans="1:35" ht="15.75" customHeight="1" x14ac:dyDescent="0.3">
      <c r="A817" s="85" t="str">
        <f t="shared" si="625"/>
        <v/>
      </c>
      <c r="C817" s="87"/>
      <c r="E817" s="87"/>
      <c r="H817" s="87"/>
      <c r="I817" s="87"/>
      <c r="O817" s="90" t="str">
        <f t="shared" si="620"/>
        <v/>
      </c>
      <c r="Q817" s="91" t="str">
        <f t="shared" si="621"/>
        <v/>
      </c>
      <c r="R817" s="91" t="str">
        <f t="shared" si="624"/>
        <v/>
      </c>
      <c r="S817" s="92" t="str">
        <f t="shared" si="622"/>
        <v/>
      </c>
      <c r="T817" s="93"/>
      <c r="U817" s="94" t="str">
        <f t="shared" si="626"/>
        <v/>
      </c>
      <c r="X817" s="96"/>
      <c r="Y817" s="97" t="str">
        <f t="shared" si="628"/>
        <v/>
      </c>
      <c r="Z817" s="98" t="str">
        <f>SUBSTITUTE('Digitas UK Task 26'!$O817, "Complet", "Not Requir")</f>
        <v/>
      </c>
      <c r="AA817" s="98" t="str">
        <f t="shared" si="627"/>
        <v/>
      </c>
      <c r="AB817" s="99"/>
      <c r="AF817" s="84" t="str">
        <f t="shared" si="623"/>
        <v/>
      </c>
      <c r="AH817" s="84" t="str">
        <f t="shared" si="629"/>
        <v/>
      </c>
      <c r="AI817" s="84" t="str">
        <f t="shared" si="619"/>
        <v/>
      </c>
    </row>
    <row r="818" spans="1:35" ht="15.75" customHeight="1" x14ac:dyDescent="0.3">
      <c r="A818" s="85" t="str">
        <f t="shared" si="625"/>
        <v/>
      </c>
      <c r="C818" s="87"/>
      <c r="E818" s="87"/>
      <c r="H818" s="87"/>
      <c r="I818" s="87"/>
      <c r="O818" s="90" t="str">
        <f t="shared" si="620"/>
        <v/>
      </c>
      <c r="Q818" s="91" t="str">
        <f t="shared" si="621"/>
        <v/>
      </c>
      <c r="R818" s="91" t="str">
        <f t="shared" si="624"/>
        <v/>
      </c>
      <c r="S818" s="92" t="str">
        <f t="shared" si="622"/>
        <v/>
      </c>
      <c r="T818" s="93"/>
      <c r="U818" s="94" t="str">
        <f t="shared" si="626"/>
        <v/>
      </c>
      <c r="X818" s="96"/>
      <c r="Y818" s="97" t="str">
        <f t="shared" si="628"/>
        <v/>
      </c>
      <c r="Z818" s="98" t="str">
        <f>SUBSTITUTE('Digitas UK Task 26'!$O818, "Complet", "Not Requir")</f>
        <v/>
      </c>
      <c r="AA818" s="98" t="str">
        <f t="shared" si="627"/>
        <v/>
      </c>
      <c r="AB818" s="99"/>
      <c r="AF818" s="84" t="str">
        <f t="shared" si="623"/>
        <v/>
      </c>
      <c r="AH818" s="84" t="str">
        <f t="shared" si="629"/>
        <v/>
      </c>
      <c r="AI818" s="84" t="str">
        <f t="shared" si="619"/>
        <v/>
      </c>
    </row>
    <row r="819" spans="1:35" ht="15.75" customHeight="1" x14ac:dyDescent="0.3">
      <c r="A819" s="85" t="str">
        <f t="shared" si="625"/>
        <v/>
      </c>
      <c r="C819" s="87"/>
      <c r="E819" s="87"/>
      <c r="H819" s="87"/>
      <c r="I819" s="87"/>
      <c r="O819" s="90" t="str">
        <f t="shared" si="620"/>
        <v/>
      </c>
      <c r="Q819" s="91" t="str">
        <f t="shared" si="621"/>
        <v/>
      </c>
      <c r="R819" s="91" t="str">
        <f t="shared" si="624"/>
        <v/>
      </c>
      <c r="S819" s="92" t="str">
        <f t="shared" si="622"/>
        <v/>
      </c>
      <c r="T819" s="93"/>
      <c r="U819" s="94" t="str">
        <f t="shared" si="626"/>
        <v/>
      </c>
      <c r="X819" s="96"/>
      <c r="Y819" s="97" t="str">
        <f t="shared" si="628"/>
        <v/>
      </c>
      <c r="Z819" s="98" t="str">
        <f>SUBSTITUTE('Digitas UK Task 26'!$O819, "Complet", "Not Requir")</f>
        <v/>
      </c>
      <c r="AA819" s="98" t="str">
        <f t="shared" si="627"/>
        <v/>
      </c>
      <c r="AB819" s="99"/>
      <c r="AF819" s="84" t="str">
        <f t="shared" si="623"/>
        <v/>
      </c>
      <c r="AH819" s="84" t="str">
        <f t="shared" si="629"/>
        <v/>
      </c>
      <c r="AI819" s="84" t="str">
        <f t="shared" si="619"/>
        <v/>
      </c>
    </row>
    <row r="820" spans="1:35" ht="15.75" customHeight="1" x14ac:dyDescent="0.3">
      <c r="A820" s="85" t="str">
        <f t="shared" si="625"/>
        <v/>
      </c>
      <c r="C820" s="87"/>
      <c r="E820" s="87"/>
      <c r="H820" s="87"/>
      <c r="I820" s="87"/>
      <c r="O820" s="90" t="str">
        <f t="shared" si="620"/>
        <v/>
      </c>
      <c r="Q820" s="91" t="str">
        <f t="shared" si="621"/>
        <v/>
      </c>
      <c r="R820" s="91" t="str">
        <f t="shared" si="624"/>
        <v/>
      </c>
      <c r="S820" s="92" t="str">
        <f t="shared" si="622"/>
        <v/>
      </c>
      <c r="T820" s="93"/>
      <c r="U820" s="94" t="str">
        <f t="shared" si="626"/>
        <v/>
      </c>
      <c r="X820" s="96"/>
      <c r="Y820" s="97" t="str">
        <f t="shared" si="628"/>
        <v/>
      </c>
      <c r="Z820" s="98" t="str">
        <f>SUBSTITUTE('Digitas UK Task 26'!$O820, "Complet", "Not Requir")</f>
        <v/>
      </c>
      <c r="AA820" s="98" t="str">
        <f t="shared" si="627"/>
        <v/>
      </c>
      <c r="AB820" s="99"/>
      <c r="AF820" s="84" t="str">
        <f t="shared" si="623"/>
        <v/>
      </c>
      <c r="AH820" s="84" t="str">
        <f t="shared" si="629"/>
        <v/>
      </c>
      <c r="AI820" s="84" t="str">
        <f t="shared" si="619"/>
        <v/>
      </c>
    </row>
    <row r="821" spans="1:35" ht="15.75" customHeight="1" x14ac:dyDescent="0.3">
      <c r="A821" s="85" t="str">
        <f t="shared" si="625"/>
        <v/>
      </c>
      <c r="C821" s="87"/>
      <c r="E821" s="87"/>
      <c r="H821" s="87"/>
      <c r="I821" s="87"/>
      <c r="O821" s="90" t="str">
        <f t="shared" si="620"/>
        <v/>
      </c>
      <c r="Q821" s="91" t="str">
        <f t="shared" si="621"/>
        <v/>
      </c>
      <c r="R821" s="91" t="str">
        <f t="shared" si="624"/>
        <v/>
      </c>
      <c r="S821" s="92" t="str">
        <f t="shared" si="622"/>
        <v/>
      </c>
      <c r="T821" s="93"/>
      <c r="U821" s="94" t="str">
        <f t="shared" si="626"/>
        <v/>
      </c>
      <c r="X821" s="96"/>
      <c r="Y821" s="97" t="str">
        <f t="shared" si="628"/>
        <v/>
      </c>
      <c r="Z821" s="98" t="str">
        <f>SUBSTITUTE('Digitas UK Task 26'!$O821, "Complet", "Not Requir")</f>
        <v/>
      </c>
      <c r="AA821" s="98" t="str">
        <f t="shared" si="627"/>
        <v/>
      </c>
      <c r="AB821" s="99"/>
      <c r="AF821" s="84" t="str">
        <f t="shared" si="623"/>
        <v/>
      </c>
      <c r="AH821" s="84" t="str">
        <f t="shared" si="629"/>
        <v/>
      </c>
      <c r="AI821" s="84" t="str">
        <f t="shared" ref="AI821:AI884" si="630">IF(U821&lt;&gt;"Done","",_xlfn.CONCAT("PL_",J821,"_CR_",K821,"_AD_",L821,"_Jira_",IF(AND(C821="P&amp;G",ISNUMBER(SEARCH("TAAGPNG-",G821))),MID(G821,SEARCH("TAAGPNG-",G821)+8,LEN(G821)-SEARCH("TAAGPNG-",G821)-7),"0"),"_"))</f>
        <v/>
      </c>
    </row>
    <row r="822" spans="1:35" ht="15.75" customHeight="1" x14ac:dyDescent="0.3">
      <c r="A822" s="85" t="str">
        <f t="shared" si="625"/>
        <v/>
      </c>
      <c r="C822" s="87"/>
      <c r="E822" s="87"/>
      <c r="H822" s="87"/>
      <c r="I822" s="87"/>
      <c r="O822" s="90" t="str">
        <f t="shared" si="620"/>
        <v/>
      </c>
      <c r="Q822" s="91" t="str">
        <f t="shared" si="621"/>
        <v/>
      </c>
      <c r="R822" s="91" t="str">
        <f t="shared" si="624"/>
        <v/>
      </c>
      <c r="S822" s="92" t="str">
        <f t="shared" si="622"/>
        <v/>
      </c>
      <c r="T822" s="93"/>
      <c r="U822" s="94" t="str">
        <f t="shared" si="626"/>
        <v/>
      </c>
      <c r="X822" s="96"/>
      <c r="Y822" s="97" t="str">
        <f t="shared" si="628"/>
        <v/>
      </c>
      <c r="Z822" s="98" t="str">
        <f>SUBSTITUTE('Digitas UK Task 26'!$O822, "Complet", "Not Requir")</f>
        <v/>
      </c>
      <c r="AA822" s="98" t="str">
        <f t="shared" si="627"/>
        <v/>
      </c>
      <c r="AB822" s="99"/>
      <c r="AF822" s="84" t="str">
        <f t="shared" si="623"/>
        <v/>
      </c>
      <c r="AH822" s="84" t="str">
        <f t="shared" si="629"/>
        <v/>
      </c>
      <c r="AI822" s="84" t="str">
        <f t="shared" si="630"/>
        <v/>
      </c>
    </row>
    <row r="823" spans="1:35" ht="15.75" customHeight="1" x14ac:dyDescent="0.3">
      <c r="A823" s="85" t="str">
        <f t="shared" si="625"/>
        <v/>
      </c>
      <c r="C823" s="87"/>
      <c r="E823" s="87"/>
      <c r="H823" s="87"/>
      <c r="I823" s="87"/>
      <c r="O823" s="90" t="str">
        <f t="shared" ref="O823:O886" si="631">IF(F823="","","In-process")</f>
        <v/>
      </c>
      <c r="Q823" s="91" t="str">
        <f t="shared" si="621"/>
        <v/>
      </c>
      <c r="R823" s="91" t="str">
        <f t="shared" si="624"/>
        <v/>
      </c>
      <c r="S823" s="92" t="str">
        <f t="shared" si="622"/>
        <v/>
      </c>
      <c r="T823" s="93"/>
      <c r="U823" s="94" t="str">
        <f t="shared" si="626"/>
        <v/>
      </c>
      <c r="X823" s="96"/>
      <c r="Y823" s="97" t="str">
        <f t="shared" si="628"/>
        <v/>
      </c>
      <c r="Z823" s="98" t="str">
        <f>SUBSTITUTE('Digitas UK Task 26'!$O823, "Complet", "Not Requir")</f>
        <v/>
      </c>
      <c r="AA823" s="98" t="str">
        <f t="shared" si="627"/>
        <v/>
      </c>
      <c r="AB823" s="99"/>
      <c r="AF823" s="84" t="str">
        <f t="shared" si="623"/>
        <v/>
      </c>
      <c r="AH823" s="84" t="str">
        <f t="shared" si="629"/>
        <v/>
      </c>
      <c r="AI823" s="84" t="str">
        <f t="shared" si="630"/>
        <v/>
      </c>
    </row>
    <row r="824" spans="1:35" ht="15.75" customHeight="1" x14ac:dyDescent="0.3">
      <c r="A824" s="85" t="str">
        <f t="shared" si="625"/>
        <v/>
      </c>
      <c r="C824" s="87"/>
      <c r="E824" s="87"/>
      <c r="H824" s="87"/>
      <c r="I824" s="87"/>
      <c r="O824" s="90" t="str">
        <f t="shared" si="631"/>
        <v/>
      </c>
      <c r="Q824" s="91" t="str">
        <f t="shared" si="621"/>
        <v/>
      </c>
      <c r="R824" s="91" t="str">
        <f t="shared" si="624"/>
        <v/>
      </c>
      <c r="S824" s="92" t="str">
        <f t="shared" si="622"/>
        <v/>
      </c>
      <c r="T824" s="93"/>
      <c r="U824" s="94" t="str">
        <f t="shared" si="626"/>
        <v/>
      </c>
      <c r="X824" s="96"/>
      <c r="Y824" s="97" t="str">
        <f t="shared" si="628"/>
        <v/>
      </c>
      <c r="Z824" s="98" t="str">
        <f>SUBSTITUTE('Digitas UK Task 26'!$O824, "Complet", "Not Requir")</f>
        <v/>
      </c>
      <c r="AA824" s="98" t="str">
        <f t="shared" si="627"/>
        <v/>
      </c>
      <c r="AB824" s="99"/>
      <c r="AF824" s="84" t="str">
        <f t="shared" si="623"/>
        <v/>
      </c>
      <c r="AH824" s="84" t="str">
        <f t="shared" si="629"/>
        <v/>
      </c>
      <c r="AI824" s="84" t="str">
        <f t="shared" si="630"/>
        <v/>
      </c>
    </row>
    <row r="825" spans="1:35" ht="15.75" customHeight="1" x14ac:dyDescent="0.3">
      <c r="A825" s="85" t="str">
        <f t="shared" si="625"/>
        <v/>
      </c>
      <c r="C825" s="87"/>
      <c r="E825" s="87"/>
      <c r="H825" s="87"/>
      <c r="I825" s="87"/>
      <c r="O825" s="90" t="str">
        <f t="shared" si="631"/>
        <v/>
      </c>
      <c r="Q825" s="91" t="str">
        <f t="shared" si="621"/>
        <v/>
      </c>
      <c r="R825" s="91" t="str">
        <f t="shared" si="624"/>
        <v/>
      </c>
      <c r="S825" s="92" t="str">
        <f t="shared" si="622"/>
        <v/>
      </c>
      <c r="T825" s="93"/>
      <c r="U825" s="94" t="str">
        <f t="shared" si="626"/>
        <v/>
      </c>
      <c r="X825" s="96"/>
      <c r="Y825" s="97" t="str">
        <f t="shared" si="628"/>
        <v/>
      </c>
      <c r="Z825" s="98" t="str">
        <f>SUBSTITUTE('Digitas UK Task 26'!$O825, "Complet", "Not Requir")</f>
        <v/>
      </c>
      <c r="AA825" s="98" t="str">
        <f t="shared" si="627"/>
        <v/>
      </c>
      <c r="AB825" s="99"/>
      <c r="AF825" s="84" t="str">
        <f t="shared" si="623"/>
        <v/>
      </c>
      <c r="AH825" s="84" t="str">
        <f t="shared" si="629"/>
        <v/>
      </c>
      <c r="AI825" s="84" t="str">
        <f t="shared" si="630"/>
        <v/>
      </c>
    </row>
    <row r="826" spans="1:35" ht="15.75" customHeight="1" x14ac:dyDescent="0.3">
      <c r="A826" s="85" t="str">
        <f t="shared" si="625"/>
        <v/>
      </c>
      <c r="C826" s="87"/>
      <c r="E826" s="87"/>
      <c r="H826" s="87"/>
      <c r="I826" s="87"/>
      <c r="O826" s="90" t="str">
        <f t="shared" si="631"/>
        <v/>
      </c>
      <c r="Q826" s="91" t="str">
        <f t="shared" si="621"/>
        <v/>
      </c>
      <c r="R826" s="91" t="str">
        <f t="shared" si="624"/>
        <v/>
      </c>
      <c r="S826" s="92" t="str">
        <f t="shared" si="622"/>
        <v/>
      </c>
      <c r="T826" s="93"/>
      <c r="U826" s="94" t="str">
        <f t="shared" si="626"/>
        <v/>
      </c>
      <c r="X826" s="96"/>
      <c r="Y826" s="97" t="str">
        <f t="shared" si="628"/>
        <v/>
      </c>
      <c r="Z826" s="98" t="str">
        <f>SUBSTITUTE('Digitas UK Task 26'!$O826, "Complet", "Not Requir")</f>
        <v/>
      </c>
      <c r="AA826" s="98" t="str">
        <f t="shared" si="627"/>
        <v/>
      </c>
      <c r="AB826" s="99"/>
      <c r="AF826" s="84" t="str">
        <f t="shared" si="623"/>
        <v/>
      </c>
      <c r="AH826" s="84" t="str">
        <f t="shared" si="629"/>
        <v/>
      </c>
      <c r="AI826" s="84" t="str">
        <f t="shared" si="630"/>
        <v/>
      </c>
    </row>
    <row r="827" spans="1:35" ht="15.75" customHeight="1" x14ac:dyDescent="0.3">
      <c r="A827" s="85" t="str">
        <f t="shared" si="625"/>
        <v/>
      </c>
      <c r="C827" s="87"/>
      <c r="E827" s="87"/>
      <c r="H827" s="87"/>
      <c r="I827" s="87"/>
      <c r="O827" s="90" t="str">
        <f t="shared" si="631"/>
        <v/>
      </c>
      <c r="Q827" s="91" t="str">
        <f t="shared" si="621"/>
        <v/>
      </c>
      <c r="R827" s="91" t="str">
        <f t="shared" si="624"/>
        <v/>
      </c>
      <c r="S827" s="92" t="str">
        <f t="shared" si="622"/>
        <v/>
      </c>
      <c r="T827" s="93"/>
      <c r="U827" s="94" t="str">
        <f t="shared" si="626"/>
        <v/>
      </c>
      <c r="X827" s="96"/>
      <c r="Y827" s="97" t="str">
        <f t="shared" si="628"/>
        <v/>
      </c>
      <c r="Z827" s="98" t="str">
        <f>SUBSTITUTE('Digitas UK Task 26'!$O827, "Complet", "Not Requir")</f>
        <v/>
      </c>
      <c r="AA827" s="98" t="str">
        <f t="shared" si="627"/>
        <v/>
      </c>
      <c r="AB827" s="99"/>
      <c r="AF827" s="84" t="str">
        <f t="shared" si="623"/>
        <v/>
      </c>
      <c r="AH827" s="84" t="str">
        <f t="shared" si="629"/>
        <v/>
      </c>
      <c r="AI827" s="84" t="str">
        <f t="shared" si="630"/>
        <v/>
      </c>
    </row>
    <row r="828" spans="1:35" ht="15.75" customHeight="1" x14ac:dyDescent="0.3">
      <c r="A828" s="85" t="str">
        <f t="shared" si="625"/>
        <v/>
      </c>
      <c r="C828" s="87"/>
      <c r="E828" s="87"/>
      <c r="H828" s="87"/>
      <c r="I828" s="87"/>
      <c r="O828" s="90" t="str">
        <f t="shared" si="631"/>
        <v/>
      </c>
      <c r="Q828" s="91" t="str">
        <f t="shared" si="621"/>
        <v/>
      </c>
      <c r="R828" s="91" t="str">
        <f t="shared" si="624"/>
        <v/>
      </c>
      <c r="S828" s="92" t="str">
        <f t="shared" si="622"/>
        <v/>
      </c>
      <c r="T828" s="93"/>
      <c r="U828" s="94" t="str">
        <f t="shared" si="626"/>
        <v/>
      </c>
      <c r="X828" s="96"/>
      <c r="Y828" s="97" t="str">
        <f t="shared" si="628"/>
        <v/>
      </c>
      <c r="Z828" s="98" t="str">
        <f>SUBSTITUTE('Digitas UK Task 26'!$O828, "Complet", "Not Requir")</f>
        <v/>
      </c>
      <c r="AA828" s="98" t="str">
        <f t="shared" si="627"/>
        <v/>
      </c>
      <c r="AB828" s="99"/>
      <c r="AF828" s="84" t="str">
        <f t="shared" si="623"/>
        <v/>
      </c>
      <c r="AH828" s="84" t="str">
        <f t="shared" si="629"/>
        <v/>
      </c>
      <c r="AI828" s="84" t="str">
        <f t="shared" si="630"/>
        <v/>
      </c>
    </row>
    <row r="829" spans="1:35" ht="15.75" customHeight="1" x14ac:dyDescent="0.3">
      <c r="A829" s="85" t="str">
        <f t="shared" si="625"/>
        <v/>
      </c>
      <c r="C829" s="87"/>
      <c r="E829" s="87"/>
      <c r="H829" s="87"/>
      <c r="I829" s="87"/>
      <c r="O829" s="90" t="str">
        <f t="shared" si="631"/>
        <v/>
      </c>
      <c r="Q829" s="91" t="str">
        <f t="shared" si="621"/>
        <v/>
      </c>
      <c r="R829" s="91" t="str">
        <f t="shared" si="624"/>
        <v/>
      </c>
      <c r="S829" s="92" t="str">
        <f t="shared" si="622"/>
        <v/>
      </c>
      <c r="T829" s="93"/>
      <c r="U829" s="94" t="str">
        <f t="shared" si="626"/>
        <v/>
      </c>
      <c r="X829" s="96"/>
      <c r="Y829" s="97" t="str">
        <f t="shared" si="628"/>
        <v/>
      </c>
      <c r="Z829" s="98" t="str">
        <f>SUBSTITUTE('Digitas UK Task 26'!$O829, "Complet", "Not Requir")</f>
        <v/>
      </c>
      <c r="AA829" s="98" t="str">
        <f t="shared" si="627"/>
        <v/>
      </c>
      <c r="AB829" s="99"/>
      <c r="AF829" s="84" t="str">
        <f t="shared" si="623"/>
        <v/>
      </c>
      <c r="AH829" s="84" t="str">
        <f t="shared" si="629"/>
        <v/>
      </c>
      <c r="AI829" s="84" t="str">
        <f t="shared" si="630"/>
        <v/>
      </c>
    </row>
    <row r="830" spans="1:35" ht="15.75" customHeight="1" x14ac:dyDescent="0.3">
      <c r="A830" s="85" t="str">
        <f t="shared" si="625"/>
        <v/>
      </c>
      <c r="C830" s="87"/>
      <c r="E830" s="87"/>
      <c r="H830" s="87"/>
      <c r="I830" s="87"/>
      <c r="O830" s="90" t="str">
        <f t="shared" si="631"/>
        <v/>
      </c>
      <c r="Q830" s="91" t="str">
        <f t="shared" si="621"/>
        <v/>
      </c>
      <c r="R830" s="91" t="str">
        <f t="shared" si="624"/>
        <v/>
      </c>
      <c r="S830" s="92" t="str">
        <f t="shared" si="622"/>
        <v/>
      </c>
      <c r="T830" s="93"/>
      <c r="U830" s="94" t="str">
        <f t="shared" si="626"/>
        <v/>
      </c>
      <c r="X830" s="96"/>
      <c r="Y830" s="97" t="str">
        <f t="shared" si="628"/>
        <v/>
      </c>
      <c r="Z830" s="98" t="str">
        <f>SUBSTITUTE('Digitas UK Task 26'!$O830, "Complet", "Not Requir")</f>
        <v/>
      </c>
      <c r="AA830" s="98" t="str">
        <f t="shared" si="627"/>
        <v/>
      </c>
      <c r="AB830" s="99"/>
      <c r="AF830" s="84" t="str">
        <f t="shared" si="623"/>
        <v/>
      </c>
      <c r="AH830" s="84" t="str">
        <f t="shared" si="629"/>
        <v/>
      </c>
      <c r="AI830" s="84" t="str">
        <f t="shared" si="630"/>
        <v/>
      </c>
    </row>
    <row r="831" spans="1:35" ht="15.75" customHeight="1" x14ac:dyDescent="0.3">
      <c r="A831" s="85" t="str">
        <f t="shared" si="625"/>
        <v/>
      </c>
      <c r="C831" s="87"/>
      <c r="E831" s="87"/>
      <c r="H831" s="87"/>
      <c r="I831" s="87"/>
      <c r="O831" s="90" t="str">
        <f t="shared" si="631"/>
        <v/>
      </c>
      <c r="Q831" s="91" t="str">
        <f t="shared" si="621"/>
        <v/>
      </c>
      <c r="R831" s="91" t="str">
        <f t="shared" si="624"/>
        <v/>
      </c>
      <c r="S831" s="92" t="str">
        <f t="shared" si="622"/>
        <v/>
      </c>
      <c r="T831" s="93"/>
      <c r="U831" s="94" t="str">
        <f t="shared" si="626"/>
        <v/>
      </c>
      <c r="X831" s="96"/>
      <c r="Y831" s="97" t="str">
        <f t="shared" si="628"/>
        <v/>
      </c>
      <c r="Z831" s="98" t="str">
        <f>SUBSTITUTE('Digitas UK Task 26'!$O831, "Complet", "Not Requir")</f>
        <v/>
      </c>
      <c r="AA831" s="98" t="str">
        <f t="shared" si="627"/>
        <v/>
      </c>
      <c r="AB831" s="99"/>
      <c r="AF831" s="84" t="str">
        <f t="shared" si="623"/>
        <v/>
      </c>
      <c r="AH831" s="84" t="str">
        <f t="shared" si="629"/>
        <v/>
      </c>
      <c r="AI831" s="84" t="str">
        <f t="shared" si="630"/>
        <v/>
      </c>
    </row>
    <row r="832" spans="1:35" ht="15.75" customHeight="1" x14ac:dyDescent="0.3">
      <c r="A832" s="85" t="str">
        <f t="shared" si="625"/>
        <v/>
      </c>
      <c r="C832" s="87"/>
      <c r="E832" s="87"/>
      <c r="H832" s="87"/>
      <c r="I832" s="87"/>
      <c r="O832" s="90" t="str">
        <f t="shared" si="631"/>
        <v/>
      </c>
      <c r="Q832" s="91" t="str">
        <f t="shared" si="621"/>
        <v/>
      </c>
      <c r="R832" s="91" t="str">
        <f t="shared" si="624"/>
        <v/>
      </c>
      <c r="S832" s="92" t="str">
        <f t="shared" si="622"/>
        <v/>
      </c>
      <c r="T832" s="93"/>
      <c r="U832" s="94" t="str">
        <f t="shared" si="626"/>
        <v/>
      </c>
      <c r="X832" s="96"/>
      <c r="Y832" s="97" t="str">
        <f t="shared" si="628"/>
        <v/>
      </c>
      <c r="Z832" s="98" t="str">
        <f>SUBSTITUTE('Digitas UK Task 26'!$O832, "Complet", "Not Requir")</f>
        <v/>
      </c>
      <c r="AA832" s="98" t="str">
        <f t="shared" si="627"/>
        <v/>
      </c>
      <c r="AB832" s="99"/>
      <c r="AF832" s="84" t="str">
        <f t="shared" si="623"/>
        <v/>
      </c>
      <c r="AH832" s="84" t="str">
        <f t="shared" si="629"/>
        <v/>
      </c>
      <c r="AI832" s="84" t="str">
        <f t="shared" si="630"/>
        <v/>
      </c>
    </row>
    <row r="833" spans="1:35" ht="15.75" customHeight="1" x14ac:dyDescent="0.3">
      <c r="A833" s="85" t="str">
        <f t="shared" si="625"/>
        <v/>
      </c>
      <c r="C833" s="87"/>
      <c r="E833" s="87"/>
      <c r="H833" s="87"/>
      <c r="I833" s="87"/>
      <c r="O833" s="90" t="str">
        <f t="shared" si="631"/>
        <v/>
      </c>
      <c r="Q833" s="91" t="str">
        <f t="shared" si="621"/>
        <v/>
      </c>
      <c r="R833" s="91" t="str">
        <f t="shared" si="624"/>
        <v/>
      </c>
      <c r="S833" s="92" t="str">
        <f t="shared" si="622"/>
        <v/>
      </c>
      <c r="T833" s="93"/>
      <c r="U833" s="94" t="str">
        <f t="shared" si="626"/>
        <v/>
      </c>
      <c r="X833" s="96"/>
      <c r="Y833" s="97" t="str">
        <f t="shared" si="628"/>
        <v/>
      </c>
      <c r="Z833" s="98" t="str">
        <f>SUBSTITUTE('Digitas UK Task 26'!$O833, "Complet", "Not Requir")</f>
        <v/>
      </c>
      <c r="AA833" s="98" t="str">
        <f t="shared" si="627"/>
        <v/>
      </c>
      <c r="AB833" s="99"/>
      <c r="AF833" s="84" t="str">
        <f t="shared" si="623"/>
        <v/>
      </c>
      <c r="AH833" s="84" t="str">
        <f t="shared" si="629"/>
        <v/>
      </c>
      <c r="AI833" s="84" t="str">
        <f t="shared" si="630"/>
        <v/>
      </c>
    </row>
    <row r="834" spans="1:35" ht="15.75" customHeight="1" x14ac:dyDescent="0.3">
      <c r="A834" s="85" t="str">
        <f t="shared" si="625"/>
        <v/>
      </c>
      <c r="C834" s="87"/>
      <c r="E834" s="87"/>
      <c r="H834" s="87"/>
      <c r="I834" s="87"/>
      <c r="O834" s="90" t="str">
        <f t="shared" si="631"/>
        <v/>
      </c>
      <c r="Q834" s="91" t="str">
        <f t="shared" si="621"/>
        <v/>
      </c>
      <c r="R834" s="91" t="str">
        <f t="shared" si="624"/>
        <v/>
      </c>
      <c r="S834" s="92" t="str">
        <f t="shared" si="622"/>
        <v/>
      </c>
      <c r="T834" s="93"/>
      <c r="U834" s="94" t="str">
        <f t="shared" si="626"/>
        <v/>
      </c>
      <c r="X834" s="96"/>
      <c r="Y834" s="97" t="str">
        <f t="shared" si="628"/>
        <v/>
      </c>
      <c r="Z834" s="98" t="str">
        <f>SUBSTITUTE('Digitas UK Task 26'!$O834, "Complet", "Not Requir")</f>
        <v/>
      </c>
      <c r="AA834" s="98" t="str">
        <f t="shared" si="627"/>
        <v/>
      </c>
      <c r="AB834" s="99"/>
      <c r="AF834" s="84" t="str">
        <f t="shared" si="623"/>
        <v/>
      </c>
      <c r="AH834" s="84" t="str">
        <f t="shared" si="629"/>
        <v/>
      </c>
      <c r="AI834" s="84" t="str">
        <f t="shared" si="630"/>
        <v/>
      </c>
    </row>
    <row r="835" spans="1:35" ht="15.75" customHeight="1" x14ac:dyDescent="0.3">
      <c r="A835" s="85" t="str">
        <f t="shared" si="625"/>
        <v/>
      </c>
      <c r="C835" s="87"/>
      <c r="E835" s="87"/>
      <c r="H835" s="87"/>
      <c r="I835" s="87"/>
      <c r="O835" s="90" t="str">
        <f t="shared" si="631"/>
        <v/>
      </c>
      <c r="Q835" s="91" t="str">
        <f t="shared" si="621"/>
        <v/>
      </c>
      <c r="R835" s="91" t="str">
        <f t="shared" si="624"/>
        <v/>
      </c>
      <c r="S835" s="92" t="str">
        <f t="shared" si="622"/>
        <v/>
      </c>
      <c r="T835" s="93"/>
      <c r="U835" s="94" t="str">
        <f t="shared" si="626"/>
        <v/>
      </c>
      <c r="X835" s="96"/>
      <c r="Y835" s="97" t="str">
        <f t="shared" si="628"/>
        <v/>
      </c>
      <c r="Z835" s="98" t="str">
        <f>SUBSTITUTE('Digitas UK Task 26'!$O835, "Complet", "Not Requir")</f>
        <v/>
      </c>
      <c r="AA835" s="98" t="str">
        <f t="shared" si="627"/>
        <v/>
      </c>
      <c r="AB835" s="99"/>
      <c r="AF835" s="84" t="str">
        <f t="shared" si="623"/>
        <v/>
      </c>
      <c r="AH835" s="84" t="str">
        <f t="shared" si="629"/>
        <v/>
      </c>
      <c r="AI835" s="84" t="str">
        <f t="shared" si="630"/>
        <v/>
      </c>
    </row>
    <row r="836" spans="1:35" ht="15.75" customHeight="1" x14ac:dyDescent="0.3">
      <c r="A836" s="85" t="str">
        <f t="shared" si="625"/>
        <v/>
      </c>
      <c r="C836" s="87"/>
      <c r="E836" s="87"/>
      <c r="H836" s="87"/>
      <c r="I836" s="87"/>
      <c r="O836" s="90" t="str">
        <f t="shared" si="631"/>
        <v/>
      </c>
      <c r="Q836" s="91" t="str">
        <f t="shared" si="621"/>
        <v/>
      </c>
      <c r="R836" s="91" t="str">
        <f t="shared" si="624"/>
        <v/>
      </c>
      <c r="S836" s="92" t="str">
        <f t="shared" si="622"/>
        <v/>
      </c>
      <c r="T836" s="93"/>
      <c r="U836" s="94" t="str">
        <f t="shared" si="626"/>
        <v/>
      </c>
      <c r="X836" s="96"/>
      <c r="Y836" s="97" t="str">
        <f t="shared" si="628"/>
        <v/>
      </c>
      <c r="Z836" s="98" t="str">
        <f>SUBSTITUTE('Digitas UK Task 26'!$O836, "Complet", "Not Requir")</f>
        <v/>
      </c>
      <c r="AA836" s="98" t="str">
        <f t="shared" si="627"/>
        <v/>
      </c>
      <c r="AB836" s="99"/>
      <c r="AF836" s="84" t="str">
        <f t="shared" si="623"/>
        <v/>
      </c>
      <c r="AH836" s="84" t="str">
        <f t="shared" si="629"/>
        <v/>
      </c>
      <c r="AI836" s="84" t="str">
        <f t="shared" si="630"/>
        <v/>
      </c>
    </row>
    <row r="837" spans="1:35" ht="15.75" customHeight="1" x14ac:dyDescent="0.3">
      <c r="A837" s="85" t="str">
        <f t="shared" si="625"/>
        <v/>
      </c>
      <c r="C837" s="87"/>
      <c r="E837" s="87"/>
      <c r="H837" s="87"/>
      <c r="I837" s="87"/>
      <c r="O837" s="90" t="str">
        <f t="shared" si="631"/>
        <v/>
      </c>
      <c r="Q837" s="91" t="str">
        <f t="shared" si="621"/>
        <v/>
      </c>
      <c r="R837" s="91" t="str">
        <f t="shared" si="624"/>
        <v/>
      </c>
      <c r="S837" s="92" t="str">
        <f t="shared" si="622"/>
        <v/>
      </c>
      <c r="T837" s="93"/>
      <c r="U837" s="94" t="str">
        <f t="shared" si="626"/>
        <v/>
      </c>
      <c r="X837" s="96"/>
      <c r="Y837" s="97" t="str">
        <f t="shared" si="628"/>
        <v/>
      </c>
      <c r="Z837" s="98" t="str">
        <f>SUBSTITUTE('Digitas UK Task 26'!$O837, "Complet", "Not Requir")</f>
        <v/>
      </c>
      <c r="AA837" s="98" t="str">
        <f t="shared" si="627"/>
        <v/>
      </c>
      <c r="AB837" s="99"/>
      <c r="AF837" s="84" t="str">
        <f t="shared" si="623"/>
        <v/>
      </c>
      <c r="AH837" s="84" t="str">
        <f t="shared" si="629"/>
        <v/>
      </c>
      <c r="AI837" s="84" t="str">
        <f t="shared" si="630"/>
        <v/>
      </c>
    </row>
    <row r="838" spans="1:35" ht="15.75" customHeight="1" x14ac:dyDescent="0.3">
      <c r="A838" s="85" t="str">
        <f t="shared" si="625"/>
        <v/>
      </c>
      <c r="C838" s="87"/>
      <c r="E838" s="87"/>
      <c r="H838" s="87"/>
      <c r="I838" s="87"/>
      <c r="O838" s="90" t="str">
        <f t="shared" si="631"/>
        <v/>
      </c>
      <c r="Q838" s="91" t="str">
        <f t="shared" si="621"/>
        <v/>
      </c>
      <c r="R838" s="91" t="str">
        <f t="shared" si="624"/>
        <v/>
      </c>
      <c r="S838" s="92" t="str">
        <f t="shared" si="622"/>
        <v/>
      </c>
      <c r="T838" s="93"/>
      <c r="U838" s="94" t="str">
        <f t="shared" si="626"/>
        <v/>
      </c>
      <c r="X838" s="96"/>
      <c r="Y838" s="97" t="str">
        <f t="shared" si="628"/>
        <v/>
      </c>
      <c r="Z838" s="98" t="str">
        <f>SUBSTITUTE('Digitas UK Task 26'!$O838, "Complet", "Not Requir")</f>
        <v/>
      </c>
      <c r="AA838" s="98" t="str">
        <f t="shared" si="627"/>
        <v/>
      </c>
      <c r="AB838" s="99"/>
      <c r="AF838" s="84" t="str">
        <f t="shared" si="623"/>
        <v/>
      </c>
      <c r="AH838" s="84" t="str">
        <f t="shared" si="629"/>
        <v/>
      </c>
      <c r="AI838" s="84" t="str">
        <f t="shared" si="630"/>
        <v/>
      </c>
    </row>
    <row r="839" spans="1:35" ht="15.75" customHeight="1" x14ac:dyDescent="0.3">
      <c r="A839" s="85" t="str">
        <f t="shared" si="625"/>
        <v/>
      </c>
      <c r="C839" s="87"/>
      <c r="E839" s="87"/>
      <c r="H839" s="87"/>
      <c r="I839" s="87"/>
      <c r="O839" s="90" t="str">
        <f t="shared" si="631"/>
        <v/>
      </c>
      <c r="Q839" s="91" t="str">
        <f t="shared" si="621"/>
        <v/>
      </c>
      <c r="R839" s="91" t="str">
        <f t="shared" si="624"/>
        <v/>
      </c>
      <c r="S839" s="92" t="str">
        <f t="shared" si="622"/>
        <v/>
      </c>
      <c r="T839" s="93"/>
      <c r="U839" s="94" t="str">
        <f t="shared" si="626"/>
        <v/>
      </c>
      <c r="X839" s="96"/>
      <c r="Y839" s="97" t="str">
        <f t="shared" si="628"/>
        <v/>
      </c>
      <c r="Z839" s="98" t="str">
        <f>SUBSTITUTE('Digitas UK Task 26'!$O839, "Complet", "Not Requir")</f>
        <v/>
      </c>
      <c r="AA839" s="98" t="str">
        <f t="shared" si="627"/>
        <v/>
      </c>
      <c r="AB839" s="99"/>
      <c r="AF839" s="84" t="str">
        <f t="shared" si="623"/>
        <v/>
      </c>
      <c r="AH839" s="84" t="str">
        <f t="shared" si="629"/>
        <v/>
      </c>
      <c r="AI839" s="84" t="str">
        <f t="shared" si="630"/>
        <v/>
      </c>
    </row>
    <row r="840" spans="1:35" ht="15.75" customHeight="1" x14ac:dyDescent="0.3">
      <c r="A840" s="85" t="str">
        <f t="shared" si="625"/>
        <v/>
      </c>
      <c r="C840" s="87"/>
      <c r="E840" s="87"/>
      <c r="H840" s="87"/>
      <c r="I840" s="87"/>
      <c r="O840" s="90" t="str">
        <f t="shared" si="631"/>
        <v/>
      </c>
      <c r="Q840" s="91" t="str">
        <f t="shared" si="621"/>
        <v/>
      </c>
      <c r="R840" s="91" t="str">
        <f t="shared" si="624"/>
        <v/>
      </c>
      <c r="S840" s="92" t="str">
        <f t="shared" si="622"/>
        <v/>
      </c>
      <c r="T840" s="93"/>
      <c r="U840" s="94" t="str">
        <f t="shared" si="626"/>
        <v/>
      </c>
      <c r="X840" s="96"/>
      <c r="Y840" s="97" t="str">
        <f t="shared" si="628"/>
        <v/>
      </c>
      <c r="Z840" s="98" t="str">
        <f>SUBSTITUTE('Digitas UK Task 26'!$O840, "Complet", "Not Requir")</f>
        <v/>
      </c>
      <c r="AA840" s="98" t="str">
        <f t="shared" si="627"/>
        <v/>
      </c>
      <c r="AB840" s="99"/>
      <c r="AF840" s="84" t="str">
        <f t="shared" si="623"/>
        <v/>
      </c>
      <c r="AH840" s="84" t="str">
        <f t="shared" si="629"/>
        <v/>
      </c>
      <c r="AI840" s="84" t="str">
        <f t="shared" si="630"/>
        <v/>
      </c>
    </row>
    <row r="841" spans="1:35" ht="15.75" customHeight="1" x14ac:dyDescent="0.3">
      <c r="A841" s="85" t="str">
        <f t="shared" si="625"/>
        <v/>
      </c>
      <c r="C841" s="87"/>
      <c r="E841" s="87"/>
      <c r="H841" s="87"/>
      <c r="I841" s="87"/>
      <c r="O841" s="90" t="str">
        <f t="shared" si="631"/>
        <v/>
      </c>
      <c r="Q841" s="91" t="str">
        <f t="shared" si="621"/>
        <v/>
      </c>
      <c r="R841" s="91" t="str">
        <f t="shared" si="624"/>
        <v/>
      </c>
      <c r="S841" s="92" t="str">
        <f t="shared" si="622"/>
        <v/>
      </c>
      <c r="T841" s="93"/>
      <c r="U841" s="94" t="str">
        <f t="shared" si="626"/>
        <v/>
      </c>
      <c r="X841" s="96"/>
      <c r="Y841" s="97" t="str">
        <f t="shared" si="628"/>
        <v/>
      </c>
      <c r="Z841" s="98" t="str">
        <f>SUBSTITUTE('Digitas UK Task 26'!$O841, "Complet", "Not Requir")</f>
        <v/>
      </c>
      <c r="AA841" s="98" t="str">
        <f t="shared" si="627"/>
        <v/>
      </c>
      <c r="AB841" s="99"/>
      <c r="AF841" s="84" t="str">
        <f t="shared" si="623"/>
        <v/>
      </c>
      <c r="AH841" s="84" t="str">
        <f t="shared" si="629"/>
        <v/>
      </c>
      <c r="AI841" s="84" t="str">
        <f t="shared" si="630"/>
        <v/>
      </c>
    </row>
    <row r="842" spans="1:35" ht="15.75" customHeight="1" x14ac:dyDescent="0.3">
      <c r="A842" s="85" t="str">
        <f t="shared" si="625"/>
        <v/>
      </c>
      <c r="C842" s="87"/>
      <c r="E842" s="87"/>
      <c r="H842" s="87"/>
      <c r="I842" s="87"/>
      <c r="O842" s="90" t="str">
        <f t="shared" si="631"/>
        <v/>
      </c>
      <c r="Q842" s="91" t="str">
        <f t="shared" si="621"/>
        <v/>
      </c>
      <c r="R842" s="91" t="str">
        <f t="shared" si="624"/>
        <v/>
      </c>
      <c r="S842" s="92" t="str">
        <f t="shared" si="622"/>
        <v/>
      </c>
      <c r="T842" s="93"/>
      <c r="U842" s="94" t="str">
        <f t="shared" si="626"/>
        <v/>
      </c>
      <c r="X842" s="96"/>
      <c r="Y842" s="97" t="str">
        <f t="shared" si="628"/>
        <v/>
      </c>
      <c r="Z842" s="98" t="str">
        <f>SUBSTITUTE('Digitas UK Task 26'!$O842, "Complet", "Not Requir")</f>
        <v/>
      </c>
      <c r="AA842" s="98" t="str">
        <f t="shared" si="627"/>
        <v/>
      </c>
      <c r="AB842" s="99"/>
      <c r="AF842" s="84" t="str">
        <f t="shared" si="623"/>
        <v/>
      </c>
      <c r="AH842" s="84" t="str">
        <f t="shared" si="629"/>
        <v/>
      </c>
      <c r="AI842" s="84" t="str">
        <f t="shared" si="630"/>
        <v/>
      </c>
    </row>
    <row r="843" spans="1:35" ht="15.75" customHeight="1" x14ac:dyDescent="0.3">
      <c r="A843" s="85" t="str">
        <f t="shared" si="625"/>
        <v/>
      </c>
      <c r="C843" s="87"/>
      <c r="E843" s="87"/>
      <c r="H843" s="87"/>
      <c r="I843" s="87"/>
      <c r="O843" s="90" t="str">
        <f t="shared" si="631"/>
        <v/>
      </c>
      <c r="Q843" s="91" t="str">
        <f t="shared" si="621"/>
        <v/>
      </c>
      <c r="R843" s="91" t="str">
        <f t="shared" si="624"/>
        <v/>
      </c>
      <c r="S843" s="92" t="str">
        <f t="shared" si="622"/>
        <v/>
      </c>
      <c r="T843" s="93"/>
      <c r="U843" s="94" t="str">
        <f t="shared" si="626"/>
        <v/>
      </c>
      <c r="X843" s="96"/>
      <c r="Y843" s="97" t="str">
        <f t="shared" si="628"/>
        <v/>
      </c>
      <c r="Z843" s="98" t="str">
        <f>SUBSTITUTE('Digitas UK Task 26'!$O843, "Complet", "Not Requir")</f>
        <v/>
      </c>
      <c r="AA843" s="98" t="str">
        <f t="shared" si="627"/>
        <v/>
      </c>
      <c r="AB843" s="99"/>
      <c r="AF843" s="84" t="str">
        <f t="shared" si="623"/>
        <v/>
      </c>
      <c r="AH843" s="84" t="str">
        <f t="shared" si="629"/>
        <v/>
      </c>
      <c r="AI843" s="84" t="str">
        <f t="shared" si="630"/>
        <v/>
      </c>
    </row>
    <row r="844" spans="1:35" ht="15.75" customHeight="1" x14ac:dyDescent="0.3">
      <c r="A844" s="85" t="str">
        <f t="shared" si="625"/>
        <v/>
      </c>
      <c r="C844" s="87"/>
      <c r="E844" s="87"/>
      <c r="H844" s="87"/>
      <c r="I844" s="87"/>
      <c r="O844" s="90" t="str">
        <f t="shared" si="631"/>
        <v/>
      </c>
      <c r="Q844" s="91" t="str">
        <f t="shared" si="621"/>
        <v/>
      </c>
      <c r="R844" s="91" t="str">
        <f t="shared" si="624"/>
        <v/>
      </c>
      <c r="S844" s="92" t="str">
        <f t="shared" si="622"/>
        <v/>
      </c>
      <c r="T844" s="93"/>
      <c r="U844" s="94" t="str">
        <f t="shared" si="626"/>
        <v/>
      </c>
      <c r="X844" s="96"/>
      <c r="Y844" s="97" t="str">
        <f t="shared" si="628"/>
        <v/>
      </c>
      <c r="Z844" s="98" t="str">
        <f>SUBSTITUTE('Digitas UK Task 26'!$O844, "Complet", "Not Requir")</f>
        <v/>
      </c>
      <c r="AA844" s="98" t="str">
        <f t="shared" si="627"/>
        <v/>
      </c>
      <c r="AB844" s="99"/>
      <c r="AF844" s="84" t="str">
        <f t="shared" si="623"/>
        <v/>
      </c>
      <c r="AH844" s="84" t="str">
        <f t="shared" si="629"/>
        <v/>
      </c>
      <c r="AI844" s="84" t="str">
        <f t="shared" si="630"/>
        <v/>
      </c>
    </row>
    <row r="845" spans="1:35" ht="15.75" customHeight="1" x14ac:dyDescent="0.3">
      <c r="A845" s="85" t="str">
        <f t="shared" si="625"/>
        <v/>
      </c>
      <c r="C845" s="87"/>
      <c r="E845" s="87"/>
      <c r="H845" s="87"/>
      <c r="I845" s="87"/>
      <c r="O845" s="90" t="str">
        <f t="shared" si="631"/>
        <v/>
      </c>
      <c r="Q845" s="91" t="str">
        <f t="shared" si="621"/>
        <v/>
      </c>
      <c r="R845" s="91" t="str">
        <f t="shared" si="624"/>
        <v/>
      </c>
      <c r="S845" s="92" t="str">
        <f t="shared" si="622"/>
        <v/>
      </c>
      <c r="T845" s="93"/>
      <c r="U845" s="94" t="str">
        <f t="shared" si="626"/>
        <v/>
      </c>
      <c r="X845" s="96"/>
      <c r="Y845" s="97" t="str">
        <f t="shared" si="628"/>
        <v/>
      </c>
      <c r="Z845" s="98" t="str">
        <f>SUBSTITUTE('Digitas UK Task 26'!$O845, "Complet", "Not Requir")</f>
        <v/>
      </c>
      <c r="AA845" s="98" t="str">
        <f t="shared" si="627"/>
        <v/>
      </c>
      <c r="AB845" s="99"/>
      <c r="AF845" s="84" t="str">
        <f t="shared" si="623"/>
        <v/>
      </c>
      <c r="AH845" s="84" t="str">
        <f t="shared" si="629"/>
        <v/>
      </c>
      <c r="AI845" s="84" t="str">
        <f t="shared" si="630"/>
        <v/>
      </c>
    </row>
    <row r="846" spans="1:35" ht="15.75" customHeight="1" x14ac:dyDescent="0.3">
      <c r="A846" s="85" t="str">
        <f t="shared" si="625"/>
        <v/>
      </c>
      <c r="C846" s="87"/>
      <c r="E846" s="87"/>
      <c r="H846" s="87"/>
      <c r="I846" s="87"/>
      <c r="O846" s="90" t="str">
        <f t="shared" si="631"/>
        <v/>
      </c>
      <c r="Q846" s="91" t="str">
        <f t="shared" si="621"/>
        <v/>
      </c>
      <c r="R846" s="91" t="str">
        <f t="shared" si="624"/>
        <v/>
      </c>
      <c r="S846" s="92" t="str">
        <f t="shared" si="622"/>
        <v/>
      </c>
      <c r="T846" s="93"/>
      <c r="U846" s="94" t="str">
        <f t="shared" si="626"/>
        <v/>
      </c>
      <c r="X846" s="96"/>
      <c r="Y846" s="97" t="str">
        <f t="shared" si="628"/>
        <v/>
      </c>
      <c r="Z846" s="98" t="str">
        <f>SUBSTITUTE('Digitas UK Task 26'!$O846, "Complet", "Not Requir")</f>
        <v/>
      </c>
      <c r="AA846" s="98" t="str">
        <f t="shared" si="627"/>
        <v/>
      </c>
      <c r="AB846" s="99"/>
      <c r="AF846" s="84" t="str">
        <f t="shared" si="623"/>
        <v/>
      </c>
      <c r="AH846" s="84" t="str">
        <f t="shared" si="629"/>
        <v/>
      </c>
      <c r="AI846" s="84" t="str">
        <f t="shared" si="630"/>
        <v/>
      </c>
    </row>
    <row r="847" spans="1:35" ht="15.75" customHeight="1" x14ac:dyDescent="0.3">
      <c r="A847" s="85" t="str">
        <f t="shared" si="625"/>
        <v/>
      </c>
      <c r="C847" s="87"/>
      <c r="E847" s="87"/>
      <c r="H847" s="87"/>
      <c r="I847" s="87"/>
      <c r="O847" s="90" t="str">
        <f t="shared" si="631"/>
        <v/>
      </c>
      <c r="Q847" s="91" t="str">
        <f t="shared" ref="Q847:Q910" si="632">IF(B847="","",WEEKNUM(B847))</f>
        <v/>
      </c>
      <c r="R847" s="91" t="str">
        <f t="shared" si="624"/>
        <v/>
      </c>
      <c r="S847" s="92" t="str">
        <f t="shared" ref="S847:S910" si="633">IF(B847="","",TEXT(B847,"DDDD"))</f>
        <v/>
      </c>
      <c r="T847" s="93"/>
      <c r="U847" s="94" t="str">
        <f t="shared" si="626"/>
        <v/>
      </c>
      <c r="X847" s="96"/>
      <c r="Y847" s="97" t="str">
        <f t="shared" si="628"/>
        <v/>
      </c>
      <c r="Z847" s="98" t="str">
        <f>SUBSTITUTE('Digitas UK Task 26'!$O847, "Complet", "Not Requir")</f>
        <v/>
      </c>
      <c r="AA847" s="98" t="str">
        <f t="shared" si="627"/>
        <v/>
      </c>
      <c r="AB847" s="99"/>
      <c r="AF847" s="84" t="str">
        <f t="shared" si="623"/>
        <v/>
      </c>
      <c r="AH847" s="84" t="str">
        <f t="shared" si="629"/>
        <v/>
      </c>
      <c r="AI847" s="84" t="str">
        <f t="shared" si="630"/>
        <v/>
      </c>
    </row>
    <row r="848" spans="1:35" ht="15.75" customHeight="1" x14ac:dyDescent="0.3">
      <c r="A848" s="85" t="str">
        <f t="shared" si="625"/>
        <v/>
      </c>
      <c r="C848" s="87"/>
      <c r="E848" s="87"/>
      <c r="H848" s="87"/>
      <c r="I848" s="87"/>
      <c r="O848" s="90" t="str">
        <f t="shared" si="631"/>
        <v/>
      </c>
      <c r="Q848" s="91" t="str">
        <f t="shared" si="632"/>
        <v/>
      </c>
      <c r="R848" s="91" t="str">
        <f t="shared" si="624"/>
        <v/>
      </c>
      <c r="S848" s="92" t="str">
        <f t="shared" si="633"/>
        <v/>
      </c>
      <c r="T848" s="93"/>
      <c r="U848" s="94" t="str">
        <f t="shared" si="626"/>
        <v/>
      </c>
      <c r="X848" s="96"/>
      <c r="Y848" s="97" t="str">
        <f t="shared" si="628"/>
        <v/>
      </c>
      <c r="Z848" s="98" t="str">
        <f>SUBSTITUTE('Digitas UK Task 26'!$O848, "Complet", "Not Requir")</f>
        <v/>
      </c>
      <c r="AA848" s="98" t="str">
        <f t="shared" si="627"/>
        <v/>
      </c>
      <c r="AB848" s="99"/>
      <c r="AF848" s="84" t="str">
        <f t="shared" si="623"/>
        <v/>
      </c>
      <c r="AH848" s="84" t="str">
        <f t="shared" si="629"/>
        <v/>
      </c>
      <c r="AI848" s="84" t="str">
        <f t="shared" si="630"/>
        <v/>
      </c>
    </row>
    <row r="849" spans="1:35" ht="15.75" customHeight="1" x14ac:dyDescent="0.3">
      <c r="A849" s="85" t="str">
        <f t="shared" si="625"/>
        <v/>
      </c>
      <c r="C849" s="87"/>
      <c r="E849" s="87"/>
      <c r="H849" s="87"/>
      <c r="I849" s="87"/>
      <c r="O849" s="90" t="str">
        <f t="shared" si="631"/>
        <v/>
      </c>
      <c r="Q849" s="91" t="str">
        <f t="shared" si="632"/>
        <v/>
      </c>
      <c r="R849" s="91" t="str">
        <f t="shared" si="624"/>
        <v/>
      </c>
      <c r="S849" s="92" t="str">
        <f t="shared" si="633"/>
        <v/>
      </c>
      <c r="T849" s="93"/>
      <c r="U849" s="94" t="str">
        <f t="shared" si="626"/>
        <v/>
      </c>
      <c r="X849" s="96"/>
      <c r="Y849" s="97" t="str">
        <f t="shared" si="628"/>
        <v/>
      </c>
      <c r="Z849" s="98" t="str">
        <f>SUBSTITUTE('Digitas UK Task 26'!$O849, "Complet", "Not Requir")</f>
        <v/>
      </c>
      <c r="AA849" s="98" t="str">
        <f t="shared" si="627"/>
        <v/>
      </c>
      <c r="AB849" s="99"/>
      <c r="AF849" s="84" t="str">
        <f t="shared" si="623"/>
        <v/>
      </c>
      <c r="AH849" s="84" t="str">
        <f t="shared" si="629"/>
        <v/>
      </c>
      <c r="AI849" s="84" t="str">
        <f t="shared" si="630"/>
        <v/>
      </c>
    </row>
    <row r="850" spans="1:35" ht="15.75" customHeight="1" x14ac:dyDescent="0.3">
      <c r="A850" s="85" t="str">
        <f t="shared" si="625"/>
        <v/>
      </c>
      <c r="C850" s="87"/>
      <c r="E850" s="87"/>
      <c r="H850" s="87"/>
      <c r="I850" s="87"/>
      <c r="O850" s="90" t="str">
        <f t="shared" si="631"/>
        <v/>
      </c>
      <c r="Q850" s="91" t="str">
        <f t="shared" si="632"/>
        <v/>
      </c>
      <c r="R850" s="91" t="str">
        <f t="shared" si="624"/>
        <v/>
      </c>
      <c r="S850" s="92" t="str">
        <f t="shared" si="633"/>
        <v/>
      </c>
      <c r="T850" s="93"/>
      <c r="U850" s="94" t="str">
        <f t="shared" si="626"/>
        <v/>
      </c>
      <c r="X850" s="96"/>
      <c r="Y850" s="97" t="str">
        <f t="shared" si="628"/>
        <v/>
      </c>
      <c r="Z850" s="98" t="str">
        <f>SUBSTITUTE('Digitas UK Task 26'!$O850, "Complet", "Not Requir")</f>
        <v/>
      </c>
      <c r="AA850" s="98" t="str">
        <f t="shared" si="627"/>
        <v/>
      </c>
      <c r="AB850" s="99"/>
      <c r="AF850" s="84" t="str">
        <f t="shared" si="623"/>
        <v/>
      </c>
      <c r="AH850" s="84" t="str">
        <f t="shared" si="629"/>
        <v/>
      </c>
      <c r="AI850" s="84" t="str">
        <f t="shared" si="630"/>
        <v/>
      </c>
    </row>
    <row r="851" spans="1:35" ht="15.75" customHeight="1" x14ac:dyDescent="0.3">
      <c r="A851" s="85" t="str">
        <f t="shared" si="625"/>
        <v/>
      </c>
      <c r="C851" s="87"/>
      <c r="E851" s="87"/>
      <c r="H851" s="87"/>
      <c r="I851" s="87"/>
      <c r="O851" s="90" t="str">
        <f t="shared" si="631"/>
        <v/>
      </c>
      <c r="Q851" s="91" t="str">
        <f t="shared" si="632"/>
        <v/>
      </c>
      <c r="R851" s="91" t="str">
        <f t="shared" si="624"/>
        <v/>
      </c>
      <c r="S851" s="92" t="str">
        <f t="shared" si="633"/>
        <v/>
      </c>
      <c r="T851" s="93"/>
      <c r="U851" s="94" t="str">
        <f t="shared" si="626"/>
        <v/>
      </c>
      <c r="X851" s="96"/>
      <c r="Y851" s="97" t="str">
        <f t="shared" si="628"/>
        <v/>
      </c>
      <c r="Z851" s="98" t="str">
        <f>SUBSTITUTE('Digitas UK Task 26'!$O851, "Complet", "Not Requir")</f>
        <v/>
      </c>
      <c r="AA851" s="98" t="str">
        <f t="shared" si="627"/>
        <v/>
      </c>
      <c r="AB851" s="99"/>
      <c r="AF851" s="84" t="str">
        <f t="shared" si="623"/>
        <v/>
      </c>
      <c r="AH851" s="84" t="str">
        <f t="shared" si="629"/>
        <v/>
      </c>
      <c r="AI851" s="84" t="str">
        <f t="shared" si="630"/>
        <v/>
      </c>
    </row>
    <row r="852" spans="1:35" ht="15.75" customHeight="1" x14ac:dyDescent="0.3">
      <c r="A852" s="85" t="str">
        <f t="shared" si="625"/>
        <v/>
      </c>
      <c r="C852" s="87"/>
      <c r="E852" s="87"/>
      <c r="H852" s="87"/>
      <c r="I852" s="87"/>
      <c r="O852" s="90" t="str">
        <f t="shared" si="631"/>
        <v/>
      </c>
      <c r="Q852" s="91" t="str">
        <f t="shared" si="632"/>
        <v/>
      </c>
      <c r="R852" s="91" t="str">
        <f t="shared" si="624"/>
        <v/>
      </c>
      <c r="S852" s="92" t="str">
        <f t="shared" si="633"/>
        <v/>
      </c>
      <c r="T852" s="93"/>
      <c r="U852" s="94" t="str">
        <f t="shared" si="626"/>
        <v/>
      </c>
      <c r="X852" s="96"/>
      <c r="Y852" s="97" t="str">
        <f t="shared" si="628"/>
        <v/>
      </c>
      <c r="Z852" s="98" t="str">
        <f>SUBSTITUTE('Digitas UK Task 26'!$O852, "Complet", "Not Requir")</f>
        <v/>
      </c>
      <c r="AA852" s="98" t="str">
        <f t="shared" si="627"/>
        <v/>
      </c>
      <c r="AB852" s="99"/>
      <c r="AF852" s="84" t="str">
        <f t="shared" si="623"/>
        <v/>
      </c>
      <c r="AH852" s="84" t="str">
        <f t="shared" si="629"/>
        <v/>
      </c>
      <c r="AI852" s="84" t="str">
        <f t="shared" si="630"/>
        <v/>
      </c>
    </row>
    <row r="853" spans="1:35" ht="15.75" customHeight="1" x14ac:dyDescent="0.3">
      <c r="A853" s="85" t="str">
        <f t="shared" si="625"/>
        <v/>
      </c>
      <c r="C853" s="87"/>
      <c r="E853" s="87"/>
      <c r="H853" s="87"/>
      <c r="I853" s="87"/>
      <c r="O853" s="90" t="str">
        <f t="shared" si="631"/>
        <v/>
      </c>
      <c r="Q853" s="91" t="str">
        <f t="shared" si="632"/>
        <v/>
      </c>
      <c r="R853" s="91" t="str">
        <f t="shared" si="624"/>
        <v/>
      </c>
      <c r="S853" s="92" t="str">
        <f t="shared" si="633"/>
        <v/>
      </c>
      <c r="T853" s="93"/>
      <c r="U853" s="94" t="str">
        <f t="shared" si="626"/>
        <v/>
      </c>
      <c r="X853" s="96"/>
      <c r="Y853" s="97" t="str">
        <f t="shared" si="628"/>
        <v/>
      </c>
      <c r="Z853" s="98" t="str">
        <f>SUBSTITUTE('Digitas UK Task 26'!$O853, "Complet", "Not Requir")</f>
        <v/>
      </c>
      <c r="AA853" s="98" t="str">
        <f t="shared" si="627"/>
        <v/>
      </c>
      <c r="AB853" s="99"/>
      <c r="AF853" s="84" t="str">
        <f t="shared" ref="AF853:AF916" si="634">IF(AD853="","",WEEKNUM(AD853))</f>
        <v/>
      </c>
      <c r="AH853" s="84" t="str">
        <f t="shared" si="629"/>
        <v/>
      </c>
      <c r="AI853" s="84" t="str">
        <f t="shared" si="630"/>
        <v/>
      </c>
    </row>
    <row r="854" spans="1:35" ht="15.75" customHeight="1" x14ac:dyDescent="0.3">
      <c r="A854" s="85" t="str">
        <f t="shared" si="625"/>
        <v/>
      </c>
      <c r="C854" s="87"/>
      <c r="E854" s="87"/>
      <c r="H854" s="87"/>
      <c r="I854" s="87"/>
      <c r="O854" s="90" t="str">
        <f t="shared" si="631"/>
        <v/>
      </c>
      <c r="Q854" s="91" t="str">
        <f t="shared" si="632"/>
        <v/>
      </c>
      <c r="R854" s="91" t="str">
        <f t="shared" ref="R854:R917" si="635">IF(B854="","",TEXT(B854,"MMM"))</f>
        <v/>
      </c>
      <c r="S854" s="92" t="str">
        <f t="shared" si="633"/>
        <v/>
      </c>
      <c r="T854" s="93"/>
      <c r="U854" s="94" t="str">
        <f t="shared" si="626"/>
        <v/>
      </c>
      <c r="X854" s="96"/>
      <c r="Y854" s="97" t="str">
        <f t="shared" si="628"/>
        <v/>
      </c>
      <c r="Z854" s="98" t="str">
        <f>SUBSTITUTE('Digitas UK Task 26'!$O854, "Complet", "Not Requir")</f>
        <v/>
      </c>
      <c r="AA854" s="98" t="str">
        <f t="shared" si="627"/>
        <v/>
      </c>
      <c r="AB854" s="99"/>
      <c r="AF854" s="84" t="str">
        <f t="shared" si="634"/>
        <v/>
      </c>
      <c r="AH854" s="84" t="str">
        <f t="shared" si="629"/>
        <v/>
      </c>
      <c r="AI854" s="84" t="str">
        <f t="shared" si="630"/>
        <v/>
      </c>
    </row>
    <row r="855" spans="1:35" ht="15.75" customHeight="1" x14ac:dyDescent="0.3">
      <c r="A855" s="85" t="str">
        <f t="shared" si="625"/>
        <v/>
      </c>
      <c r="C855" s="87"/>
      <c r="E855" s="87"/>
      <c r="H855" s="87"/>
      <c r="I855" s="87"/>
      <c r="O855" s="90" t="str">
        <f t="shared" si="631"/>
        <v/>
      </c>
      <c r="Q855" s="91" t="str">
        <f t="shared" si="632"/>
        <v/>
      </c>
      <c r="R855" s="91" t="str">
        <f t="shared" si="635"/>
        <v/>
      </c>
      <c r="S855" s="92" t="str">
        <f t="shared" si="633"/>
        <v/>
      </c>
      <c r="T855" s="93"/>
      <c r="U855" s="94" t="str">
        <f t="shared" si="626"/>
        <v/>
      </c>
      <c r="X855" s="96"/>
      <c r="Y855" s="97" t="str">
        <f t="shared" si="628"/>
        <v/>
      </c>
      <c r="Z855" s="98" t="str">
        <f>SUBSTITUTE('Digitas UK Task 26'!$O855, "Complet", "Not Requir")</f>
        <v/>
      </c>
      <c r="AA855" s="98" t="str">
        <f t="shared" si="627"/>
        <v/>
      </c>
      <c r="AB855" s="99"/>
      <c r="AF855" s="84" t="str">
        <f t="shared" si="634"/>
        <v/>
      </c>
      <c r="AH855" s="84" t="str">
        <f t="shared" si="629"/>
        <v/>
      </c>
      <c r="AI855" s="84" t="str">
        <f t="shared" si="630"/>
        <v/>
      </c>
    </row>
    <row r="856" spans="1:35" ht="15.75" customHeight="1" x14ac:dyDescent="0.3">
      <c r="A856" s="85" t="str">
        <f t="shared" si="625"/>
        <v/>
      </c>
      <c r="C856" s="87"/>
      <c r="E856" s="87"/>
      <c r="H856" s="87"/>
      <c r="I856" s="87"/>
      <c r="O856" s="90" t="str">
        <f t="shared" si="631"/>
        <v/>
      </c>
      <c r="Q856" s="91" t="str">
        <f t="shared" si="632"/>
        <v/>
      </c>
      <c r="R856" s="91" t="str">
        <f t="shared" si="635"/>
        <v/>
      </c>
      <c r="S856" s="92" t="str">
        <f t="shared" si="633"/>
        <v/>
      </c>
      <c r="T856" s="93"/>
      <c r="U856" s="94" t="str">
        <f t="shared" si="626"/>
        <v/>
      </c>
      <c r="X856" s="96"/>
      <c r="Y856" s="97" t="str">
        <f t="shared" si="628"/>
        <v/>
      </c>
      <c r="Z856" s="98" t="str">
        <f>SUBSTITUTE('Digitas UK Task 26'!$O856, "Complet", "Not Requir")</f>
        <v/>
      </c>
      <c r="AA856" s="98" t="str">
        <f t="shared" si="627"/>
        <v/>
      </c>
      <c r="AB856" s="99"/>
      <c r="AF856" s="84" t="str">
        <f t="shared" si="634"/>
        <v/>
      </c>
      <c r="AH856" s="84" t="str">
        <f t="shared" si="629"/>
        <v/>
      </c>
      <c r="AI856" s="84" t="str">
        <f t="shared" si="630"/>
        <v/>
      </c>
    </row>
    <row r="857" spans="1:35" ht="15.75" customHeight="1" x14ac:dyDescent="0.3">
      <c r="A857" s="85" t="str">
        <f t="shared" si="625"/>
        <v/>
      </c>
      <c r="C857" s="87"/>
      <c r="E857" s="87"/>
      <c r="H857" s="87"/>
      <c r="I857" s="87"/>
      <c r="O857" s="90" t="str">
        <f t="shared" si="631"/>
        <v/>
      </c>
      <c r="Q857" s="91" t="str">
        <f t="shared" si="632"/>
        <v/>
      </c>
      <c r="R857" s="91" t="str">
        <f t="shared" si="635"/>
        <v/>
      </c>
      <c r="S857" s="92" t="str">
        <f t="shared" si="633"/>
        <v/>
      </c>
      <c r="T857" s="93"/>
      <c r="U857" s="94" t="str">
        <f t="shared" si="626"/>
        <v/>
      </c>
      <c r="X857" s="96"/>
      <c r="Y857" s="97" t="str">
        <f t="shared" si="628"/>
        <v/>
      </c>
      <c r="Z857" s="98" t="str">
        <f>SUBSTITUTE('Digitas UK Task 26'!$O857, "Complet", "Not Requir")</f>
        <v/>
      </c>
      <c r="AA857" s="98" t="str">
        <f t="shared" si="627"/>
        <v/>
      </c>
      <c r="AB857" s="99"/>
      <c r="AF857" s="84" t="str">
        <f t="shared" si="634"/>
        <v/>
      </c>
      <c r="AH857" s="84" t="str">
        <f t="shared" si="629"/>
        <v/>
      </c>
      <c r="AI857" s="84" t="str">
        <f t="shared" si="630"/>
        <v/>
      </c>
    </row>
    <row r="858" spans="1:35" ht="15.75" customHeight="1" x14ac:dyDescent="0.3">
      <c r="A858" s="85" t="str">
        <f t="shared" si="625"/>
        <v/>
      </c>
      <c r="C858" s="87"/>
      <c r="E858" s="87"/>
      <c r="H858" s="87"/>
      <c r="I858" s="87"/>
      <c r="O858" s="90" t="str">
        <f t="shared" si="631"/>
        <v/>
      </c>
      <c r="Q858" s="91" t="str">
        <f t="shared" si="632"/>
        <v/>
      </c>
      <c r="R858" s="91" t="str">
        <f t="shared" si="635"/>
        <v/>
      </c>
      <c r="S858" s="92" t="str">
        <f t="shared" si="633"/>
        <v/>
      </c>
      <c r="T858" s="93"/>
      <c r="U858" s="94" t="str">
        <f t="shared" si="626"/>
        <v/>
      </c>
      <c r="X858" s="96"/>
      <c r="Y858" s="97" t="str">
        <f t="shared" si="628"/>
        <v/>
      </c>
      <c r="Z858" s="98" t="str">
        <f>SUBSTITUTE('Digitas UK Task 26'!$O858, "Complet", "Not Requir")</f>
        <v/>
      </c>
      <c r="AA858" s="98" t="str">
        <f t="shared" si="627"/>
        <v/>
      </c>
      <c r="AB858" s="99"/>
      <c r="AF858" s="84" t="str">
        <f t="shared" si="634"/>
        <v/>
      </c>
      <c r="AH858" s="84" t="str">
        <f t="shared" si="629"/>
        <v/>
      </c>
      <c r="AI858" s="84" t="str">
        <f t="shared" si="630"/>
        <v/>
      </c>
    </row>
    <row r="859" spans="1:35" ht="15.75" customHeight="1" x14ac:dyDescent="0.3">
      <c r="A859" s="85" t="str">
        <f t="shared" si="625"/>
        <v/>
      </c>
      <c r="C859" s="87"/>
      <c r="E859" s="87"/>
      <c r="H859" s="87"/>
      <c r="I859" s="87"/>
      <c r="O859" s="90" t="str">
        <f t="shared" si="631"/>
        <v/>
      </c>
      <c r="Q859" s="91" t="str">
        <f t="shared" si="632"/>
        <v/>
      </c>
      <c r="R859" s="91" t="str">
        <f t="shared" si="635"/>
        <v/>
      </c>
      <c r="S859" s="92" t="str">
        <f t="shared" si="633"/>
        <v/>
      </c>
      <c r="T859" s="93"/>
      <c r="U859" s="94" t="str">
        <f t="shared" si="626"/>
        <v/>
      </c>
      <c r="X859" s="96"/>
      <c r="Y859" s="97" t="str">
        <f t="shared" si="628"/>
        <v/>
      </c>
      <c r="Z859" s="98" t="str">
        <f>SUBSTITUTE('Digitas UK Task 26'!$O859, "Complet", "Not Requir")</f>
        <v/>
      </c>
      <c r="AA859" s="98" t="str">
        <f t="shared" si="627"/>
        <v/>
      </c>
      <c r="AB859" s="99"/>
      <c r="AF859" s="84" t="str">
        <f t="shared" si="634"/>
        <v/>
      </c>
      <c r="AH859" s="84" t="str">
        <f t="shared" si="629"/>
        <v/>
      </c>
      <c r="AI859" s="84" t="str">
        <f t="shared" si="630"/>
        <v/>
      </c>
    </row>
    <row r="860" spans="1:35" ht="15.75" customHeight="1" x14ac:dyDescent="0.3">
      <c r="A860" s="85" t="str">
        <f t="shared" si="625"/>
        <v/>
      </c>
      <c r="C860" s="87"/>
      <c r="E860" s="87"/>
      <c r="H860" s="87"/>
      <c r="I860" s="87"/>
      <c r="O860" s="90" t="str">
        <f t="shared" si="631"/>
        <v/>
      </c>
      <c r="Q860" s="91" t="str">
        <f t="shared" si="632"/>
        <v/>
      </c>
      <c r="R860" s="91" t="str">
        <f t="shared" si="635"/>
        <v/>
      </c>
      <c r="S860" s="92" t="str">
        <f t="shared" si="633"/>
        <v/>
      </c>
      <c r="T860" s="93"/>
      <c r="U860" s="94" t="str">
        <f t="shared" si="626"/>
        <v/>
      </c>
      <c r="X860" s="96"/>
      <c r="Y860" s="97" t="str">
        <f t="shared" si="628"/>
        <v/>
      </c>
      <c r="Z860" s="98" t="str">
        <f>SUBSTITUTE('Digitas UK Task 26'!$O860, "Complet", "Not Requir")</f>
        <v/>
      </c>
      <c r="AA860" s="98" t="str">
        <f t="shared" si="627"/>
        <v/>
      </c>
      <c r="AB860" s="99"/>
      <c r="AF860" s="84" t="str">
        <f t="shared" si="634"/>
        <v/>
      </c>
      <c r="AH860" s="84" t="str">
        <f t="shared" si="629"/>
        <v/>
      </c>
      <c r="AI860" s="84" t="str">
        <f t="shared" si="630"/>
        <v/>
      </c>
    </row>
    <row r="861" spans="1:35" ht="15.75" customHeight="1" x14ac:dyDescent="0.3">
      <c r="A861" s="85" t="str">
        <f t="shared" si="625"/>
        <v/>
      </c>
      <c r="C861" s="87"/>
      <c r="E861" s="87"/>
      <c r="H861" s="87"/>
      <c r="I861" s="87"/>
      <c r="O861" s="90" t="str">
        <f t="shared" si="631"/>
        <v/>
      </c>
      <c r="Q861" s="91" t="str">
        <f t="shared" si="632"/>
        <v/>
      </c>
      <c r="R861" s="91" t="str">
        <f t="shared" si="635"/>
        <v/>
      </c>
      <c r="S861" s="92" t="str">
        <f t="shared" si="633"/>
        <v/>
      </c>
      <c r="T861" s="93"/>
      <c r="U861" s="94" t="str">
        <f t="shared" si="626"/>
        <v/>
      </c>
      <c r="X861" s="96"/>
      <c r="Y861" s="97" t="str">
        <f t="shared" si="628"/>
        <v/>
      </c>
      <c r="Z861" s="98" t="str">
        <f>SUBSTITUTE('Digitas UK Task 26'!$O861, "Complet", "Not Requir")</f>
        <v/>
      </c>
      <c r="AA861" s="98" t="str">
        <f t="shared" si="627"/>
        <v/>
      </c>
      <c r="AB861" s="99"/>
      <c r="AF861" s="84" t="str">
        <f t="shared" si="634"/>
        <v/>
      </c>
      <c r="AH861" s="84" t="str">
        <f t="shared" si="629"/>
        <v/>
      </c>
      <c r="AI861" s="84" t="str">
        <f t="shared" si="630"/>
        <v/>
      </c>
    </row>
    <row r="862" spans="1:35" ht="15.75" customHeight="1" x14ac:dyDescent="0.3">
      <c r="A862" s="85" t="str">
        <f t="shared" si="625"/>
        <v/>
      </c>
      <c r="C862" s="87"/>
      <c r="E862" s="87"/>
      <c r="H862" s="87"/>
      <c r="I862" s="87"/>
      <c r="O862" s="90" t="str">
        <f t="shared" si="631"/>
        <v/>
      </c>
      <c r="Q862" s="91" t="str">
        <f t="shared" si="632"/>
        <v/>
      </c>
      <c r="R862" s="91" t="str">
        <f t="shared" si="635"/>
        <v/>
      </c>
      <c r="S862" s="92" t="str">
        <f t="shared" si="633"/>
        <v/>
      </c>
      <c r="T862" s="93"/>
      <c r="U862" s="94" t="str">
        <f t="shared" si="626"/>
        <v/>
      </c>
      <c r="X862" s="96"/>
      <c r="Y862" s="97" t="str">
        <f t="shared" si="628"/>
        <v/>
      </c>
      <c r="Z862" s="98" t="str">
        <f>SUBSTITUTE('Digitas UK Task 26'!$O862, "Complet", "Not Requir")</f>
        <v/>
      </c>
      <c r="AA862" s="98" t="str">
        <f t="shared" si="627"/>
        <v/>
      </c>
      <c r="AB862" s="99"/>
      <c r="AF862" s="84" t="str">
        <f t="shared" si="634"/>
        <v/>
      </c>
      <c r="AH862" s="84" t="str">
        <f t="shared" si="629"/>
        <v/>
      </c>
      <c r="AI862" s="84" t="str">
        <f t="shared" si="630"/>
        <v/>
      </c>
    </row>
    <row r="863" spans="1:35" ht="15.75" customHeight="1" x14ac:dyDescent="0.3">
      <c r="A863" s="85" t="str">
        <f t="shared" si="625"/>
        <v/>
      </c>
      <c r="C863" s="87"/>
      <c r="E863" s="87"/>
      <c r="H863" s="87"/>
      <c r="I863" s="87"/>
      <c r="O863" s="90" t="str">
        <f t="shared" si="631"/>
        <v/>
      </c>
      <c r="Q863" s="91" t="str">
        <f t="shared" si="632"/>
        <v/>
      </c>
      <c r="R863" s="91" t="str">
        <f t="shared" si="635"/>
        <v/>
      </c>
      <c r="S863" s="92" t="str">
        <f t="shared" si="633"/>
        <v/>
      </c>
      <c r="T863" s="93"/>
      <c r="U863" s="94" t="str">
        <f t="shared" si="626"/>
        <v/>
      </c>
      <c r="X863" s="96"/>
      <c r="Y863" s="97" t="str">
        <f t="shared" si="628"/>
        <v/>
      </c>
      <c r="Z863" s="98" t="str">
        <f>SUBSTITUTE('Digitas UK Task 26'!$O863, "Complet", "Not Requir")</f>
        <v/>
      </c>
      <c r="AA863" s="98" t="str">
        <f t="shared" si="627"/>
        <v/>
      </c>
      <c r="AB863" s="99"/>
      <c r="AF863" s="84" t="str">
        <f t="shared" si="634"/>
        <v/>
      </c>
      <c r="AH863" s="84" t="str">
        <f t="shared" si="629"/>
        <v/>
      </c>
      <c r="AI863" s="84" t="str">
        <f t="shared" si="630"/>
        <v/>
      </c>
    </row>
    <row r="864" spans="1:35" ht="15.75" customHeight="1" x14ac:dyDescent="0.3">
      <c r="A864" s="85" t="str">
        <f t="shared" si="625"/>
        <v/>
      </c>
      <c r="C864" s="87"/>
      <c r="E864" s="87"/>
      <c r="H864" s="87"/>
      <c r="I864" s="87"/>
      <c r="O864" s="90" t="str">
        <f t="shared" si="631"/>
        <v/>
      </c>
      <c r="Q864" s="91" t="str">
        <f t="shared" si="632"/>
        <v/>
      </c>
      <c r="R864" s="91" t="str">
        <f t="shared" si="635"/>
        <v/>
      </c>
      <c r="S864" s="92" t="str">
        <f t="shared" si="633"/>
        <v/>
      </c>
      <c r="T864" s="93"/>
      <c r="U864" s="94" t="str">
        <f t="shared" si="626"/>
        <v/>
      </c>
      <c r="X864" s="96"/>
      <c r="Y864" s="97" t="str">
        <f t="shared" si="628"/>
        <v/>
      </c>
      <c r="Z864" s="98" t="str">
        <f>SUBSTITUTE('Digitas UK Task 26'!$O864, "Complet", "Not Requir")</f>
        <v/>
      </c>
      <c r="AA864" s="98" t="str">
        <f t="shared" si="627"/>
        <v/>
      </c>
      <c r="AB864" s="99"/>
      <c r="AF864" s="84" t="str">
        <f t="shared" si="634"/>
        <v/>
      </c>
      <c r="AH864" s="84" t="str">
        <f t="shared" si="629"/>
        <v/>
      </c>
      <c r="AI864" s="84" t="str">
        <f t="shared" si="630"/>
        <v/>
      </c>
    </row>
    <row r="865" spans="1:35" ht="15.75" customHeight="1" x14ac:dyDescent="0.3">
      <c r="A865" s="85" t="str">
        <f t="shared" ref="A865:A928" si="636">IF(B865="","",TEXT(B865,"MMM : DDDD"))</f>
        <v/>
      </c>
      <c r="C865" s="87"/>
      <c r="E865" s="87"/>
      <c r="H865" s="87"/>
      <c r="I865" s="87"/>
      <c r="O865" s="90" t="str">
        <f t="shared" si="631"/>
        <v/>
      </c>
      <c r="Q865" s="91" t="str">
        <f t="shared" si="632"/>
        <v/>
      </c>
      <c r="R865" s="91" t="str">
        <f t="shared" si="635"/>
        <v/>
      </c>
      <c r="S865" s="92" t="str">
        <f t="shared" si="633"/>
        <v/>
      </c>
      <c r="T865" s="93"/>
      <c r="U865" s="94" t="str">
        <f t="shared" ref="U865:U928" si="637">IF(O865="Completed","Pending","")</f>
        <v/>
      </c>
      <c r="X865" s="96"/>
      <c r="Y865" s="97" t="str">
        <f t="shared" si="628"/>
        <v/>
      </c>
      <c r="Z865" s="98" t="str">
        <f>SUBSTITUTE('Digitas UK Task 26'!$O865, "Complet", "Not Requir")</f>
        <v/>
      </c>
      <c r="AA865" s="98" t="str">
        <f t="shared" ref="AA865:AA928" si="638">IF(G865="","",G865)</f>
        <v/>
      </c>
      <c r="AB865" s="99"/>
      <c r="AF865" s="84" t="str">
        <f t="shared" si="634"/>
        <v/>
      </c>
      <c r="AH865" s="84" t="str">
        <f t="shared" si="629"/>
        <v/>
      </c>
      <c r="AI865" s="84" t="str">
        <f t="shared" si="630"/>
        <v/>
      </c>
    </row>
    <row r="866" spans="1:35" ht="15.75" customHeight="1" x14ac:dyDescent="0.3">
      <c r="A866" s="85" t="str">
        <f t="shared" si="636"/>
        <v/>
      </c>
      <c r="C866" s="87"/>
      <c r="E866" s="87"/>
      <c r="H866" s="87"/>
      <c r="I866" s="87"/>
      <c r="O866" s="90" t="str">
        <f t="shared" si="631"/>
        <v/>
      </c>
      <c r="Q866" s="91" t="str">
        <f t="shared" si="632"/>
        <v/>
      </c>
      <c r="R866" s="91" t="str">
        <f t="shared" si="635"/>
        <v/>
      </c>
      <c r="S866" s="92" t="str">
        <f t="shared" si="633"/>
        <v/>
      </c>
      <c r="T866" s="93"/>
      <c r="U866" s="94" t="str">
        <f t="shared" si="637"/>
        <v/>
      </c>
      <c r="X866" s="96"/>
      <c r="Y866" s="97" t="str">
        <f t="shared" si="628"/>
        <v/>
      </c>
      <c r="Z866" s="98" t="str">
        <f>SUBSTITUTE('Digitas UK Task 26'!$O866, "Complet", "Not Requir")</f>
        <v/>
      </c>
      <c r="AA866" s="98" t="str">
        <f t="shared" si="638"/>
        <v/>
      </c>
      <c r="AB866" s="99"/>
      <c r="AF866" s="84" t="str">
        <f t="shared" si="634"/>
        <v/>
      </c>
      <c r="AH866" s="84" t="str">
        <f t="shared" si="629"/>
        <v/>
      </c>
      <c r="AI866" s="84" t="str">
        <f t="shared" si="630"/>
        <v/>
      </c>
    </row>
    <row r="867" spans="1:35" ht="15.75" customHeight="1" x14ac:dyDescent="0.3">
      <c r="A867" s="85" t="str">
        <f t="shared" si="636"/>
        <v/>
      </c>
      <c r="C867" s="87"/>
      <c r="E867" s="87"/>
      <c r="H867" s="87"/>
      <c r="I867" s="87"/>
      <c r="O867" s="90" t="str">
        <f t="shared" si="631"/>
        <v/>
      </c>
      <c r="Q867" s="91" t="str">
        <f t="shared" si="632"/>
        <v/>
      </c>
      <c r="R867" s="91" t="str">
        <f t="shared" si="635"/>
        <v/>
      </c>
      <c r="S867" s="92" t="str">
        <f t="shared" si="633"/>
        <v/>
      </c>
      <c r="T867" s="93"/>
      <c r="U867" s="94" t="str">
        <f t="shared" si="637"/>
        <v/>
      </c>
      <c r="X867" s="96"/>
      <c r="Y867" s="97" t="str">
        <f t="shared" si="628"/>
        <v/>
      </c>
      <c r="Z867" s="98" t="str">
        <f>SUBSTITUTE('Digitas UK Task 26'!$O867, "Complet", "Not Requir")</f>
        <v/>
      </c>
      <c r="AA867" s="98" t="str">
        <f t="shared" si="638"/>
        <v/>
      </c>
      <c r="AB867" s="99"/>
      <c r="AF867" s="84" t="str">
        <f t="shared" si="634"/>
        <v/>
      </c>
      <c r="AH867" s="84" t="str">
        <f t="shared" si="629"/>
        <v/>
      </c>
      <c r="AI867" s="84" t="str">
        <f t="shared" si="630"/>
        <v/>
      </c>
    </row>
    <row r="868" spans="1:35" ht="15.75" customHeight="1" x14ac:dyDescent="0.3">
      <c r="A868" s="85" t="str">
        <f t="shared" si="636"/>
        <v/>
      </c>
      <c r="C868" s="87"/>
      <c r="E868" s="87"/>
      <c r="H868" s="87"/>
      <c r="I868" s="87"/>
      <c r="O868" s="90" t="str">
        <f t="shared" si="631"/>
        <v/>
      </c>
      <c r="Q868" s="91" t="str">
        <f t="shared" si="632"/>
        <v/>
      </c>
      <c r="R868" s="91" t="str">
        <f t="shared" si="635"/>
        <v/>
      </c>
      <c r="S868" s="92" t="str">
        <f t="shared" si="633"/>
        <v/>
      </c>
      <c r="T868" s="93"/>
      <c r="U868" s="94" t="str">
        <f t="shared" si="637"/>
        <v/>
      </c>
      <c r="X868" s="96"/>
      <c r="Y868" s="97" t="str">
        <f t="shared" si="628"/>
        <v/>
      </c>
      <c r="Z868" s="98" t="str">
        <f>SUBSTITUTE('Digitas UK Task 26'!$O868, "Complet", "Not Requir")</f>
        <v/>
      </c>
      <c r="AA868" s="98" t="str">
        <f t="shared" si="638"/>
        <v/>
      </c>
      <c r="AB868" s="99"/>
      <c r="AF868" s="84" t="str">
        <f t="shared" si="634"/>
        <v/>
      </c>
      <c r="AH868" s="84" t="str">
        <f t="shared" si="629"/>
        <v/>
      </c>
      <c r="AI868" s="84" t="str">
        <f t="shared" si="630"/>
        <v/>
      </c>
    </row>
    <row r="869" spans="1:35" ht="15.75" customHeight="1" x14ac:dyDescent="0.3">
      <c r="A869" s="85" t="str">
        <f t="shared" si="636"/>
        <v/>
      </c>
      <c r="C869" s="87"/>
      <c r="E869" s="87"/>
      <c r="H869" s="87"/>
      <c r="I869" s="87"/>
      <c r="O869" s="90" t="str">
        <f t="shared" si="631"/>
        <v/>
      </c>
      <c r="Q869" s="91" t="str">
        <f t="shared" si="632"/>
        <v/>
      </c>
      <c r="R869" s="91" t="str">
        <f t="shared" si="635"/>
        <v/>
      </c>
      <c r="S869" s="92" t="str">
        <f t="shared" si="633"/>
        <v/>
      </c>
      <c r="T869" s="93"/>
      <c r="U869" s="94" t="str">
        <f t="shared" si="637"/>
        <v/>
      </c>
      <c r="X869" s="96"/>
      <c r="Y869" s="97" t="str">
        <f t="shared" si="628"/>
        <v/>
      </c>
      <c r="Z869" s="98" t="str">
        <f>SUBSTITUTE('Digitas UK Task 26'!$O869, "Complet", "Not Requir")</f>
        <v/>
      </c>
      <c r="AA869" s="98" t="str">
        <f t="shared" si="638"/>
        <v/>
      </c>
      <c r="AB869" s="99"/>
      <c r="AF869" s="84" t="str">
        <f t="shared" si="634"/>
        <v/>
      </c>
      <c r="AH869" s="84" t="str">
        <f t="shared" si="629"/>
        <v/>
      </c>
      <c r="AI869" s="84" t="str">
        <f t="shared" si="630"/>
        <v/>
      </c>
    </row>
    <row r="870" spans="1:35" ht="15.75" customHeight="1" x14ac:dyDescent="0.3">
      <c r="A870" s="85" t="str">
        <f t="shared" si="636"/>
        <v/>
      </c>
      <c r="C870" s="87"/>
      <c r="E870" s="87"/>
      <c r="H870" s="87"/>
      <c r="I870" s="87"/>
      <c r="O870" s="90" t="str">
        <f t="shared" si="631"/>
        <v/>
      </c>
      <c r="Q870" s="91" t="str">
        <f t="shared" si="632"/>
        <v/>
      </c>
      <c r="R870" s="91" t="str">
        <f t="shared" si="635"/>
        <v/>
      </c>
      <c r="S870" s="92" t="str">
        <f t="shared" si="633"/>
        <v/>
      </c>
      <c r="T870" s="93"/>
      <c r="U870" s="94" t="str">
        <f t="shared" si="637"/>
        <v/>
      </c>
      <c r="X870" s="96"/>
      <c r="Y870" s="97" t="str">
        <f t="shared" si="628"/>
        <v/>
      </c>
      <c r="Z870" s="98" t="str">
        <f>SUBSTITUTE('Digitas UK Task 26'!$O870, "Complet", "Not Requir")</f>
        <v/>
      </c>
      <c r="AA870" s="98" t="str">
        <f t="shared" si="638"/>
        <v/>
      </c>
      <c r="AB870" s="99"/>
      <c r="AF870" s="84" t="str">
        <f t="shared" si="634"/>
        <v/>
      </c>
      <c r="AH870" s="84" t="str">
        <f t="shared" si="629"/>
        <v/>
      </c>
      <c r="AI870" s="84" t="str">
        <f t="shared" si="630"/>
        <v/>
      </c>
    </row>
    <row r="871" spans="1:35" ht="15.75" customHeight="1" x14ac:dyDescent="0.3">
      <c r="A871" s="85" t="str">
        <f t="shared" si="636"/>
        <v/>
      </c>
      <c r="C871" s="87"/>
      <c r="E871" s="87"/>
      <c r="H871" s="87"/>
      <c r="I871" s="87"/>
      <c r="O871" s="90" t="str">
        <f t="shared" si="631"/>
        <v/>
      </c>
      <c r="Q871" s="91" t="str">
        <f t="shared" si="632"/>
        <v/>
      </c>
      <c r="R871" s="91" t="str">
        <f t="shared" si="635"/>
        <v/>
      </c>
      <c r="S871" s="92" t="str">
        <f t="shared" si="633"/>
        <v/>
      </c>
      <c r="T871" s="93"/>
      <c r="U871" s="94" t="str">
        <f t="shared" si="637"/>
        <v/>
      </c>
      <c r="X871" s="96"/>
      <c r="Y871" s="97" t="str">
        <f t="shared" ref="Y871:Y934" si="639">IF(M871="","",M871)</f>
        <v/>
      </c>
      <c r="Z871" s="98" t="str">
        <f>SUBSTITUTE('Digitas UK Task 26'!$O871, "Complet", "Not Requir")</f>
        <v/>
      </c>
      <c r="AA871" s="98" t="str">
        <f t="shared" si="638"/>
        <v/>
      </c>
      <c r="AB871" s="99"/>
      <c r="AF871" s="84" t="str">
        <f t="shared" si="634"/>
        <v/>
      </c>
      <c r="AH871" s="84" t="str">
        <f t="shared" si="629"/>
        <v/>
      </c>
      <c r="AI871" s="84" t="str">
        <f t="shared" si="630"/>
        <v/>
      </c>
    </row>
    <row r="872" spans="1:35" ht="15.75" customHeight="1" x14ac:dyDescent="0.3">
      <c r="A872" s="85" t="str">
        <f t="shared" si="636"/>
        <v/>
      </c>
      <c r="C872" s="87"/>
      <c r="E872" s="87"/>
      <c r="H872" s="87"/>
      <c r="I872" s="87"/>
      <c r="O872" s="90" t="str">
        <f t="shared" si="631"/>
        <v/>
      </c>
      <c r="Q872" s="91" t="str">
        <f t="shared" si="632"/>
        <v/>
      </c>
      <c r="R872" s="91" t="str">
        <f t="shared" si="635"/>
        <v/>
      </c>
      <c r="S872" s="92" t="str">
        <f t="shared" si="633"/>
        <v/>
      </c>
      <c r="T872" s="93"/>
      <c r="U872" s="94" t="str">
        <f t="shared" si="637"/>
        <v/>
      </c>
      <c r="X872" s="96"/>
      <c r="Y872" s="97" t="str">
        <f t="shared" si="639"/>
        <v/>
      </c>
      <c r="Z872" s="98" t="str">
        <f>SUBSTITUTE('Digitas UK Task 26'!$O872, "Complet", "Not Requir")</f>
        <v/>
      </c>
      <c r="AA872" s="98" t="str">
        <f t="shared" si="638"/>
        <v/>
      </c>
      <c r="AB872" s="99"/>
      <c r="AF872" s="84" t="str">
        <f t="shared" si="634"/>
        <v/>
      </c>
      <c r="AH872" s="84" t="str">
        <f t="shared" si="629"/>
        <v/>
      </c>
      <c r="AI872" s="84" t="str">
        <f t="shared" si="630"/>
        <v/>
      </c>
    </row>
    <row r="873" spans="1:35" ht="15.75" customHeight="1" x14ac:dyDescent="0.3">
      <c r="A873" s="85" t="str">
        <f t="shared" si="636"/>
        <v/>
      </c>
      <c r="C873" s="87"/>
      <c r="E873" s="87"/>
      <c r="H873" s="87"/>
      <c r="I873" s="87"/>
      <c r="O873" s="90" t="str">
        <f t="shared" si="631"/>
        <v/>
      </c>
      <c r="Q873" s="91" t="str">
        <f t="shared" si="632"/>
        <v/>
      </c>
      <c r="R873" s="91" t="str">
        <f t="shared" si="635"/>
        <v/>
      </c>
      <c r="S873" s="92" t="str">
        <f t="shared" si="633"/>
        <v/>
      </c>
      <c r="T873" s="93"/>
      <c r="U873" s="94" t="str">
        <f t="shared" si="637"/>
        <v/>
      </c>
      <c r="X873" s="96"/>
      <c r="Y873" s="97" t="str">
        <f t="shared" si="639"/>
        <v/>
      </c>
      <c r="Z873" s="98" t="str">
        <f>SUBSTITUTE('Digitas UK Task 26'!$O873, "Complet", "Not Requir")</f>
        <v/>
      </c>
      <c r="AA873" s="98" t="str">
        <f t="shared" si="638"/>
        <v/>
      </c>
      <c r="AB873" s="99"/>
      <c r="AF873" s="84" t="str">
        <f t="shared" si="634"/>
        <v/>
      </c>
      <c r="AH873" s="84" t="str">
        <f t="shared" si="629"/>
        <v/>
      </c>
      <c r="AI873" s="84" t="str">
        <f t="shared" si="630"/>
        <v/>
      </c>
    </row>
    <row r="874" spans="1:35" ht="15.75" customHeight="1" x14ac:dyDescent="0.3">
      <c r="A874" s="85" t="str">
        <f t="shared" si="636"/>
        <v/>
      </c>
      <c r="C874" s="87"/>
      <c r="E874" s="87"/>
      <c r="H874" s="87"/>
      <c r="I874" s="87"/>
      <c r="O874" s="90" t="str">
        <f t="shared" si="631"/>
        <v/>
      </c>
      <c r="Q874" s="91" t="str">
        <f t="shared" si="632"/>
        <v/>
      </c>
      <c r="R874" s="91" t="str">
        <f t="shared" si="635"/>
        <v/>
      </c>
      <c r="S874" s="92" t="str">
        <f t="shared" si="633"/>
        <v/>
      </c>
      <c r="T874" s="93"/>
      <c r="U874" s="94" t="str">
        <f t="shared" si="637"/>
        <v/>
      </c>
      <c r="X874" s="96"/>
      <c r="Y874" s="97" t="str">
        <f t="shared" si="639"/>
        <v/>
      </c>
      <c r="Z874" s="98" t="str">
        <f>SUBSTITUTE('Digitas UK Task 26'!$O874, "Complet", "Not Requir")</f>
        <v/>
      </c>
      <c r="AA874" s="98" t="str">
        <f t="shared" si="638"/>
        <v/>
      </c>
      <c r="AB874" s="99"/>
      <c r="AF874" s="84" t="str">
        <f t="shared" si="634"/>
        <v/>
      </c>
      <c r="AH874" s="84" t="str">
        <f t="shared" si="629"/>
        <v/>
      </c>
      <c r="AI874" s="84" t="str">
        <f t="shared" si="630"/>
        <v/>
      </c>
    </row>
    <row r="875" spans="1:35" ht="15.75" customHeight="1" x14ac:dyDescent="0.3">
      <c r="A875" s="85" t="str">
        <f t="shared" si="636"/>
        <v/>
      </c>
      <c r="C875" s="87"/>
      <c r="E875" s="87"/>
      <c r="H875" s="87"/>
      <c r="I875" s="87"/>
      <c r="O875" s="90" t="str">
        <f t="shared" si="631"/>
        <v/>
      </c>
      <c r="Q875" s="91" t="str">
        <f t="shared" si="632"/>
        <v/>
      </c>
      <c r="R875" s="91" t="str">
        <f t="shared" si="635"/>
        <v/>
      </c>
      <c r="S875" s="92" t="str">
        <f t="shared" si="633"/>
        <v/>
      </c>
      <c r="T875" s="93"/>
      <c r="U875" s="94" t="str">
        <f t="shared" si="637"/>
        <v/>
      </c>
      <c r="X875" s="96"/>
      <c r="Y875" s="97" t="str">
        <f t="shared" si="639"/>
        <v/>
      </c>
      <c r="Z875" s="98" t="str">
        <f>SUBSTITUTE('Digitas UK Task 26'!$O875, "Complet", "Not Requir")</f>
        <v/>
      </c>
      <c r="AA875" s="98" t="str">
        <f t="shared" si="638"/>
        <v/>
      </c>
      <c r="AB875" s="99"/>
      <c r="AF875" s="84" t="str">
        <f t="shared" si="634"/>
        <v/>
      </c>
      <c r="AH875" s="84" t="str">
        <f t="shared" si="629"/>
        <v/>
      </c>
      <c r="AI875" s="84" t="str">
        <f t="shared" si="630"/>
        <v/>
      </c>
    </row>
    <row r="876" spans="1:35" ht="15.75" customHeight="1" x14ac:dyDescent="0.3">
      <c r="A876" s="85" t="str">
        <f t="shared" si="636"/>
        <v/>
      </c>
      <c r="C876" s="87"/>
      <c r="E876" s="87"/>
      <c r="H876" s="87"/>
      <c r="I876" s="87"/>
      <c r="O876" s="90" t="str">
        <f t="shared" si="631"/>
        <v/>
      </c>
      <c r="Q876" s="91" t="str">
        <f t="shared" si="632"/>
        <v/>
      </c>
      <c r="R876" s="91" t="str">
        <f t="shared" si="635"/>
        <v/>
      </c>
      <c r="S876" s="92" t="str">
        <f t="shared" si="633"/>
        <v/>
      </c>
      <c r="T876" s="93"/>
      <c r="U876" s="94" t="str">
        <f t="shared" si="637"/>
        <v/>
      </c>
      <c r="X876" s="96"/>
      <c r="Y876" s="97" t="str">
        <f t="shared" si="639"/>
        <v/>
      </c>
      <c r="Z876" s="98" t="str">
        <f>SUBSTITUTE('Digitas UK Task 26'!$O876, "Complet", "Not Requir")</f>
        <v/>
      </c>
      <c r="AA876" s="98" t="str">
        <f t="shared" si="638"/>
        <v/>
      </c>
      <c r="AB876" s="99"/>
      <c r="AF876" s="84" t="str">
        <f t="shared" si="634"/>
        <v/>
      </c>
      <c r="AH876" s="84" t="str">
        <f t="shared" si="629"/>
        <v/>
      </c>
      <c r="AI876" s="84" t="str">
        <f t="shared" si="630"/>
        <v/>
      </c>
    </row>
    <row r="877" spans="1:35" ht="15.75" customHeight="1" x14ac:dyDescent="0.3">
      <c r="A877" s="85" t="str">
        <f t="shared" si="636"/>
        <v/>
      </c>
      <c r="C877" s="87"/>
      <c r="E877" s="87"/>
      <c r="H877" s="87"/>
      <c r="I877" s="87"/>
      <c r="O877" s="90" t="str">
        <f t="shared" si="631"/>
        <v/>
      </c>
      <c r="Q877" s="91" t="str">
        <f t="shared" si="632"/>
        <v/>
      </c>
      <c r="R877" s="91" t="str">
        <f t="shared" si="635"/>
        <v/>
      </c>
      <c r="S877" s="92" t="str">
        <f t="shared" si="633"/>
        <v/>
      </c>
      <c r="T877" s="93"/>
      <c r="U877" s="94" t="str">
        <f t="shared" si="637"/>
        <v/>
      </c>
      <c r="X877" s="96"/>
      <c r="Y877" s="97" t="str">
        <f t="shared" si="639"/>
        <v/>
      </c>
      <c r="Z877" s="98" t="str">
        <f>SUBSTITUTE('Digitas UK Task 26'!$O877, "Complet", "Not Requir")</f>
        <v/>
      </c>
      <c r="AA877" s="98" t="str">
        <f t="shared" si="638"/>
        <v/>
      </c>
      <c r="AB877" s="99"/>
      <c r="AF877" s="84" t="str">
        <f t="shared" si="634"/>
        <v/>
      </c>
      <c r="AH877" s="84" t="str">
        <f t="shared" si="629"/>
        <v/>
      </c>
      <c r="AI877" s="84" t="str">
        <f t="shared" si="630"/>
        <v/>
      </c>
    </row>
    <row r="878" spans="1:35" ht="15.75" customHeight="1" x14ac:dyDescent="0.3">
      <c r="A878" s="85" t="str">
        <f t="shared" si="636"/>
        <v/>
      </c>
      <c r="C878" s="87"/>
      <c r="E878" s="87"/>
      <c r="H878" s="87"/>
      <c r="I878" s="87"/>
      <c r="O878" s="90" t="str">
        <f t="shared" si="631"/>
        <v/>
      </c>
      <c r="Q878" s="91" t="str">
        <f t="shared" si="632"/>
        <v/>
      </c>
      <c r="R878" s="91" t="str">
        <f t="shared" si="635"/>
        <v/>
      </c>
      <c r="S878" s="92" t="str">
        <f t="shared" si="633"/>
        <v/>
      </c>
      <c r="T878" s="93"/>
      <c r="U878" s="94" t="str">
        <f t="shared" si="637"/>
        <v/>
      </c>
      <c r="X878" s="96"/>
      <c r="Y878" s="97" t="str">
        <f t="shared" si="639"/>
        <v/>
      </c>
      <c r="Z878" s="98" t="str">
        <f>SUBSTITUTE('Digitas UK Task 26'!$O878, "Complet", "Not Requir")</f>
        <v/>
      </c>
      <c r="AA878" s="98" t="str">
        <f t="shared" si="638"/>
        <v/>
      </c>
      <c r="AB878" s="99"/>
      <c r="AF878" s="84" t="str">
        <f t="shared" si="634"/>
        <v/>
      </c>
      <c r="AH878" s="84" t="str">
        <f t="shared" si="629"/>
        <v/>
      </c>
      <c r="AI878" s="84" t="str">
        <f t="shared" si="630"/>
        <v/>
      </c>
    </row>
    <row r="879" spans="1:35" ht="15.75" customHeight="1" x14ac:dyDescent="0.3">
      <c r="A879" s="85" t="str">
        <f t="shared" si="636"/>
        <v/>
      </c>
      <c r="C879" s="87"/>
      <c r="E879" s="87"/>
      <c r="H879" s="87"/>
      <c r="I879" s="87"/>
      <c r="O879" s="90" t="str">
        <f t="shared" si="631"/>
        <v/>
      </c>
      <c r="Q879" s="91" t="str">
        <f t="shared" si="632"/>
        <v/>
      </c>
      <c r="R879" s="91" t="str">
        <f t="shared" si="635"/>
        <v/>
      </c>
      <c r="S879" s="92" t="str">
        <f t="shared" si="633"/>
        <v/>
      </c>
      <c r="T879" s="93"/>
      <c r="U879" s="94" t="str">
        <f t="shared" si="637"/>
        <v/>
      </c>
      <c r="X879" s="96"/>
      <c r="Y879" s="97" t="str">
        <f t="shared" si="639"/>
        <v/>
      </c>
      <c r="Z879" s="98" t="str">
        <f>SUBSTITUTE('Digitas UK Task 26'!$O879, "Complet", "Not Requir")</f>
        <v/>
      </c>
      <c r="AA879" s="98" t="str">
        <f t="shared" si="638"/>
        <v/>
      </c>
      <c r="AB879" s="99"/>
      <c r="AF879" s="84" t="str">
        <f t="shared" si="634"/>
        <v/>
      </c>
      <c r="AH879" s="84" t="str">
        <f t="shared" ref="AH879:AH942" si="640">IF(B879="","",_xlfn.CONCAT("PL_",J879,"_CR_",K879,"_AD_",L879,"_Jira_",IF(AND(C879="P&amp;G",ISNUMBER(SEARCH("TAAGPNG-",G879))),MID(G879,SEARCH("TAAGPNG-",G879)+8,LEN(G879)-SEARCH("TAAGPNG-",G879)-7),"0"),"_"))</f>
        <v/>
      </c>
      <c r="AI879" s="84" t="str">
        <f t="shared" si="630"/>
        <v/>
      </c>
    </row>
    <row r="880" spans="1:35" ht="15.75" customHeight="1" x14ac:dyDescent="0.3">
      <c r="A880" s="85" t="str">
        <f t="shared" si="636"/>
        <v/>
      </c>
      <c r="C880" s="87"/>
      <c r="E880" s="87"/>
      <c r="H880" s="87"/>
      <c r="I880" s="87"/>
      <c r="O880" s="90" t="str">
        <f t="shared" si="631"/>
        <v/>
      </c>
      <c r="Q880" s="91" t="str">
        <f t="shared" si="632"/>
        <v/>
      </c>
      <c r="R880" s="91" t="str">
        <f t="shared" si="635"/>
        <v/>
      </c>
      <c r="S880" s="92" t="str">
        <f t="shared" si="633"/>
        <v/>
      </c>
      <c r="T880" s="93"/>
      <c r="U880" s="94" t="str">
        <f t="shared" si="637"/>
        <v/>
      </c>
      <c r="X880" s="96"/>
      <c r="Y880" s="97" t="str">
        <f t="shared" si="639"/>
        <v/>
      </c>
      <c r="Z880" s="98" t="str">
        <f>SUBSTITUTE('Digitas UK Task 26'!$O880, "Complet", "Not Requir")</f>
        <v/>
      </c>
      <c r="AA880" s="98" t="str">
        <f t="shared" si="638"/>
        <v/>
      </c>
      <c r="AB880" s="99"/>
      <c r="AF880" s="84" t="str">
        <f t="shared" si="634"/>
        <v/>
      </c>
      <c r="AH880" s="84" t="str">
        <f t="shared" si="640"/>
        <v/>
      </c>
      <c r="AI880" s="84" t="str">
        <f t="shared" si="630"/>
        <v/>
      </c>
    </row>
    <row r="881" spans="1:35" ht="15.75" customHeight="1" x14ac:dyDescent="0.3">
      <c r="A881" s="85" t="str">
        <f t="shared" si="636"/>
        <v/>
      </c>
      <c r="C881" s="87"/>
      <c r="E881" s="87"/>
      <c r="H881" s="87"/>
      <c r="I881" s="87"/>
      <c r="O881" s="90" t="str">
        <f t="shared" si="631"/>
        <v/>
      </c>
      <c r="Q881" s="91" t="str">
        <f t="shared" si="632"/>
        <v/>
      </c>
      <c r="R881" s="91" t="str">
        <f t="shared" si="635"/>
        <v/>
      </c>
      <c r="S881" s="92" t="str">
        <f t="shared" si="633"/>
        <v/>
      </c>
      <c r="T881" s="93"/>
      <c r="U881" s="94" t="str">
        <f t="shared" si="637"/>
        <v/>
      </c>
      <c r="X881" s="96"/>
      <c r="Y881" s="97" t="str">
        <f t="shared" si="639"/>
        <v/>
      </c>
      <c r="Z881" s="98" t="str">
        <f>SUBSTITUTE('Digitas UK Task 26'!$O881, "Complet", "Not Requir")</f>
        <v/>
      </c>
      <c r="AA881" s="98" t="str">
        <f t="shared" si="638"/>
        <v/>
      </c>
      <c r="AB881" s="99"/>
      <c r="AF881" s="84" t="str">
        <f t="shared" si="634"/>
        <v/>
      </c>
      <c r="AH881" s="84" t="str">
        <f t="shared" si="640"/>
        <v/>
      </c>
      <c r="AI881" s="84" t="str">
        <f t="shared" si="630"/>
        <v/>
      </c>
    </row>
    <row r="882" spans="1:35" ht="15.75" customHeight="1" x14ac:dyDescent="0.3">
      <c r="A882" s="85" t="str">
        <f t="shared" si="636"/>
        <v/>
      </c>
      <c r="C882" s="87"/>
      <c r="E882" s="87"/>
      <c r="H882" s="87"/>
      <c r="I882" s="87"/>
      <c r="O882" s="90" t="str">
        <f t="shared" si="631"/>
        <v/>
      </c>
      <c r="Q882" s="91" t="str">
        <f t="shared" si="632"/>
        <v/>
      </c>
      <c r="R882" s="91" t="str">
        <f t="shared" si="635"/>
        <v/>
      </c>
      <c r="S882" s="92" t="str">
        <f t="shared" si="633"/>
        <v/>
      </c>
      <c r="T882" s="93"/>
      <c r="U882" s="94" t="str">
        <f t="shared" si="637"/>
        <v/>
      </c>
      <c r="X882" s="96"/>
      <c r="Y882" s="97" t="str">
        <f t="shared" si="639"/>
        <v/>
      </c>
      <c r="Z882" s="98" t="str">
        <f>SUBSTITUTE('Digitas UK Task 26'!$O882, "Complet", "Not Requir")</f>
        <v/>
      </c>
      <c r="AA882" s="98" t="str">
        <f t="shared" si="638"/>
        <v/>
      </c>
      <c r="AB882" s="99"/>
      <c r="AF882" s="84" t="str">
        <f t="shared" si="634"/>
        <v/>
      </c>
      <c r="AH882" s="84" t="str">
        <f t="shared" si="640"/>
        <v/>
      </c>
      <c r="AI882" s="84" t="str">
        <f t="shared" si="630"/>
        <v/>
      </c>
    </row>
    <row r="883" spans="1:35" ht="15.75" customHeight="1" x14ac:dyDescent="0.3">
      <c r="A883" s="85" t="str">
        <f t="shared" si="636"/>
        <v/>
      </c>
      <c r="C883" s="87"/>
      <c r="E883" s="87"/>
      <c r="H883" s="87"/>
      <c r="I883" s="87"/>
      <c r="O883" s="90" t="str">
        <f t="shared" si="631"/>
        <v/>
      </c>
      <c r="Q883" s="91" t="str">
        <f t="shared" si="632"/>
        <v/>
      </c>
      <c r="R883" s="91" t="str">
        <f t="shared" si="635"/>
        <v/>
      </c>
      <c r="S883" s="92" t="str">
        <f t="shared" si="633"/>
        <v/>
      </c>
      <c r="T883" s="93"/>
      <c r="U883" s="94" t="str">
        <f t="shared" si="637"/>
        <v/>
      </c>
      <c r="X883" s="96"/>
      <c r="Y883" s="97" t="str">
        <f t="shared" si="639"/>
        <v/>
      </c>
      <c r="Z883" s="98" t="str">
        <f>SUBSTITUTE('Digitas UK Task 26'!$O883, "Complet", "Not Requir")</f>
        <v/>
      </c>
      <c r="AA883" s="98" t="str">
        <f t="shared" si="638"/>
        <v/>
      </c>
      <c r="AB883" s="99"/>
      <c r="AF883" s="84" t="str">
        <f t="shared" si="634"/>
        <v/>
      </c>
      <c r="AH883" s="84" t="str">
        <f t="shared" si="640"/>
        <v/>
      </c>
      <c r="AI883" s="84" t="str">
        <f t="shared" si="630"/>
        <v/>
      </c>
    </row>
    <row r="884" spans="1:35" ht="15.75" customHeight="1" x14ac:dyDescent="0.3">
      <c r="A884" s="85" t="str">
        <f t="shared" si="636"/>
        <v/>
      </c>
      <c r="C884" s="87"/>
      <c r="E884" s="87"/>
      <c r="H884" s="87"/>
      <c r="I884" s="87"/>
      <c r="O884" s="90" t="str">
        <f t="shared" si="631"/>
        <v/>
      </c>
      <c r="Q884" s="91" t="str">
        <f t="shared" si="632"/>
        <v/>
      </c>
      <c r="R884" s="91" t="str">
        <f t="shared" si="635"/>
        <v/>
      </c>
      <c r="S884" s="92" t="str">
        <f t="shared" si="633"/>
        <v/>
      </c>
      <c r="T884" s="93"/>
      <c r="U884" s="94" t="str">
        <f t="shared" si="637"/>
        <v/>
      </c>
      <c r="X884" s="96"/>
      <c r="Y884" s="97" t="str">
        <f t="shared" si="639"/>
        <v/>
      </c>
      <c r="Z884" s="98" t="str">
        <f>SUBSTITUTE('Digitas UK Task 26'!$O884, "Complet", "Not Requir")</f>
        <v/>
      </c>
      <c r="AA884" s="98" t="str">
        <f t="shared" si="638"/>
        <v/>
      </c>
      <c r="AB884" s="99"/>
      <c r="AF884" s="84" t="str">
        <f t="shared" si="634"/>
        <v/>
      </c>
      <c r="AH884" s="84" t="str">
        <f t="shared" si="640"/>
        <v/>
      </c>
      <c r="AI884" s="84" t="str">
        <f t="shared" si="630"/>
        <v/>
      </c>
    </row>
    <row r="885" spans="1:35" ht="15.75" customHeight="1" x14ac:dyDescent="0.3">
      <c r="A885" s="85" t="str">
        <f t="shared" si="636"/>
        <v/>
      </c>
      <c r="C885" s="87"/>
      <c r="E885" s="87"/>
      <c r="H885" s="87"/>
      <c r="I885" s="87"/>
      <c r="O885" s="90" t="str">
        <f t="shared" si="631"/>
        <v/>
      </c>
      <c r="Q885" s="91" t="str">
        <f t="shared" si="632"/>
        <v/>
      </c>
      <c r="R885" s="91" t="str">
        <f t="shared" si="635"/>
        <v/>
      </c>
      <c r="S885" s="92" t="str">
        <f t="shared" si="633"/>
        <v/>
      </c>
      <c r="T885" s="93"/>
      <c r="U885" s="94" t="str">
        <f t="shared" si="637"/>
        <v/>
      </c>
      <c r="X885" s="96"/>
      <c r="Y885" s="97" t="str">
        <f t="shared" si="639"/>
        <v/>
      </c>
      <c r="Z885" s="98" t="str">
        <f>SUBSTITUTE('Digitas UK Task 26'!$O885, "Complet", "Not Requir")</f>
        <v/>
      </c>
      <c r="AA885" s="98" t="str">
        <f t="shared" si="638"/>
        <v/>
      </c>
      <c r="AB885" s="99"/>
      <c r="AF885" s="84" t="str">
        <f t="shared" si="634"/>
        <v/>
      </c>
      <c r="AH885" s="84" t="str">
        <f t="shared" si="640"/>
        <v/>
      </c>
      <c r="AI885" s="84" t="str">
        <f t="shared" ref="AI885:AI948" si="641">IF(U885&lt;&gt;"Done","",_xlfn.CONCAT("PL_",J885,"_CR_",K885,"_AD_",L885,"_Jira_",IF(AND(C885="P&amp;G",ISNUMBER(SEARCH("TAAGPNG-",G885))),MID(G885,SEARCH("TAAGPNG-",G885)+8,LEN(G885)-SEARCH("TAAGPNG-",G885)-7),"0"),"_"))</f>
        <v/>
      </c>
    </row>
    <row r="886" spans="1:35" ht="15.75" customHeight="1" x14ac:dyDescent="0.3">
      <c r="A886" s="85" t="str">
        <f t="shared" si="636"/>
        <v/>
      </c>
      <c r="C886" s="87"/>
      <c r="E886" s="87"/>
      <c r="H886" s="87"/>
      <c r="I886" s="87"/>
      <c r="O886" s="90" t="str">
        <f t="shared" si="631"/>
        <v/>
      </c>
      <c r="Q886" s="91" t="str">
        <f t="shared" si="632"/>
        <v/>
      </c>
      <c r="R886" s="91" t="str">
        <f t="shared" si="635"/>
        <v/>
      </c>
      <c r="S886" s="92" t="str">
        <f t="shared" si="633"/>
        <v/>
      </c>
      <c r="T886" s="93"/>
      <c r="U886" s="94" t="str">
        <f t="shared" si="637"/>
        <v/>
      </c>
      <c r="X886" s="96"/>
      <c r="Y886" s="97" t="str">
        <f t="shared" si="639"/>
        <v/>
      </c>
      <c r="Z886" s="98" t="str">
        <f>SUBSTITUTE('Digitas UK Task 26'!$O886, "Complet", "Not Requir")</f>
        <v/>
      </c>
      <c r="AA886" s="98" t="str">
        <f t="shared" si="638"/>
        <v/>
      </c>
      <c r="AB886" s="99"/>
      <c r="AF886" s="84" t="str">
        <f t="shared" si="634"/>
        <v/>
      </c>
      <c r="AH886" s="84" t="str">
        <f t="shared" si="640"/>
        <v/>
      </c>
      <c r="AI886" s="84" t="str">
        <f t="shared" si="641"/>
        <v/>
      </c>
    </row>
    <row r="887" spans="1:35" ht="15.75" customHeight="1" x14ac:dyDescent="0.3">
      <c r="A887" s="85" t="str">
        <f t="shared" si="636"/>
        <v/>
      </c>
      <c r="C887" s="87"/>
      <c r="E887" s="87"/>
      <c r="H887" s="87"/>
      <c r="I887" s="87"/>
      <c r="O887" s="90" t="str">
        <f t="shared" ref="O887:O950" si="642">IF(F887="","","In-process")</f>
        <v/>
      </c>
      <c r="Q887" s="91" t="str">
        <f t="shared" si="632"/>
        <v/>
      </c>
      <c r="R887" s="91" t="str">
        <f t="shared" si="635"/>
        <v/>
      </c>
      <c r="S887" s="92" t="str">
        <f t="shared" si="633"/>
        <v/>
      </c>
      <c r="T887" s="93"/>
      <c r="U887" s="94" t="str">
        <f t="shared" si="637"/>
        <v/>
      </c>
      <c r="X887" s="96"/>
      <c r="Y887" s="97" t="str">
        <f t="shared" si="639"/>
        <v/>
      </c>
      <c r="Z887" s="98" t="str">
        <f>SUBSTITUTE('Digitas UK Task 26'!$O887, "Complet", "Not Requir")</f>
        <v/>
      </c>
      <c r="AA887" s="98" t="str">
        <f t="shared" si="638"/>
        <v/>
      </c>
      <c r="AB887" s="99"/>
      <c r="AF887" s="84" t="str">
        <f t="shared" si="634"/>
        <v/>
      </c>
      <c r="AH887" s="84" t="str">
        <f t="shared" si="640"/>
        <v/>
      </c>
      <c r="AI887" s="84" t="str">
        <f t="shared" si="641"/>
        <v/>
      </c>
    </row>
    <row r="888" spans="1:35" ht="15.75" customHeight="1" x14ac:dyDescent="0.3">
      <c r="A888" s="85" t="str">
        <f t="shared" si="636"/>
        <v/>
      </c>
      <c r="C888" s="87"/>
      <c r="E888" s="87"/>
      <c r="H888" s="87"/>
      <c r="I888" s="87"/>
      <c r="O888" s="90" t="str">
        <f t="shared" si="642"/>
        <v/>
      </c>
      <c r="Q888" s="91" t="str">
        <f t="shared" si="632"/>
        <v/>
      </c>
      <c r="R888" s="91" t="str">
        <f t="shared" si="635"/>
        <v/>
      </c>
      <c r="S888" s="92" t="str">
        <f t="shared" si="633"/>
        <v/>
      </c>
      <c r="T888" s="93"/>
      <c r="U888" s="94" t="str">
        <f t="shared" si="637"/>
        <v/>
      </c>
      <c r="X888" s="96"/>
      <c r="Y888" s="97" t="str">
        <f t="shared" si="639"/>
        <v/>
      </c>
      <c r="Z888" s="98" t="str">
        <f>SUBSTITUTE('Digitas UK Task 26'!$O888, "Complet", "Not Requir")</f>
        <v/>
      </c>
      <c r="AA888" s="98" t="str">
        <f t="shared" si="638"/>
        <v/>
      </c>
      <c r="AB888" s="99"/>
      <c r="AF888" s="84" t="str">
        <f t="shared" si="634"/>
        <v/>
      </c>
      <c r="AH888" s="84" t="str">
        <f t="shared" si="640"/>
        <v/>
      </c>
      <c r="AI888" s="84" t="str">
        <f t="shared" si="641"/>
        <v/>
      </c>
    </row>
    <row r="889" spans="1:35" ht="15.75" customHeight="1" x14ac:dyDescent="0.3">
      <c r="A889" s="85" t="str">
        <f t="shared" si="636"/>
        <v/>
      </c>
      <c r="C889" s="87"/>
      <c r="E889" s="87"/>
      <c r="H889" s="87"/>
      <c r="I889" s="87"/>
      <c r="O889" s="90" t="str">
        <f t="shared" si="642"/>
        <v/>
      </c>
      <c r="Q889" s="91" t="str">
        <f t="shared" si="632"/>
        <v/>
      </c>
      <c r="R889" s="91" t="str">
        <f t="shared" si="635"/>
        <v/>
      </c>
      <c r="S889" s="92" t="str">
        <f t="shared" si="633"/>
        <v/>
      </c>
      <c r="T889" s="93"/>
      <c r="U889" s="94" t="str">
        <f t="shared" si="637"/>
        <v/>
      </c>
      <c r="X889" s="96"/>
      <c r="Y889" s="97" t="str">
        <f t="shared" si="639"/>
        <v/>
      </c>
      <c r="Z889" s="98" t="str">
        <f>SUBSTITUTE('Digitas UK Task 26'!$O889, "Complet", "Not Requir")</f>
        <v/>
      </c>
      <c r="AA889" s="98" t="str">
        <f t="shared" si="638"/>
        <v/>
      </c>
      <c r="AB889" s="99"/>
      <c r="AF889" s="84" t="str">
        <f t="shared" si="634"/>
        <v/>
      </c>
      <c r="AH889" s="84" t="str">
        <f t="shared" si="640"/>
        <v/>
      </c>
      <c r="AI889" s="84" t="str">
        <f t="shared" si="641"/>
        <v/>
      </c>
    </row>
    <row r="890" spans="1:35" ht="15.75" customHeight="1" x14ac:dyDescent="0.3">
      <c r="A890" s="85" t="str">
        <f t="shared" si="636"/>
        <v/>
      </c>
      <c r="C890" s="87"/>
      <c r="E890" s="87"/>
      <c r="H890" s="87"/>
      <c r="I890" s="87"/>
      <c r="O890" s="90" t="str">
        <f t="shared" si="642"/>
        <v/>
      </c>
      <c r="Q890" s="91" t="str">
        <f t="shared" si="632"/>
        <v/>
      </c>
      <c r="R890" s="91" t="str">
        <f t="shared" si="635"/>
        <v/>
      </c>
      <c r="S890" s="92" t="str">
        <f t="shared" si="633"/>
        <v/>
      </c>
      <c r="T890" s="93"/>
      <c r="U890" s="94" t="str">
        <f t="shared" si="637"/>
        <v/>
      </c>
      <c r="X890" s="96"/>
      <c r="Y890" s="97" t="str">
        <f t="shared" si="639"/>
        <v/>
      </c>
      <c r="Z890" s="98" t="str">
        <f>SUBSTITUTE('Digitas UK Task 26'!$O890, "Complet", "Not Requir")</f>
        <v/>
      </c>
      <c r="AA890" s="98" t="str">
        <f t="shared" si="638"/>
        <v/>
      </c>
      <c r="AB890" s="99"/>
      <c r="AF890" s="84" t="str">
        <f t="shared" si="634"/>
        <v/>
      </c>
      <c r="AH890" s="84" t="str">
        <f t="shared" si="640"/>
        <v/>
      </c>
      <c r="AI890" s="84" t="str">
        <f t="shared" si="641"/>
        <v/>
      </c>
    </row>
    <row r="891" spans="1:35" ht="15.75" customHeight="1" x14ac:dyDescent="0.3">
      <c r="A891" s="85" t="str">
        <f t="shared" si="636"/>
        <v/>
      </c>
      <c r="C891" s="87"/>
      <c r="E891" s="87"/>
      <c r="H891" s="87"/>
      <c r="I891" s="87"/>
      <c r="O891" s="90" t="str">
        <f t="shared" si="642"/>
        <v/>
      </c>
      <c r="Q891" s="91" t="str">
        <f t="shared" si="632"/>
        <v/>
      </c>
      <c r="R891" s="91" t="str">
        <f t="shared" si="635"/>
        <v/>
      </c>
      <c r="S891" s="92" t="str">
        <f t="shared" si="633"/>
        <v/>
      </c>
      <c r="T891" s="93"/>
      <c r="U891" s="94" t="str">
        <f t="shared" si="637"/>
        <v/>
      </c>
      <c r="X891" s="96"/>
      <c r="Y891" s="97" t="str">
        <f t="shared" si="639"/>
        <v/>
      </c>
      <c r="Z891" s="98" t="str">
        <f>SUBSTITUTE('Digitas UK Task 26'!$O891, "Complet", "Not Requir")</f>
        <v/>
      </c>
      <c r="AA891" s="98" t="str">
        <f t="shared" si="638"/>
        <v/>
      </c>
      <c r="AB891" s="99"/>
      <c r="AF891" s="84" t="str">
        <f t="shared" si="634"/>
        <v/>
      </c>
      <c r="AH891" s="84" t="str">
        <f t="shared" si="640"/>
        <v/>
      </c>
      <c r="AI891" s="84" t="str">
        <f t="shared" si="641"/>
        <v/>
      </c>
    </row>
    <row r="892" spans="1:35" ht="15.75" customHeight="1" x14ac:dyDescent="0.3">
      <c r="A892" s="85" t="str">
        <f t="shared" si="636"/>
        <v/>
      </c>
      <c r="C892" s="87"/>
      <c r="E892" s="87"/>
      <c r="H892" s="87"/>
      <c r="I892" s="87"/>
      <c r="O892" s="90" t="str">
        <f t="shared" si="642"/>
        <v/>
      </c>
      <c r="Q892" s="91" t="str">
        <f t="shared" si="632"/>
        <v/>
      </c>
      <c r="R892" s="91" t="str">
        <f t="shared" si="635"/>
        <v/>
      </c>
      <c r="S892" s="92" t="str">
        <f t="shared" si="633"/>
        <v/>
      </c>
      <c r="T892" s="93"/>
      <c r="U892" s="94" t="str">
        <f t="shared" si="637"/>
        <v/>
      </c>
      <c r="X892" s="96"/>
      <c r="Y892" s="97" t="str">
        <f t="shared" si="639"/>
        <v/>
      </c>
      <c r="Z892" s="98" t="str">
        <f>SUBSTITUTE('Digitas UK Task 26'!$O892, "Complet", "Not Requir")</f>
        <v/>
      </c>
      <c r="AA892" s="98" t="str">
        <f t="shared" si="638"/>
        <v/>
      </c>
      <c r="AB892" s="99"/>
      <c r="AF892" s="84" t="str">
        <f t="shared" si="634"/>
        <v/>
      </c>
      <c r="AH892" s="84" t="str">
        <f t="shared" si="640"/>
        <v/>
      </c>
      <c r="AI892" s="84" t="str">
        <f t="shared" si="641"/>
        <v/>
      </c>
    </row>
    <row r="893" spans="1:35" ht="15.75" customHeight="1" x14ac:dyDescent="0.3">
      <c r="A893" s="85" t="str">
        <f t="shared" si="636"/>
        <v/>
      </c>
      <c r="C893" s="87"/>
      <c r="E893" s="87"/>
      <c r="H893" s="87"/>
      <c r="I893" s="87"/>
      <c r="O893" s="90" t="str">
        <f t="shared" si="642"/>
        <v/>
      </c>
      <c r="Q893" s="91" t="str">
        <f t="shared" si="632"/>
        <v/>
      </c>
      <c r="R893" s="91" t="str">
        <f t="shared" si="635"/>
        <v/>
      </c>
      <c r="S893" s="92" t="str">
        <f t="shared" si="633"/>
        <v/>
      </c>
      <c r="T893" s="93"/>
      <c r="U893" s="94" t="str">
        <f t="shared" si="637"/>
        <v/>
      </c>
      <c r="X893" s="96"/>
      <c r="Y893" s="97" t="str">
        <f t="shared" si="639"/>
        <v/>
      </c>
      <c r="Z893" s="98" t="str">
        <f>SUBSTITUTE('Digitas UK Task 26'!$O893, "Complet", "Not Requir")</f>
        <v/>
      </c>
      <c r="AA893" s="98" t="str">
        <f t="shared" si="638"/>
        <v/>
      </c>
      <c r="AB893" s="99"/>
      <c r="AF893" s="84" t="str">
        <f t="shared" si="634"/>
        <v/>
      </c>
      <c r="AH893" s="84" t="str">
        <f t="shared" si="640"/>
        <v/>
      </c>
      <c r="AI893" s="84" t="str">
        <f t="shared" si="641"/>
        <v/>
      </c>
    </row>
    <row r="894" spans="1:35" ht="15.75" customHeight="1" x14ac:dyDescent="0.3">
      <c r="A894" s="85" t="str">
        <f t="shared" si="636"/>
        <v/>
      </c>
      <c r="C894" s="87"/>
      <c r="E894" s="87"/>
      <c r="H894" s="87"/>
      <c r="I894" s="87"/>
      <c r="O894" s="90" t="str">
        <f t="shared" si="642"/>
        <v/>
      </c>
      <c r="Q894" s="91" t="str">
        <f t="shared" si="632"/>
        <v/>
      </c>
      <c r="R894" s="91" t="str">
        <f t="shared" si="635"/>
        <v/>
      </c>
      <c r="S894" s="92" t="str">
        <f t="shared" si="633"/>
        <v/>
      </c>
      <c r="T894" s="93"/>
      <c r="U894" s="94" t="str">
        <f t="shared" si="637"/>
        <v/>
      </c>
      <c r="X894" s="96"/>
      <c r="Y894" s="97" t="str">
        <f t="shared" si="639"/>
        <v/>
      </c>
      <c r="Z894" s="98" t="str">
        <f>SUBSTITUTE('Digitas UK Task 26'!$O894, "Complet", "Not Requir")</f>
        <v/>
      </c>
      <c r="AA894" s="98" t="str">
        <f t="shared" si="638"/>
        <v/>
      </c>
      <c r="AB894" s="99"/>
      <c r="AF894" s="84" t="str">
        <f t="shared" si="634"/>
        <v/>
      </c>
      <c r="AH894" s="84" t="str">
        <f t="shared" si="640"/>
        <v/>
      </c>
      <c r="AI894" s="84" t="str">
        <f t="shared" si="641"/>
        <v/>
      </c>
    </row>
    <row r="895" spans="1:35" ht="15.75" customHeight="1" x14ac:dyDescent="0.3">
      <c r="A895" s="85" t="str">
        <f t="shared" si="636"/>
        <v/>
      </c>
      <c r="C895" s="87"/>
      <c r="E895" s="87"/>
      <c r="H895" s="87"/>
      <c r="I895" s="87"/>
      <c r="O895" s="90" t="str">
        <f t="shared" si="642"/>
        <v/>
      </c>
      <c r="Q895" s="91" t="str">
        <f t="shared" si="632"/>
        <v/>
      </c>
      <c r="R895" s="91" t="str">
        <f t="shared" si="635"/>
        <v/>
      </c>
      <c r="S895" s="92" t="str">
        <f t="shared" si="633"/>
        <v/>
      </c>
      <c r="T895" s="93"/>
      <c r="U895" s="94" t="str">
        <f t="shared" si="637"/>
        <v/>
      </c>
      <c r="X895" s="96"/>
      <c r="Y895" s="97" t="str">
        <f t="shared" si="639"/>
        <v/>
      </c>
      <c r="Z895" s="98" t="str">
        <f>SUBSTITUTE('Digitas UK Task 26'!$O895, "Complet", "Not Requir")</f>
        <v/>
      </c>
      <c r="AA895" s="98" t="str">
        <f t="shared" si="638"/>
        <v/>
      </c>
      <c r="AB895" s="99"/>
      <c r="AF895" s="84" t="str">
        <f t="shared" si="634"/>
        <v/>
      </c>
      <c r="AH895" s="84" t="str">
        <f t="shared" si="640"/>
        <v/>
      </c>
      <c r="AI895" s="84" t="str">
        <f t="shared" si="641"/>
        <v/>
      </c>
    </row>
    <row r="896" spans="1:35" ht="15.75" customHeight="1" x14ac:dyDescent="0.3">
      <c r="A896" s="85" t="str">
        <f t="shared" si="636"/>
        <v/>
      </c>
      <c r="C896" s="87"/>
      <c r="E896" s="87"/>
      <c r="H896" s="87"/>
      <c r="I896" s="87"/>
      <c r="O896" s="90" t="str">
        <f t="shared" si="642"/>
        <v/>
      </c>
      <c r="Q896" s="91" t="str">
        <f t="shared" si="632"/>
        <v/>
      </c>
      <c r="R896" s="91" t="str">
        <f t="shared" si="635"/>
        <v/>
      </c>
      <c r="S896" s="92" t="str">
        <f t="shared" si="633"/>
        <v/>
      </c>
      <c r="T896" s="93"/>
      <c r="U896" s="94" t="str">
        <f t="shared" si="637"/>
        <v/>
      </c>
      <c r="X896" s="96"/>
      <c r="Y896" s="97" t="str">
        <f t="shared" si="639"/>
        <v/>
      </c>
      <c r="Z896" s="98" t="str">
        <f>SUBSTITUTE('Digitas UK Task 26'!$O896, "Complet", "Not Requir")</f>
        <v/>
      </c>
      <c r="AA896" s="98" t="str">
        <f t="shared" si="638"/>
        <v/>
      </c>
      <c r="AB896" s="99"/>
      <c r="AF896" s="84" t="str">
        <f t="shared" si="634"/>
        <v/>
      </c>
      <c r="AH896" s="84" t="str">
        <f t="shared" si="640"/>
        <v/>
      </c>
      <c r="AI896" s="84" t="str">
        <f t="shared" si="641"/>
        <v/>
      </c>
    </row>
    <row r="897" spans="1:35" ht="15.75" customHeight="1" x14ac:dyDescent="0.3">
      <c r="A897" s="85" t="str">
        <f t="shared" si="636"/>
        <v/>
      </c>
      <c r="C897" s="87"/>
      <c r="E897" s="87"/>
      <c r="H897" s="87"/>
      <c r="I897" s="87"/>
      <c r="O897" s="90" t="str">
        <f t="shared" si="642"/>
        <v/>
      </c>
      <c r="Q897" s="91" t="str">
        <f t="shared" si="632"/>
        <v/>
      </c>
      <c r="R897" s="91" t="str">
        <f t="shared" si="635"/>
        <v/>
      </c>
      <c r="S897" s="92" t="str">
        <f t="shared" si="633"/>
        <v/>
      </c>
      <c r="T897" s="93"/>
      <c r="U897" s="94" t="str">
        <f t="shared" si="637"/>
        <v/>
      </c>
      <c r="X897" s="96"/>
      <c r="Y897" s="97" t="str">
        <f t="shared" si="639"/>
        <v/>
      </c>
      <c r="Z897" s="98" t="str">
        <f>SUBSTITUTE('Digitas UK Task 26'!$O897, "Complet", "Not Requir")</f>
        <v/>
      </c>
      <c r="AA897" s="98" t="str">
        <f t="shared" si="638"/>
        <v/>
      </c>
      <c r="AB897" s="99"/>
      <c r="AF897" s="84" t="str">
        <f t="shared" si="634"/>
        <v/>
      </c>
      <c r="AH897" s="84" t="str">
        <f t="shared" si="640"/>
        <v/>
      </c>
      <c r="AI897" s="84" t="str">
        <f t="shared" si="641"/>
        <v/>
      </c>
    </row>
    <row r="898" spans="1:35" ht="15.75" customHeight="1" x14ac:dyDescent="0.3">
      <c r="A898" s="85" t="str">
        <f t="shared" si="636"/>
        <v/>
      </c>
      <c r="C898" s="87"/>
      <c r="E898" s="87"/>
      <c r="H898" s="87"/>
      <c r="I898" s="87"/>
      <c r="O898" s="90" t="str">
        <f t="shared" si="642"/>
        <v/>
      </c>
      <c r="Q898" s="91" t="str">
        <f t="shared" si="632"/>
        <v/>
      </c>
      <c r="R898" s="91" t="str">
        <f t="shared" si="635"/>
        <v/>
      </c>
      <c r="S898" s="92" t="str">
        <f t="shared" si="633"/>
        <v/>
      </c>
      <c r="T898" s="93"/>
      <c r="U898" s="94" t="str">
        <f t="shared" si="637"/>
        <v/>
      </c>
      <c r="X898" s="96"/>
      <c r="Y898" s="97" t="str">
        <f t="shared" si="639"/>
        <v/>
      </c>
      <c r="Z898" s="98" t="str">
        <f>SUBSTITUTE('Digitas UK Task 26'!$O898, "Complet", "Not Requir")</f>
        <v/>
      </c>
      <c r="AA898" s="98" t="str">
        <f t="shared" si="638"/>
        <v/>
      </c>
      <c r="AB898" s="99"/>
      <c r="AF898" s="84" t="str">
        <f t="shared" si="634"/>
        <v/>
      </c>
      <c r="AH898" s="84" t="str">
        <f t="shared" si="640"/>
        <v/>
      </c>
      <c r="AI898" s="84" t="str">
        <f t="shared" si="641"/>
        <v/>
      </c>
    </row>
    <row r="899" spans="1:35" ht="15.75" customHeight="1" x14ac:dyDescent="0.3">
      <c r="A899" s="85" t="str">
        <f t="shared" si="636"/>
        <v/>
      </c>
      <c r="C899" s="87"/>
      <c r="E899" s="87"/>
      <c r="H899" s="87"/>
      <c r="I899" s="87"/>
      <c r="O899" s="90" t="str">
        <f t="shared" si="642"/>
        <v/>
      </c>
      <c r="Q899" s="91" t="str">
        <f t="shared" si="632"/>
        <v/>
      </c>
      <c r="R899" s="91" t="str">
        <f t="shared" si="635"/>
        <v/>
      </c>
      <c r="S899" s="92" t="str">
        <f t="shared" si="633"/>
        <v/>
      </c>
      <c r="T899" s="93"/>
      <c r="U899" s="94" t="str">
        <f t="shared" si="637"/>
        <v/>
      </c>
      <c r="X899" s="96"/>
      <c r="Y899" s="97" t="str">
        <f t="shared" si="639"/>
        <v/>
      </c>
      <c r="Z899" s="98" t="str">
        <f>SUBSTITUTE('Digitas UK Task 26'!$O899, "Complet", "Not Requir")</f>
        <v/>
      </c>
      <c r="AA899" s="98" t="str">
        <f t="shared" si="638"/>
        <v/>
      </c>
      <c r="AB899" s="99"/>
      <c r="AF899" s="84" t="str">
        <f t="shared" si="634"/>
        <v/>
      </c>
      <c r="AH899" s="84" t="str">
        <f t="shared" si="640"/>
        <v/>
      </c>
      <c r="AI899" s="84" t="str">
        <f t="shared" si="641"/>
        <v/>
      </c>
    </row>
    <row r="900" spans="1:35" ht="15.75" customHeight="1" x14ac:dyDescent="0.3">
      <c r="A900" s="85" t="str">
        <f t="shared" si="636"/>
        <v/>
      </c>
      <c r="C900" s="87"/>
      <c r="E900" s="87"/>
      <c r="H900" s="87"/>
      <c r="I900" s="87"/>
      <c r="O900" s="90" t="str">
        <f t="shared" si="642"/>
        <v/>
      </c>
      <c r="Q900" s="91" t="str">
        <f t="shared" si="632"/>
        <v/>
      </c>
      <c r="R900" s="91" t="str">
        <f t="shared" si="635"/>
        <v/>
      </c>
      <c r="S900" s="92" t="str">
        <f t="shared" si="633"/>
        <v/>
      </c>
      <c r="T900" s="93"/>
      <c r="U900" s="94" t="str">
        <f t="shared" si="637"/>
        <v/>
      </c>
      <c r="X900" s="96"/>
      <c r="Y900" s="97" t="str">
        <f t="shared" si="639"/>
        <v/>
      </c>
      <c r="Z900" s="98" t="str">
        <f>SUBSTITUTE('Digitas UK Task 26'!$O900, "Complet", "Not Requir")</f>
        <v/>
      </c>
      <c r="AA900" s="98" t="str">
        <f t="shared" si="638"/>
        <v/>
      </c>
      <c r="AB900" s="99"/>
      <c r="AF900" s="84" t="str">
        <f t="shared" si="634"/>
        <v/>
      </c>
      <c r="AH900" s="84" t="str">
        <f t="shared" si="640"/>
        <v/>
      </c>
      <c r="AI900" s="84" t="str">
        <f t="shared" si="641"/>
        <v/>
      </c>
    </row>
    <row r="901" spans="1:35" ht="15.75" customHeight="1" x14ac:dyDescent="0.3">
      <c r="A901" s="85" t="str">
        <f t="shared" si="636"/>
        <v/>
      </c>
      <c r="C901" s="87"/>
      <c r="E901" s="87"/>
      <c r="H901" s="87"/>
      <c r="I901" s="87"/>
      <c r="O901" s="90" t="str">
        <f t="shared" si="642"/>
        <v/>
      </c>
      <c r="Q901" s="91" t="str">
        <f t="shared" si="632"/>
        <v/>
      </c>
      <c r="R901" s="91" t="str">
        <f t="shared" si="635"/>
        <v/>
      </c>
      <c r="S901" s="92" t="str">
        <f t="shared" si="633"/>
        <v/>
      </c>
      <c r="T901" s="93"/>
      <c r="U901" s="94" t="str">
        <f t="shared" si="637"/>
        <v/>
      </c>
      <c r="X901" s="96"/>
      <c r="Y901" s="97" t="str">
        <f t="shared" si="639"/>
        <v/>
      </c>
      <c r="Z901" s="98" t="str">
        <f>SUBSTITUTE('Digitas UK Task 26'!$O901, "Complet", "Not Requir")</f>
        <v/>
      </c>
      <c r="AA901" s="98" t="str">
        <f t="shared" si="638"/>
        <v/>
      </c>
      <c r="AB901" s="99"/>
      <c r="AF901" s="84" t="str">
        <f t="shared" si="634"/>
        <v/>
      </c>
      <c r="AH901" s="84" t="str">
        <f t="shared" si="640"/>
        <v/>
      </c>
      <c r="AI901" s="84" t="str">
        <f t="shared" si="641"/>
        <v/>
      </c>
    </row>
    <row r="902" spans="1:35" ht="15.75" customHeight="1" x14ac:dyDescent="0.3">
      <c r="A902" s="85" t="str">
        <f t="shared" si="636"/>
        <v/>
      </c>
      <c r="C902" s="87"/>
      <c r="E902" s="87"/>
      <c r="H902" s="87"/>
      <c r="I902" s="87"/>
      <c r="O902" s="90" t="str">
        <f t="shared" si="642"/>
        <v/>
      </c>
      <c r="Q902" s="91" t="str">
        <f t="shared" si="632"/>
        <v/>
      </c>
      <c r="R902" s="91" t="str">
        <f t="shared" si="635"/>
        <v/>
      </c>
      <c r="S902" s="92" t="str">
        <f t="shared" si="633"/>
        <v/>
      </c>
      <c r="T902" s="93"/>
      <c r="U902" s="94" t="str">
        <f t="shared" si="637"/>
        <v/>
      </c>
      <c r="X902" s="96"/>
      <c r="Y902" s="97" t="str">
        <f t="shared" si="639"/>
        <v/>
      </c>
      <c r="Z902" s="98" t="str">
        <f>SUBSTITUTE('Digitas UK Task 26'!$O902, "Complet", "Not Requir")</f>
        <v/>
      </c>
      <c r="AA902" s="98" t="str">
        <f t="shared" si="638"/>
        <v/>
      </c>
      <c r="AB902" s="99"/>
      <c r="AF902" s="84" t="str">
        <f t="shared" si="634"/>
        <v/>
      </c>
      <c r="AH902" s="84" t="str">
        <f t="shared" si="640"/>
        <v/>
      </c>
      <c r="AI902" s="84" t="str">
        <f t="shared" si="641"/>
        <v/>
      </c>
    </row>
    <row r="903" spans="1:35" ht="15.75" customHeight="1" x14ac:dyDescent="0.3">
      <c r="A903" s="85" t="str">
        <f t="shared" si="636"/>
        <v/>
      </c>
      <c r="C903" s="87"/>
      <c r="E903" s="87"/>
      <c r="H903" s="87"/>
      <c r="I903" s="87"/>
      <c r="O903" s="90" t="str">
        <f t="shared" si="642"/>
        <v/>
      </c>
      <c r="Q903" s="91" t="str">
        <f t="shared" si="632"/>
        <v/>
      </c>
      <c r="R903" s="91" t="str">
        <f t="shared" si="635"/>
        <v/>
      </c>
      <c r="S903" s="92" t="str">
        <f t="shared" si="633"/>
        <v/>
      </c>
      <c r="T903" s="93"/>
      <c r="U903" s="94" t="str">
        <f t="shared" si="637"/>
        <v/>
      </c>
      <c r="X903" s="96"/>
      <c r="Y903" s="97" t="str">
        <f t="shared" si="639"/>
        <v/>
      </c>
      <c r="Z903" s="98" t="str">
        <f>SUBSTITUTE('Digitas UK Task 26'!$O903, "Complet", "Not Requir")</f>
        <v/>
      </c>
      <c r="AA903" s="98" t="str">
        <f t="shared" si="638"/>
        <v/>
      </c>
      <c r="AB903" s="99"/>
      <c r="AF903" s="84" t="str">
        <f t="shared" si="634"/>
        <v/>
      </c>
      <c r="AH903" s="84" t="str">
        <f t="shared" si="640"/>
        <v/>
      </c>
      <c r="AI903" s="84" t="str">
        <f t="shared" si="641"/>
        <v/>
      </c>
    </row>
    <row r="904" spans="1:35" ht="15.75" customHeight="1" x14ac:dyDescent="0.3">
      <c r="A904" s="85" t="str">
        <f t="shared" si="636"/>
        <v/>
      </c>
      <c r="C904" s="87"/>
      <c r="E904" s="87"/>
      <c r="H904" s="87"/>
      <c r="I904" s="87"/>
      <c r="O904" s="90" t="str">
        <f t="shared" si="642"/>
        <v/>
      </c>
      <c r="Q904" s="91" t="str">
        <f t="shared" si="632"/>
        <v/>
      </c>
      <c r="R904" s="91" t="str">
        <f t="shared" si="635"/>
        <v/>
      </c>
      <c r="S904" s="92" t="str">
        <f t="shared" si="633"/>
        <v/>
      </c>
      <c r="T904" s="93"/>
      <c r="U904" s="94" t="str">
        <f t="shared" si="637"/>
        <v/>
      </c>
      <c r="X904" s="96"/>
      <c r="Y904" s="97" t="str">
        <f t="shared" si="639"/>
        <v/>
      </c>
      <c r="Z904" s="98" t="str">
        <f>SUBSTITUTE('Digitas UK Task 26'!$O904, "Complet", "Not Requir")</f>
        <v/>
      </c>
      <c r="AA904" s="98" t="str">
        <f t="shared" si="638"/>
        <v/>
      </c>
      <c r="AB904" s="99"/>
      <c r="AF904" s="84" t="str">
        <f t="shared" si="634"/>
        <v/>
      </c>
      <c r="AH904" s="84" t="str">
        <f t="shared" si="640"/>
        <v/>
      </c>
      <c r="AI904" s="84" t="str">
        <f t="shared" si="641"/>
        <v/>
      </c>
    </row>
    <row r="905" spans="1:35" ht="15.75" customHeight="1" x14ac:dyDescent="0.3">
      <c r="A905" s="85" t="str">
        <f t="shared" si="636"/>
        <v/>
      </c>
      <c r="C905" s="87"/>
      <c r="E905" s="87"/>
      <c r="H905" s="87"/>
      <c r="I905" s="87"/>
      <c r="O905" s="90" t="str">
        <f t="shared" si="642"/>
        <v/>
      </c>
      <c r="Q905" s="91" t="str">
        <f t="shared" si="632"/>
        <v/>
      </c>
      <c r="R905" s="91" t="str">
        <f t="shared" si="635"/>
        <v/>
      </c>
      <c r="S905" s="92" t="str">
        <f t="shared" si="633"/>
        <v/>
      </c>
      <c r="T905" s="93"/>
      <c r="U905" s="94" t="str">
        <f t="shared" si="637"/>
        <v/>
      </c>
      <c r="X905" s="96"/>
      <c r="Y905" s="97" t="str">
        <f t="shared" si="639"/>
        <v/>
      </c>
      <c r="Z905" s="98" t="str">
        <f>SUBSTITUTE('Digitas UK Task 26'!$O905, "Complet", "Not Requir")</f>
        <v/>
      </c>
      <c r="AA905" s="98" t="str">
        <f t="shared" si="638"/>
        <v/>
      </c>
      <c r="AB905" s="99"/>
      <c r="AF905" s="84" t="str">
        <f t="shared" si="634"/>
        <v/>
      </c>
      <c r="AH905" s="84" t="str">
        <f t="shared" si="640"/>
        <v/>
      </c>
      <c r="AI905" s="84" t="str">
        <f t="shared" si="641"/>
        <v/>
      </c>
    </row>
    <row r="906" spans="1:35" ht="15.75" customHeight="1" x14ac:dyDescent="0.3">
      <c r="A906" s="85" t="str">
        <f t="shared" si="636"/>
        <v/>
      </c>
      <c r="C906" s="87"/>
      <c r="E906" s="87"/>
      <c r="H906" s="87"/>
      <c r="I906" s="87"/>
      <c r="O906" s="90" t="str">
        <f t="shared" si="642"/>
        <v/>
      </c>
      <c r="Q906" s="91" t="str">
        <f t="shared" si="632"/>
        <v/>
      </c>
      <c r="R906" s="91" t="str">
        <f t="shared" si="635"/>
        <v/>
      </c>
      <c r="S906" s="92" t="str">
        <f t="shared" si="633"/>
        <v/>
      </c>
      <c r="T906" s="93"/>
      <c r="U906" s="94" t="str">
        <f t="shared" si="637"/>
        <v/>
      </c>
      <c r="X906" s="96"/>
      <c r="Y906" s="97" t="str">
        <f t="shared" si="639"/>
        <v/>
      </c>
      <c r="Z906" s="98" t="str">
        <f>SUBSTITUTE('Digitas UK Task 26'!$O906, "Complet", "Not Requir")</f>
        <v/>
      </c>
      <c r="AA906" s="98" t="str">
        <f t="shared" si="638"/>
        <v/>
      </c>
      <c r="AB906" s="99"/>
      <c r="AF906" s="84" t="str">
        <f t="shared" si="634"/>
        <v/>
      </c>
      <c r="AH906" s="84" t="str">
        <f t="shared" si="640"/>
        <v/>
      </c>
      <c r="AI906" s="84" t="str">
        <f t="shared" si="641"/>
        <v/>
      </c>
    </row>
    <row r="907" spans="1:35" ht="15.75" customHeight="1" x14ac:dyDescent="0.3">
      <c r="A907" s="85" t="str">
        <f t="shared" si="636"/>
        <v/>
      </c>
      <c r="C907" s="87"/>
      <c r="E907" s="87"/>
      <c r="H907" s="87"/>
      <c r="I907" s="87"/>
      <c r="O907" s="90" t="str">
        <f t="shared" si="642"/>
        <v/>
      </c>
      <c r="Q907" s="91" t="str">
        <f t="shared" si="632"/>
        <v/>
      </c>
      <c r="R907" s="91" t="str">
        <f t="shared" si="635"/>
        <v/>
      </c>
      <c r="S907" s="92" t="str">
        <f t="shared" si="633"/>
        <v/>
      </c>
      <c r="T907" s="93"/>
      <c r="U907" s="94" t="str">
        <f t="shared" si="637"/>
        <v/>
      </c>
      <c r="X907" s="96"/>
      <c r="Y907" s="97" t="str">
        <f t="shared" si="639"/>
        <v/>
      </c>
      <c r="Z907" s="98" t="str">
        <f>SUBSTITUTE('Digitas UK Task 26'!$O907, "Complet", "Not Requir")</f>
        <v/>
      </c>
      <c r="AA907" s="98" t="str">
        <f t="shared" si="638"/>
        <v/>
      </c>
      <c r="AB907" s="99"/>
      <c r="AF907" s="84" t="str">
        <f t="shared" si="634"/>
        <v/>
      </c>
      <c r="AH907" s="84" t="str">
        <f t="shared" si="640"/>
        <v/>
      </c>
      <c r="AI907" s="84" t="str">
        <f t="shared" si="641"/>
        <v/>
      </c>
    </row>
    <row r="908" spans="1:35" ht="15.75" customHeight="1" x14ac:dyDescent="0.3">
      <c r="A908" s="85" t="str">
        <f t="shared" si="636"/>
        <v/>
      </c>
      <c r="C908" s="87"/>
      <c r="E908" s="87"/>
      <c r="H908" s="87"/>
      <c r="I908" s="87"/>
      <c r="O908" s="90" t="str">
        <f t="shared" si="642"/>
        <v/>
      </c>
      <c r="Q908" s="91" t="str">
        <f t="shared" si="632"/>
        <v/>
      </c>
      <c r="R908" s="91" t="str">
        <f t="shared" si="635"/>
        <v/>
      </c>
      <c r="S908" s="92" t="str">
        <f t="shared" si="633"/>
        <v/>
      </c>
      <c r="T908" s="93"/>
      <c r="U908" s="94" t="str">
        <f t="shared" si="637"/>
        <v/>
      </c>
      <c r="X908" s="96"/>
      <c r="Y908" s="97" t="str">
        <f t="shared" si="639"/>
        <v/>
      </c>
      <c r="Z908" s="98" t="str">
        <f>SUBSTITUTE('Digitas UK Task 26'!$O908, "Complet", "Not Requir")</f>
        <v/>
      </c>
      <c r="AA908" s="98" t="str">
        <f t="shared" si="638"/>
        <v/>
      </c>
      <c r="AB908" s="99"/>
      <c r="AF908" s="84" t="str">
        <f t="shared" si="634"/>
        <v/>
      </c>
      <c r="AH908" s="84" t="str">
        <f t="shared" si="640"/>
        <v/>
      </c>
      <c r="AI908" s="84" t="str">
        <f t="shared" si="641"/>
        <v/>
      </c>
    </row>
    <row r="909" spans="1:35" ht="15.75" customHeight="1" x14ac:dyDescent="0.3">
      <c r="A909" s="85" t="str">
        <f t="shared" si="636"/>
        <v/>
      </c>
      <c r="C909" s="87"/>
      <c r="E909" s="87"/>
      <c r="H909" s="87"/>
      <c r="I909" s="87"/>
      <c r="O909" s="90" t="str">
        <f t="shared" si="642"/>
        <v/>
      </c>
      <c r="Q909" s="91" t="str">
        <f t="shared" si="632"/>
        <v/>
      </c>
      <c r="R909" s="91" t="str">
        <f t="shared" si="635"/>
        <v/>
      </c>
      <c r="S909" s="92" t="str">
        <f t="shared" si="633"/>
        <v/>
      </c>
      <c r="T909" s="93"/>
      <c r="U909" s="94" t="str">
        <f t="shared" si="637"/>
        <v/>
      </c>
      <c r="X909" s="96"/>
      <c r="Y909" s="97" t="str">
        <f t="shared" si="639"/>
        <v/>
      </c>
      <c r="Z909" s="98" t="str">
        <f>SUBSTITUTE('Digitas UK Task 26'!$O909, "Complet", "Not Requir")</f>
        <v/>
      </c>
      <c r="AA909" s="98" t="str">
        <f t="shared" si="638"/>
        <v/>
      </c>
      <c r="AB909" s="99"/>
      <c r="AF909" s="84" t="str">
        <f t="shared" si="634"/>
        <v/>
      </c>
      <c r="AH909" s="84" t="str">
        <f t="shared" si="640"/>
        <v/>
      </c>
      <c r="AI909" s="84" t="str">
        <f t="shared" si="641"/>
        <v/>
      </c>
    </row>
    <row r="910" spans="1:35" ht="15.75" customHeight="1" x14ac:dyDescent="0.3">
      <c r="A910" s="85" t="str">
        <f t="shared" si="636"/>
        <v/>
      </c>
      <c r="C910" s="87"/>
      <c r="E910" s="87"/>
      <c r="H910" s="87"/>
      <c r="I910" s="87"/>
      <c r="O910" s="90" t="str">
        <f t="shared" si="642"/>
        <v/>
      </c>
      <c r="Q910" s="91" t="str">
        <f t="shared" si="632"/>
        <v/>
      </c>
      <c r="R910" s="91" t="str">
        <f t="shared" si="635"/>
        <v/>
      </c>
      <c r="S910" s="92" t="str">
        <f t="shared" si="633"/>
        <v/>
      </c>
      <c r="T910" s="93"/>
      <c r="U910" s="94" t="str">
        <f t="shared" si="637"/>
        <v/>
      </c>
      <c r="X910" s="96"/>
      <c r="Y910" s="97" t="str">
        <f t="shared" si="639"/>
        <v/>
      </c>
      <c r="Z910" s="98" t="str">
        <f>SUBSTITUTE('Digitas UK Task 26'!$O910, "Complet", "Not Requir")</f>
        <v/>
      </c>
      <c r="AA910" s="98" t="str">
        <f t="shared" si="638"/>
        <v/>
      </c>
      <c r="AB910" s="99"/>
      <c r="AF910" s="84" t="str">
        <f t="shared" si="634"/>
        <v/>
      </c>
      <c r="AH910" s="84" t="str">
        <f t="shared" si="640"/>
        <v/>
      </c>
      <c r="AI910" s="84" t="str">
        <f t="shared" si="641"/>
        <v/>
      </c>
    </row>
    <row r="911" spans="1:35" ht="15.75" customHeight="1" x14ac:dyDescent="0.3">
      <c r="A911" s="85" t="str">
        <f t="shared" si="636"/>
        <v/>
      </c>
      <c r="C911" s="87"/>
      <c r="E911" s="87"/>
      <c r="H911" s="87"/>
      <c r="I911" s="87"/>
      <c r="O911" s="90" t="str">
        <f t="shared" si="642"/>
        <v/>
      </c>
      <c r="Q911" s="91" t="str">
        <f t="shared" ref="Q911:Q974" si="643">IF(B911="","",WEEKNUM(B911))</f>
        <v/>
      </c>
      <c r="R911" s="91" t="str">
        <f t="shared" si="635"/>
        <v/>
      </c>
      <c r="S911" s="92" t="str">
        <f t="shared" ref="S911:S974" si="644">IF(B911="","",TEXT(B911,"DDDD"))</f>
        <v/>
      </c>
      <c r="T911" s="93"/>
      <c r="U911" s="94" t="str">
        <f t="shared" si="637"/>
        <v/>
      </c>
      <c r="X911" s="96"/>
      <c r="Y911" s="97" t="str">
        <f t="shared" si="639"/>
        <v/>
      </c>
      <c r="Z911" s="98" t="str">
        <f>SUBSTITUTE('Digitas UK Task 26'!$O911, "Complet", "Not Requir")</f>
        <v/>
      </c>
      <c r="AA911" s="98" t="str">
        <f t="shared" si="638"/>
        <v/>
      </c>
      <c r="AB911" s="99"/>
      <c r="AF911" s="84" t="str">
        <f t="shared" si="634"/>
        <v/>
      </c>
      <c r="AH911" s="84" t="str">
        <f t="shared" si="640"/>
        <v/>
      </c>
      <c r="AI911" s="84" t="str">
        <f t="shared" si="641"/>
        <v/>
      </c>
    </row>
    <row r="912" spans="1:35" ht="15.75" customHeight="1" x14ac:dyDescent="0.3">
      <c r="A912" s="85" t="str">
        <f t="shared" si="636"/>
        <v/>
      </c>
      <c r="C912" s="87"/>
      <c r="E912" s="87"/>
      <c r="H912" s="87"/>
      <c r="I912" s="87"/>
      <c r="O912" s="90" t="str">
        <f t="shared" si="642"/>
        <v/>
      </c>
      <c r="Q912" s="91" t="str">
        <f t="shared" si="643"/>
        <v/>
      </c>
      <c r="R912" s="91" t="str">
        <f t="shared" si="635"/>
        <v/>
      </c>
      <c r="S912" s="92" t="str">
        <f t="shared" si="644"/>
        <v/>
      </c>
      <c r="T912" s="93"/>
      <c r="U912" s="94" t="str">
        <f t="shared" si="637"/>
        <v/>
      </c>
      <c r="X912" s="96"/>
      <c r="Y912" s="97" t="str">
        <f t="shared" si="639"/>
        <v/>
      </c>
      <c r="Z912" s="98" t="str">
        <f>SUBSTITUTE('Digitas UK Task 26'!$O912, "Complet", "Not Requir")</f>
        <v/>
      </c>
      <c r="AA912" s="98" t="str">
        <f t="shared" si="638"/>
        <v/>
      </c>
      <c r="AB912" s="99"/>
      <c r="AF912" s="84" t="str">
        <f t="shared" si="634"/>
        <v/>
      </c>
      <c r="AH912" s="84" t="str">
        <f t="shared" si="640"/>
        <v/>
      </c>
      <c r="AI912" s="84" t="str">
        <f t="shared" si="641"/>
        <v/>
      </c>
    </row>
    <row r="913" spans="1:35" ht="15.75" customHeight="1" x14ac:dyDescent="0.3">
      <c r="A913" s="85" t="str">
        <f t="shared" si="636"/>
        <v/>
      </c>
      <c r="C913" s="87"/>
      <c r="E913" s="87"/>
      <c r="H913" s="87"/>
      <c r="I913" s="87"/>
      <c r="O913" s="90" t="str">
        <f t="shared" si="642"/>
        <v/>
      </c>
      <c r="Q913" s="91" t="str">
        <f t="shared" si="643"/>
        <v/>
      </c>
      <c r="R913" s="91" t="str">
        <f t="shared" si="635"/>
        <v/>
      </c>
      <c r="S913" s="92" t="str">
        <f t="shared" si="644"/>
        <v/>
      </c>
      <c r="T913" s="93"/>
      <c r="U913" s="94" t="str">
        <f t="shared" si="637"/>
        <v/>
      </c>
      <c r="X913" s="96"/>
      <c r="Y913" s="97" t="str">
        <f t="shared" si="639"/>
        <v/>
      </c>
      <c r="Z913" s="98" t="str">
        <f>SUBSTITUTE('Digitas UK Task 26'!$O913, "Complet", "Not Requir")</f>
        <v/>
      </c>
      <c r="AA913" s="98" t="str">
        <f t="shared" si="638"/>
        <v/>
      </c>
      <c r="AB913" s="99"/>
      <c r="AF913" s="84" t="str">
        <f t="shared" si="634"/>
        <v/>
      </c>
      <c r="AH913" s="84" t="str">
        <f t="shared" si="640"/>
        <v/>
      </c>
      <c r="AI913" s="84" t="str">
        <f t="shared" si="641"/>
        <v/>
      </c>
    </row>
    <row r="914" spans="1:35" ht="15.75" customHeight="1" x14ac:dyDescent="0.3">
      <c r="A914" s="85" t="str">
        <f t="shared" si="636"/>
        <v/>
      </c>
      <c r="C914" s="87"/>
      <c r="E914" s="87"/>
      <c r="H914" s="87"/>
      <c r="I914" s="87"/>
      <c r="O914" s="90" t="str">
        <f t="shared" si="642"/>
        <v/>
      </c>
      <c r="Q914" s="91" t="str">
        <f t="shared" si="643"/>
        <v/>
      </c>
      <c r="R914" s="91" t="str">
        <f t="shared" si="635"/>
        <v/>
      </c>
      <c r="S914" s="92" t="str">
        <f t="shared" si="644"/>
        <v/>
      </c>
      <c r="T914" s="93"/>
      <c r="U914" s="94" t="str">
        <f t="shared" si="637"/>
        <v/>
      </c>
      <c r="X914" s="96"/>
      <c r="Y914" s="97" t="str">
        <f t="shared" si="639"/>
        <v/>
      </c>
      <c r="Z914" s="98" t="str">
        <f>SUBSTITUTE('Digitas UK Task 26'!$O914, "Complet", "Not Requir")</f>
        <v/>
      </c>
      <c r="AA914" s="98" t="str">
        <f t="shared" si="638"/>
        <v/>
      </c>
      <c r="AB914" s="99"/>
      <c r="AF914" s="84" t="str">
        <f t="shared" si="634"/>
        <v/>
      </c>
      <c r="AH914" s="84" t="str">
        <f t="shared" si="640"/>
        <v/>
      </c>
      <c r="AI914" s="84" t="str">
        <f t="shared" si="641"/>
        <v/>
      </c>
    </row>
    <row r="915" spans="1:35" ht="15.75" customHeight="1" x14ac:dyDescent="0.3">
      <c r="A915" s="85" t="str">
        <f t="shared" si="636"/>
        <v/>
      </c>
      <c r="C915" s="87"/>
      <c r="E915" s="87"/>
      <c r="H915" s="87"/>
      <c r="I915" s="87"/>
      <c r="O915" s="90" t="str">
        <f t="shared" si="642"/>
        <v/>
      </c>
      <c r="Q915" s="91" t="str">
        <f t="shared" si="643"/>
        <v/>
      </c>
      <c r="R915" s="91" t="str">
        <f t="shared" si="635"/>
        <v/>
      </c>
      <c r="S915" s="92" t="str">
        <f t="shared" si="644"/>
        <v/>
      </c>
      <c r="T915" s="93"/>
      <c r="U915" s="94" t="str">
        <f t="shared" si="637"/>
        <v/>
      </c>
      <c r="X915" s="96"/>
      <c r="Y915" s="97" t="str">
        <f t="shared" si="639"/>
        <v/>
      </c>
      <c r="Z915" s="98" t="str">
        <f>SUBSTITUTE('Digitas UK Task 26'!$O915, "Complet", "Not Requir")</f>
        <v/>
      </c>
      <c r="AA915" s="98" t="str">
        <f t="shared" si="638"/>
        <v/>
      </c>
      <c r="AB915" s="99"/>
      <c r="AF915" s="84" t="str">
        <f t="shared" si="634"/>
        <v/>
      </c>
      <c r="AH915" s="84" t="str">
        <f t="shared" si="640"/>
        <v/>
      </c>
      <c r="AI915" s="84" t="str">
        <f t="shared" si="641"/>
        <v/>
      </c>
    </row>
    <row r="916" spans="1:35" ht="15.75" customHeight="1" x14ac:dyDescent="0.3">
      <c r="A916" s="85" t="str">
        <f t="shared" si="636"/>
        <v/>
      </c>
      <c r="C916" s="87"/>
      <c r="E916" s="87"/>
      <c r="H916" s="87"/>
      <c r="I916" s="87"/>
      <c r="O916" s="90" t="str">
        <f t="shared" si="642"/>
        <v/>
      </c>
      <c r="Q916" s="91" t="str">
        <f t="shared" si="643"/>
        <v/>
      </c>
      <c r="R916" s="91" t="str">
        <f t="shared" si="635"/>
        <v/>
      </c>
      <c r="S916" s="92" t="str">
        <f t="shared" si="644"/>
        <v/>
      </c>
      <c r="T916" s="93"/>
      <c r="U916" s="94" t="str">
        <f t="shared" si="637"/>
        <v/>
      </c>
      <c r="X916" s="96"/>
      <c r="Y916" s="97" t="str">
        <f t="shared" si="639"/>
        <v/>
      </c>
      <c r="Z916" s="98" t="str">
        <f>SUBSTITUTE('Digitas UK Task 26'!$O916, "Complet", "Not Requir")</f>
        <v/>
      </c>
      <c r="AA916" s="98" t="str">
        <f t="shared" si="638"/>
        <v/>
      </c>
      <c r="AB916" s="99"/>
      <c r="AF916" s="84" t="str">
        <f t="shared" si="634"/>
        <v/>
      </c>
      <c r="AH916" s="84" t="str">
        <f t="shared" si="640"/>
        <v/>
      </c>
      <c r="AI916" s="84" t="str">
        <f t="shared" si="641"/>
        <v/>
      </c>
    </row>
    <row r="917" spans="1:35" ht="15.75" customHeight="1" x14ac:dyDescent="0.3">
      <c r="A917" s="85" t="str">
        <f t="shared" si="636"/>
        <v/>
      </c>
      <c r="C917" s="87"/>
      <c r="E917" s="87"/>
      <c r="H917" s="87"/>
      <c r="I917" s="87"/>
      <c r="O917" s="90" t="str">
        <f t="shared" si="642"/>
        <v/>
      </c>
      <c r="Q917" s="91" t="str">
        <f t="shared" si="643"/>
        <v/>
      </c>
      <c r="R917" s="91" t="str">
        <f t="shared" si="635"/>
        <v/>
      </c>
      <c r="S917" s="92" t="str">
        <f t="shared" si="644"/>
        <v/>
      </c>
      <c r="T917" s="93"/>
      <c r="U917" s="94" t="str">
        <f t="shared" si="637"/>
        <v/>
      </c>
      <c r="X917" s="96"/>
      <c r="Y917" s="97" t="str">
        <f t="shared" si="639"/>
        <v/>
      </c>
      <c r="Z917" s="98" t="str">
        <f>SUBSTITUTE('Digitas UK Task 26'!$O917, "Complet", "Not Requir")</f>
        <v/>
      </c>
      <c r="AA917" s="98" t="str">
        <f t="shared" si="638"/>
        <v/>
      </c>
      <c r="AB917" s="99"/>
      <c r="AF917" s="84" t="str">
        <f t="shared" ref="AF917:AF980" si="645">IF(AD917="","",WEEKNUM(AD917))</f>
        <v/>
      </c>
      <c r="AH917" s="84" t="str">
        <f t="shared" si="640"/>
        <v/>
      </c>
      <c r="AI917" s="84" t="str">
        <f t="shared" si="641"/>
        <v/>
      </c>
    </row>
    <row r="918" spans="1:35" ht="15.75" customHeight="1" x14ac:dyDescent="0.3">
      <c r="A918" s="85" t="str">
        <f t="shared" si="636"/>
        <v/>
      </c>
      <c r="C918" s="87"/>
      <c r="E918" s="87"/>
      <c r="H918" s="87"/>
      <c r="I918" s="87"/>
      <c r="O918" s="90" t="str">
        <f t="shared" si="642"/>
        <v/>
      </c>
      <c r="Q918" s="91" t="str">
        <f t="shared" si="643"/>
        <v/>
      </c>
      <c r="R918" s="91" t="str">
        <f t="shared" ref="R918:R981" si="646">IF(B918="","",TEXT(B918,"MMM"))</f>
        <v/>
      </c>
      <c r="S918" s="92" t="str">
        <f t="shared" si="644"/>
        <v/>
      </c>
      <c r="T918" s="93"/>
      <c r="U918" s="94" t="str">
        <f t="shared" si="637"/>
        <v/>
      </c>
      <c r="X918" s="96"/>
      <c r="Y918" s="97" t="str">
        <f t="shared" si="639"/>
        <v/>
      </c>
      <c r="Z918" s="98" t="str">
        <f>SUBSTITUTE('Digitas UK Task 26'!$O918, "Complet", "Not Requir")</f>
        <v/>
      </c>
      <c r="AA918" s="98" t="str">
        <f t="shared" si="638"/>
        <v/>
      </c>
      <c r="AB918" s="99"/>
      <c r="AF918" s="84" t="str">
        <f t="shared" si="645"/>
        <v/>
      </c>
      <c r="AH918" s="84" t="str">
        <f t="shared" si="640"/>
        <v/>
      </c>
      <c r="AI918" s="84" t="str">
        <f t="shared" si="641"/>
        <v/>
      </c>
    </row>
    <row r="919" spans="1:35" ht="15.75" customHeight="1" x14ac:dyDescent="0.3">
      <c r="A919" s="85" t="str">
        <f t="shared" si="636"/>
        <v/>
      </c>
      <c r="C919" s="87"/>
      <c r="E919" s="87"/>
      <c r="H919" s="87"/>
      <c r="I919" s="87"/>
      <c r="O919" s="90" t="str">
        <f t="shared" si="642"/>
        <v/>
      </c>
      <c r="Q919" s="91" t="str">
        <f t="shared" si="643"/>
        <v/>
      </c>
      <c r="R919" s="91" t="str">
        <f t="shared" si="646"/>
        <v/>
      </c>
      <c r="S919" s="92" t="str">
        <f t="shared" si="644"/>
        <v/>
      </c>
      <c r="T919" s="93"/>
      <c r="U919" s="94" t="str">
        <f t="shared" si="637"/>
        <v/>
      </c>
      <c r="X919" s="96"/>
      <c r="Y919" s="97" t="str">
        <f t="shared" si="639"/>
        <v/>
      </c>
      <c r="Z919" s="98" t="str">
        <f>SUBSTITUTE('Digitas UK Task 26'!$O919, "Complet", "Not Requir")</f>
        <v/>
      </c>
      <c r="AA919" s="98" t="str">
        <f t="shared" si="638"/>
        <v/>
      </c>
      <c r="AB919" s="99"/>
      <c r="AF919" s="84" t="str">
        <f t="shared" si="645"/>
        <v/>
      </c>
      <c r="AH919" s="84" t="str">
        <f t="shared" si="640"/>
        <v/>
      </c>
      <c r="AI919" s="84" t="str">
        <f t="shared" si="641"/>
        <v/>
      </c>
    </row>
    <row r="920" spans="1:35" ht="15.75" customHeight="1" x14ac:dyDescent="0.3">
      <c r="A920" s="85" t="str">
        <f t="shared" si="636"/>
        <v/>
      </c>
      <c r="C920" s="87"/>
      <c r="E920" s="87"/>
      <c r="H920" s="87"/>
      <c r="I920" s="87"/>
      <c r="O920" s="90" t="str">
        <f t="shared" si="642"/>
        <v/>
      </c>
      <c r="Q920" s="91" t="str">
        <f t="shared" si="643"/>
        <v/>
      </c>
      <c r="R920" s="91" t="str">
        <f t="shared" si="646"/>
        <v/>
      </c>
      <c r="S920" s="92" t="str">
        <f t="shared" si="644"/>
        <v/>
      </c>
      <c r="T920" s="93"/>
      <c r="U920" s="94" t="str">
        <f t="shared" si="637"/>
        <v/>
      </c>
      <c r="X920" s="96"/>
      <c r="Y920" s="97" t="str">
        <f t="shared" si="639"/>
        <v/>
      </c>
      <c r="Z920" s="98" t="str">
        <f>SUBSTITUTE('Digitas UK Task 26'!$O920, "Complet", "Not Requir")</f>
        <v/>
      </c>
      <c r="AA920" s="98" t="str">
        <f t="shared" si="638"/>
        <v/>
      </c>
      <c r="AB920" s="99"/>
      <c r="AF920" s="84" t="str">
        <f t="shared" si="645"/>
        <v/>
      </c>
      <c r="AH920" s="84" t="str">
        <f t="shared" si="640"/>
        <v/>
      </c>
      <c r="AI920" s="84" t="str">
        <f t="shared" si="641"/>
        <v/>
      </c>
    </row>
    <row r="921" spans="1:35" ht="15.75" customHeight="1" x14ac:dyDescent="0.3">
      <c r="A921" s="85" t="str">
        <f t="shared" si="636"/>
        <v/>
      </c>
      <c r="C921" s="87"/>
      <c r="E921" s="87"/>
      <c r="H921" s="87"/>
      <c r="I921" s="87"/>
      <c r="O921" s="90" t="str">
        <f t="shared" si="642"/>
        <v/>
      </c>
      <c r="Q921" s="91" t="str">
        <f t="shared" si="643"/>
        <v/>
      </c>
      <c r="R921" s="91" t="str">
        <f t="shared" si="646"/>
        <v/>
      </c>
      <c r="S921" s="92" t="str">
        <f t="shared" si="644"/>
        <v/>
      </c>
      <c r="T921" s="93"/>
      <c r="U921" s="94" t="str">
        <f t="shared" si="637"/>
        <v/>
      </c>
      <c r="X921" s="96"/>
      <c r="Y921" s="97" t="str">
        <f t="shared" si="639"/>
        <v/>
      </c>
      <c r="Z921" s="98" t="str">
        <f>SUBSTITUTE('Digitas UK Task 26'!$O921, "Complet", "Not Requir")</f>
        <v/>
      </c>
      <c r="AA921" s="98" t="str">
        <f t="shared" si="638"/>
        <v/>
      </c>
      <c r="AB921" s="99"/>
      <c r="AF921" s="84" t="str">
        <f t="shared" si="645"/>
        <v/>
      </c>
      <c r="AH921" s="84" t="str">
        <f t="shared" si="640"/>
        <v/>
      </c>
      <c r="AI921" s="84" t="str">
        <f t="shared" si="641"/>
        <v/>
      </c>
    </row>
    <row r="922" spans="1:35" ht="15.75" customHeight="1" x14ac:dyDescent="0.3">
      <c r="A922" s="85" t="str">
        <f t="shared" si="636"/>
        <v/>
      </c>
      <c r="C922" s="87"/>
      <c r="E922" s="87"/>
      <c r="H922" s="87"/>
      <c r="I922" s="87"/>
      <c r="O922" s="90" t="str">
        <f t="shared" si="642"/>
        <v/>
      </c>
      <c r="Q922" s="91" t="str">
        <f t="shared" si="643"/>
        <v/>
      </c>
      <c r="R922" s="91" t="str">
        <f t="shared" si="646"/>
        <v/>
      </c>
      <c r="S922" s="92" t="str">
        <f t="shared" si="644"/>
        <v/>
      </c>
      <c r="T922" s="93"/>
      <c r="U922" s="94" t="str">
        <f t="shared" si="637"/>
        <v/>
      </c>
      <c r="X922" s="96"/>
      <c r="Y922" s="97" t="str">
        <f t="shared" si="639"/>
        <v/>
      </c>
      <c r="Z922" s="98" t="str">
        <f>SUBSTITUTE('Digitas UK Task 26'!$O922, "Complet", "Not Requir")</f>
        <v/>
      </c>
      <c r="AA922" s="98" t="str">
        <f t="shared" si="638"/>
        <v/>
      </c>
      <c r="AB922" s="99"/>
      <c r="AF922" s="84" t="str">
        <f t="shared" si="645"/>
        <v/>
      </c>
      <c r="AH922" s="84" t="str">
        <f t="shared" si="640"/>
        <v/>
      </c>
      <c r="AI922" s="84" t="str">
        <f t="shared" si="641"/>
        <v/>
      </c>
    </row>
    <row r="923" spans="1:35" ht="15.75" customHeight="1" x14ac:dyDescent="0.3">
      <c r="A923" s="85" t="str">
        <f t="shared" si="636"/>
        <v/>
      </c>
      <c r="C923" s="87"/>
      <c r="E923" s="87"/>
      <c r="H923" s="87"/>
      <c r="I923" s="87"/>
      <c r="O923" s="90" t="str">
        <f t="shared" si="642"/>
        <v/>
      </c>
      <c r="Q923" s="91" t="str">
        <f t="shared" si="643"/>
        <v/>
      </c>
      <c r="R923" s="91" t="str">
        <f t="shared" si="646"/>
        <v/>
      </c>
      <c r="S923" s="92" t="str">
        <f t="shared" si="644"/>
        <v/>
      </c>
      <c r="T923" s="93"/>
      <c r="U923" s="94" t="str">
        <f t="shared" si="637"/>
        <v/>
      </c>
      <c r="X923" s="96"/>
      <c r="Y923" s="97" t="str">
        <f t="shared" si="639"/>
        <v/>
      </c>
      <c r="Z923" s="98" t="str">
        <f>SUBSTITUTE('Digitas UK Task 26'!$O923, "Complet", "Not Requir")</f>
        <v/>
      </c>
      <c r="AA923" s="98" t="str">
        <f t="shared" si="638"/>
        <v/>
      </c>
      <c r="AB923" s="99"/>
      <c r="AF923" s="84" t="str">
        <f t="shared" si="645"/>
        <v/>
      </c>
      <c r="AH923" s="84" t="str">
        <f t="shared" si="640"/>
        <v/>
      </c>
      <c r="AI923" s="84" t="str">
        <f t="shared" si="641"/>
        <v/>
      </c>
    </row>
    <row r="924" spans="1:35" ht="15.75" customHeight="1" x14ac:dyDescent="0.3">
      <c r="A924" s="85" t="str">
        <f t="shared" si="636"/>
        <v/>
      </c>
      <c r="C924" s="87"/>
      <c r="E924" s="87"/>
      <c r="H924" s="87"/>
      <c r="I924" s="87"/>
      <c r="O924" s="90" t="str">
        <f t="shared" si="642"/>
        <v/>
      </c>
      <c r="Q924" s="91" t="str">
        <f t="shared" si="643"/>
        <v/>
      </c>
      <c r="R924" s="91" t="str">
        <f t="shared" si="646"/>
        <v/>
      </c>
      <c r="S924" s="92" t="str">
        <f t="shared" si="644"/>
        <v/>
      </c>
      <c r="T924" s="93"/>
      <c r="U924" s="94" t="str">
        <f t="shared" si="637"/>
        <v/>
      </c>
      <c r="X924" s="96"/>
      <c r="Y924" s="97" t="str">
        <f t="shared" si="639"/>
        <v/>
      </c>
      <c r="Z924" s="98" t="str">
        <f>SUBSTITUTE('Digitas UK Task 26'!$O924, "Complet", "Not Requir")</f>
        <v/>
      </c>
      <c r="AA924" s="98" t="str">
        <f t="shared" si="638"/>
        <v/>
      </c>
      <c r="AB924" s="99"/>
      <c r="AF924" s="84" t="str">
        <f t="shared" si="645"/>
        <v/>
      </c>
      <c r="AH924" s="84" t="str">
        <f t="shared" si="640"/>
        <v/>
      </c>
      <c r="AI924" s="84" t="str">
        <f t="shared" si="641"/>
        <v/>
      </c>
    </row>
    <row r="925" spans="1:35" ht="15.75" customHeight="1" x14ac:dyDescent="0.3">
      <c r="A925" s="85" t="str">
        <f t="shared" si="636"/>
        <v/>
      </c>
      <c r="C925" s="87"/>
      <c r="E925" s="87"/>
      <c r="H925" s="87"/>
      <c r="I925" s="87"/>
      <c r="O925" s="90" t="str">
        <f t="shared" si="642"/>
        <v/>
      </c>
      <c r="Q925" s="91" t="str">
        <f t="shared" si="643"/>
        <v/>
      </c>
      <c r="R925" s="91" t="str">
        <f t="shared" si="646"/>
        <v/>
      </c>
      <c r="S925" s="92" t="str">
        <f t="shared" si="644"/>
        <v/>
      </c>
      <c r="T925" s="93"/>
      <c r="U925" s="94" t="str">
        <f t="shared" si="637"/>
        <v/>
      </c>
      <c r="X925" s="96"/>
      <c r="Y925" s="97" t="str">
        <f t="shared" si="639"/>
        <v/>
      </c>
      <c r="Z925" s="98" t="str">
        <f>SUBSTITUTE('Digitas UK Task 26'!$O925, "Complet", "Not Requir")</f>
        <v/>
      </c>
      <c r="AA925" s="98" t="str">
        <f t="shared" si="638"/>
        <v/>
      </c>
      <c r="AB925" s="99"/>
      <c r="AF925" s="84" t="str">
        <f t="shared" si="645"/>
        <v/>
      </c>
      <c r="AH925" s="84" t="str">
        <f t="shared" si="640"/>
        <v/>
      </c>
      <c r="AI925" s="84" t="str">
        <f t="shared" si="641"/>
        <v/>
      </c>
    </row>
    <row r="926" spans="1:35" ht="15.75" customHeight="1" x14ac:dyDescent="0.3">
      <c r="A926" s="85" t="str">
        <f t="shared" si="636"/>
        <v/>
      </c>
      <c r="C926" s="87"/>
      <c r="E926" s="87"/>
      <c r="H926" s="87"/>
      <c r="I926" s="87"/>
      <c r="O926" s="90" t="str">
        <f t="shared" si="642"/>
        <v/>
      </c>
      <c r="Q926" s="91" t="str">
        <f t="shared" si="643"/>
        <v/>
      </c>
      <c r="R926" s="91" t="str">
        <f t="shared" si="646"/>
        <v/>
      </c>
      <c r="S926" s="92" t="str">
        <f t="shared" si="644"/>
        <v/>
      </c>
      <c r="T926" s="93"/>
      <c r="U926" s="94" t="str">
        <f t="shared" si="637"/>
        <v/>
      </c>
      <c r="X926" s="96"/>
      <c r="Y926" s="97" t="str">
        <f t="shared" si="639"/>
        <v/>
      </c>
      <c r="Z926" s="98" t="str">
        <f>SUBSTITUTE('Digitas UK Task 26'!$O926, "Complet", "Not Requir")</f>
        <v/>
      </c>
      <c r="AA926" s="98" t="str">
        <f t="shared" si="638"/>
        <v/>
      </c>
      <c r="AB926" s="99"/>
      <c r="AF926" s="84" t="str">
        <f t="shared" si="645"/>
        <v/>
      </c>
      <c r="AH926" s="84" t="str">
        <f t="shared" si="640"/>
        <v/>
      </c>
      <c r="AI926" s="84" t="str">
        <f t="shared" si="641"/>
        <v/>
      </c>
    </row>
    <row r="927" spans="1:35" ht="15.75" customHeight="1" x14ac:dyDescent="0.3">
      <c r="A927" s="85" t="str">
        <f t="shared" si="636"/>
        <v/>
      </c>
      <c r="C927" s="87"/>
      <c r="E927" s="87"/>
      <c r="H927" s="87"/>
      <c r="I927" s="87"/>
      <c r="O927" s="90" t="str">
        <f t="shared" si="642"/>
        <v/>
      </c>
      <c r="Q927" s="91" t="str">
        <f t="shared" si="643"/>
        <v/>
      </c>
      <c r="R927" s="91" t="str">
        <f t="shared" si="646"/>
        <v/>
      </c>
      <c r="S927" s="92" t="str">
        <f t="shared" si="644"/>
        <v/>
      </c>
      <c r="T927" s="93"/>
      <c r="U927" s="94" t="str">
        <f t="shared" si="637"/>
        <v/>
      </c>
      <c r="X927" s="96"/>
      <c r="Y927" s="97" t="str">
        <f t="shared" si="639"/>
        <v/>
      </c>
      <c r="Z927" s="98" t="str">
        <f>SUBSTITUTE('Digitas UK Task 26'!$O927, "Complet", "Not Requir")</f>
        <v/>
      </c>
      <c r="AA927" s="98" t="str">
        <f t="shared" si="638"/>
        <v/>
      </c>
      <c r="AB927" s="99"/>
      <c r="AF927" s="84" t="str">
        <f t="shared" si="645"/>
        <v/>
      </c>
      <c r="AH927" s="84" t="str">
        <f t="shared" si="640"/>
        <v/>
      </c>
      <c r="AI927" s="84" t="str">
        <f t="shared" si="641"/>
        <v/>
      </c>
    </row>
    <row r="928" spans="1:35" ht="15.75" customHeight="1" x14ac:dyDescent="0.3">
      <c r="A928" s="85" t="str">
        <f t="shared" si="636"/>
        <v/>
      </c>
      <c r="C928" s="87"/>
      <c r="E928" s="87"/>
      <c r="H928" s="87"/>
      <c r="I928" s="87"/>
      <c r="O928" s="90" t="str">
        <f t="shared" si="642"/>
        <v/>
      </c>
      <c r="Q928" s="91" t="str">
        <f t="shared" si="643"/>
        <v/>
      </c>
      <c r="R928" s="91" t="str">
        <f t="shared" si="646"/>
        <v/>
      </c>
      <c r="S928" s="92" t="str">
        <f t="shared" si="644"/>
        <v/>
      </c>
      <c r="T928" s="93"/>
      <c r="U928" s="94" t="str">
        <f t="shared" si="637"/>
        <v/>
      </c>
      <c r="X928" s="96"/>
      <c r="Y928" s="97" t="str">
        <f t="shared" si="639"/>
        <v/>
      </c>
      <c r="Z928" s="98" t="str">
        <f>SUBSTITUTE('Digitas UK Task 26'!$O928, "Complet", "Not Requir")</f>
        <v/>
      </c>
      <c r="AA928" s="98" t="str">
        <f t="shared" si="638"/>
        <v/>
      </c>
      <c r="AB928" s="99"/>
      <c r="AF928" s="84" t="str">
        <f t="shared" si="645"/>
        <v/>
      </c>
      <c r="AH928" s="84" t="str">
        <f t="shared" si="640"/>
        <v/>
      </c>
      <c r="AI928" s="84" t="str">
        <f t="shared" si="641"/>
        <v/>
      </c>
    </row>
    <row r="929" spans="1:35" ht="15.75" customHeight="1" x14ac:dyDescent="0.3">
      <c r="A929" s="85" t="str">
        <f t="shared" ref="A929:A992" si="647">IF(B929="","",TEXT(B929,"MMM : DDDD"))</f>
        <v/>
      </c>
      <c r="C929" s="87"/>
      <c r="E929" s="87"/>
      <c r="H929" s="87"/>
      <c r="I929" s="87"/>
      <c r="O929" s="90" t="str">
        <f t="shared" si="642"/>
        <v/>
      </c>
      <c r="Q929" s="91" t="str">
        <f t="shared" si="643"/>
        <v/>
      </c>
      <c r="R929" s="91" t="str">
        <f t="shared" si="646"/>
        <v/>
      </c>
      <c r="S929" s="92" t="str">
        <f t="shared" si="644"/>
        <v/>
      </c>
      <c r="T929" s="93"/>
      <c r="U929" s="94" t="str">
        <f t="shared" ref="U929:U992" si="648">IF(O929="Completed","Pending","")</f>
        <v/>
      </c>
      <c r="X929" s="96"/>
      <c r="Y929" s="97" t="str">
        <f t="shared" si="639"/>
        <v/>
      </c>
      <c r="Z929" s="98" t="str">
        <f>SUBSTITUTE('Digitas UK Task 26'!$O929, "Complet", "Not Requir")</f>
        <v/>
      </c>
      <c r="AA929" s="98" t="str">
        <f t="shared" ref="AA929:AA992" si="649">IF(G929="","",G929)</f>
        <v/>
      </c>
      <c r="AB929" s="99"/>
      <c r="AF929" s="84" t="str">
        <f t="shared" si="645"/>
        <v/>
      </c>
      <c r="AH929" s="84" t="str">
        <f t="shared" si="640"/>
        <v/>
      </c>
      <c r="AI929" s="84" t="str">
        <f t="shared" si="641"/>
        <v/>
      </c>
    </row>
    <row r="930" spans="1:35" ht="15.75" customHeight="1" x14ac:dyDescent="0.3">
      <c r="A930" s="85" t="str">
        <f t="shared" si="647"/>
        <v/>
      </c>
      <c r="C930" s="87"/>
      <c r="E930" s="87"/>
      <c r="H930" s="87"/>
      <c r="I930" s="87"/>
      <c r="O930" s="90" t="str">
        <f t="shared" si="642"/>
        <v/>
      </c>
      <c r="Q930" s="91" t="str">
        <f t="shared" si="643"/>
        <v/>
      </c>
      <c r="R930" s="91" t="str">
        <f t="shared" si="646"/>
        <v/>
      </c>
      <c r="S930" s="92" t="str">
        <f t="shared" si="644"/>
        <v/>
      </c>
      <c r="T930" s="93"/>
      <c r="U930" s="94" t="str">
        <f t="shared" si="648"/>
        <v/>
      </c>
      <c r="X930" s="96"/>
      <c r="Y930" s="97" t="str">
        <f t="shared" si="639"/>
        <v/>
      </c>
      <c r="Z930" s="98" t="str">
        <f>SUBSTITUTE('Digitas UK Task 26'!$O930, "Complet", "Not Requir")</f>
        <v/>
      </c>
      <c r="AA930" s="98" t="str">
        <f t="shared" si="649"/>
        <v/>
      </c>
      <c r="AB930" s="99"/>
      <c r="AF930" s="84" t="str">
        <f t="shared" si="645"/>
        <v/>
      </c>
      <c r="AH930" s="84" t="str">
        <f t="shared" si="640"/>
        <v/>
      </c>
      <c r="AI930" s="84" t="str">
        <f t="shared" si="641"/>
        <v/>
      </c>
    </row>
    <row r="931" spans="1:35" ht="15.75" customHeight="1" x14ac:dyDescent="0.3">
      <c r="A931" s="85" t="str">
        <f t="shared" si="647"/>
        <v/>
      </c>
      <c r="C931" s="87"/>
      <c r="E931" s="87"/>
      <c r="H931" s="87"/>
      <c r="I931" s="87"/>
      <c r="O931" s="90" t="str">
        <f t="shared" si="642"/>
        <v/>
      </c>
      <c r="Q931" s="91" t="str">
        <f t="shared" si="643"/>
        <v/>
      </c>
      <c r="R931" s="91" t="str">
        <f t="shared" si="646"/>
        <v/>
      </c>
      <c r="S931" s="92" t="str">
        <f t="shared" si="644"/>
        <v/>
      </c>
      <c r="T931" s="93"/>
      <c r="U931" s="94" t="str">
        <f t="shared" si="648"/>
        <v/>
      </c>
      <c r="X931" s="96"/>
      <c r="Y931" s="97" t="str">
        <f t="shared" si="639"/>
        <v/>
      </c>
      <c r="Z931" s="98" t="str">
        <f>SUBSTITUTE('Digitas UK Task 26'!$O931, "Complet", "Not Requir")</f>
        <v/>
      </c>
      <c r="AA931" s="98" t="str">
        <f t="shared" si="649"/>
        <v/>
      </c>
      <c r="AB931" s="99"/>
      <c r="AF931" s="84" t="str">
        <f t="shared" si="645"/>
        <v/>
      </c>
      <c r="AH931" s="84" t="str">
        <f t="shared" si="640"/>
        <v/>
      </c>
      <c r="AI931" s="84" t="str">
        <f t="shared" si="641"/>
        <v/>
      </c>
    </row>
    <row r="932" spans="1:35" ht="15.75" customHeight="1" x14ac:dyDescent="0.3">
      <c r="A932" s="85" t="str">
        <f t="shared" si="647"/>
        <v/>
      </c>
      <c r="C932" s="87"/>
      <c r="E932" s="87"/>
      <c r="H932" s="87"/>
      <c r="I932" s="87"/>
      <c r="O932" s="90" t="str">
        <f t="shared" si="642"/>
        <v/>
      </c>
      <c r="Q932" s="91" t="str">
        <f t="shared" si="643"/>
        <v/>
      </c>
      <c r="R932" s="91" t="str">
        <f t="shared" si="646"/>
        <v/>
      </c>
      <c r="S932" s="92" t="str">
        <f t="shared" si="644"/>
        <v/>
      </c>
      <c r="T932" s="93"/>
      <c r="U932" s="94" t="str">
        <f t="shared" si="648"/>
        <v/>
      </c>
      <c r="X932" s="96"/>
      <c r="Y932" s="97" t="str">
        <f t="shared" si="639"/>
        <v/>
      </c>
      <c r="Z932" s="98" t="str">
        <f>SUBSTITUTE('Digitas UK Task 26'!$O932, "Complet", "Not Requir")</f>
        <v/>
      </c>
      <c r="AA932" s="98" t="str">
        <f t="shared" si="649"/>
        <v/>
      </c>
      <c r="AB932" s="99"/>
      <c r="AF932" s="84" t="str">
        <f t="shared" si="645"/>
        <v/>
      </c>
      <c r="AH932" s="84" t="str">
        <f t="shared" si="640"/>
        <v/>
      </c>
      <c r="AI932" s="84" t="str">
        <f t="shared" si="641"/>
        <v/>
      </c>
    </row>
    <row r="933" spans="1:35" ht="15.75" customHeight="1" x14ac:dyDescent="0.3">
      <c r="A933" s="85" t="str">
        <f t="shared" si="647"/>
        <v/>
      </c>
      <c r="C933" s="87"/>
      <c r="E933" s="87"/>
      <c r="H933" s="87"/>
      <c r="I933" s="87"/>
      <c r="O933" s="90" t="str">
        <f t="shared" si="642"/>
        <v/>
      </c>
      <c r="Q933" s="91" t="str">
        <f t="shared" si="643"/>
        <v/>
      </c>
      <c r="R933" s="91" t="str">
        <f t="shared" si="646"/>
        <v/>
      </c>
      <c r="S933" s="92" t="str">
        <f t="shared" si="644"/>
        <v/>
      </c>
      <c r="T933" s="93"/>
      <c r="U933" s="94" t="str">
        <f t="shared" si="648"/>
        <v/>
      </c>
      <c r="X933" s="96"/>
      <c r="Y933" s="97" t="str">
        <f t="shared" si="639"/>
        <v/>
      </c>
      <c r="Z933" s="98" t="str">
        <f>SUBSTITUTE('Digitas UK Task 26'!$O933, "Complet", "Not Requir")</f>
        <v/>
      </c>
      <c r="AA933" s="98" t="str">
        <f t="shared" si="649"/>
        <v/>
      </c>
      <c r="AB933" s="99"/>
      <c r="AF933" s="84" t="str">
        <f t="shared" si="645"/>
        <v/>
      </c>
      <c r="AH933" s="84" t="str">
        <f t="shared" si="640"/>
        <v/>
      </c>
      <c r="AI933" s="84" t="str">
        <f t="shared" si="641"/>
        <v/>
      </c>
    </row>
    <row r="934" spans="1:35" ht="15.75" customHeight="1" x14ac:dyDescent="0.3">
      <c r="A934" s="85" t="str">
        <f t="shared" si="647"/>
        <v/>
      </c>
      <c r="C934" s="87"/>
      <c r="E934" s="87"/>
      <c r="H934" s="87"/>
      <c r="I934" s="87"/>
      <c r="O934" s="90" t="str">
        <f t="shared" si="642"/>
        <v/>
      </c>
      <c r="Q934" s="91" t="str">
        <f t="shared" si="643"/>
        <v/>
      </c>
      <c r="R934" s="91" t="str">
        <f t="shared" si="646"/>
        <v/>
      </c>
      <c r="S934" s="92" t="str">
        <f t="shared" si="644"/>
        <v/>
      </c>
      <c r="T934" s="93"/>
      <c r="U934" s="94" t="str">
        <f t="shared" si="648"/>
        <v/>
      </c>
      <c r="X934" s="96"/>
      <c r="Y934" s="97" t="str">
        <f t="shared" si="639"/>
        <v/>
      </c>
      <c r="Z934" s="98" t="str">
        <f>SUBSTITUTE('Digitas UK Task 26'!$O934, "Complet", "Not Requir")</f>
        <v/>
      </c>
      <c r="AA934" s="98" t="str">
        <f t="shared" si="649"/>
        <v/>
      </c>
      <c r="AB934" s="99"/>
      <c r="AF934" s="84" t="str">
        <f t="shared" si="645"/>
        <v/>
      </c>
      <c r="AH934" s="84" t="str">
        <f t="shared" si="640"/>
        <v/>
      </c>
      <c r="AI934" s="84" t="str">
        <f t="shared" si="641"/>
        <v/>
      </c>
    </row>
    <row r="935" spans="1:35" ht="15.75" customHeight="1" x14ac:dyDescent="0.3">
      <c r="A935" s="85" t="str">
        <f t="shared" si="647"/>
        <v/>
      </c>
      <c r="C935" s="87"/>
      <c r="E935" s="87"/>
      <c r="H935" s="87"/>
      <c r="I935" s="87"/>
      <c r="O935" s="90" t="str">
        <f t="shared" si="642"/>
        <v/>
      </c>
      <c r="Q935" s="91" t="str">
        <f t="shared" si="643"/>
        <v/>
      </c>
      <c r="R935" s="91" t="str">
        <f t="shared" si="646"/>
        <v/>
      </c>
      <c r="S935" s="92" t="str">
        <f t="shared" si="644"/>
        <v/>
      </c>
      <c r="T935" s="93"/>
      <c r="U935" s="94" t="str">
        <f t="shared" si="648"/>
        <v/>
      </c>
      <c r="X935" s="96"/>
      <c r="Y935" s="97" t="str">
        <f t="shared" ref="Y935:Y998" si="650">IF(M935="","",M935)</f>
        <v/>
      </c>
      <c r="Z935" s="98" t="str">
        <f>SUBSTITUTE('Digitas UK Task 26'!$O935, "Complet", "Not Requir")</f>
        <v/>
      </c>
      <c r="AA935" s="98" t="str">
        <f t="shared" si="649"/>
        <v/>
      </c>
      <c r="AB935" s="99"/>
      <c r="AF935" s="84" t="str">
        <f t="shared" si="645"/>
        <v/>
      </c>
      <c r="AH935" s="84" t="str">
        <f t="shared" si="640"/>
        <v/>
      </c>
      <c r="AI935" s="84" t="str">
        <f t="shared" si="641"/>
        <v/>
      </c>
    </row>
    <row r="936" spans="1:35" ht="15.75" customHeight="1" x14ac:dyDescent="0.3">
      <c r="A936" s="85" t="str">
        <f t="shared" si="647"/>
        <v/>
      </c>
      <c r="C936" s="87"/>
      <c r="E936" s="87"/>
      <c r="H936" s="87"/>
      <c r="I936" s="87"/>
      <c r="O936" s="90" t="str">
        <f t="shared" si="642"/>
        <v/>
      </c>
      <c r="Q936" s="91" t="str">
        <f t="shared" si="643"/>
        <v/>
      </c>
      <c r="R936" s="91" t="str">
        <f t="shared" si="646"/>
        <v/>
      </c>
      <c r="S936" s="92" t="str">
        <f t="shared" si="644"/>
        <v/>
      </c>
      <c r="T936" s="93"/>
      <c r="U936" s="94" t="str">
        <f t="shared" si="648"/>
        <v/>
      </c>
      <c r="X936" s="96"/>
      <c r="Y936" s="97" t="str">
        <f t="shared" si="650"/>
        <v/>
      </c>
      <c r="Z936" s="98" t="str">
        <f>SUBSTITUTE('Digitas UK Task 26'!$O936, "Complet", "Not Requir")</f>
        <v/>
      </c>
      <c r="AA936" s="98" t="str">
        <f t="shared" si="649"/>
        <v/>
      </c>
      <c r="AB936" s="99"/>
      <c r="AF936" s="84" t="str">
        <f t="shared" si="645"/>
        <v/>
      </c>
      <c r="AH936" s="84" t="str">
        <f t="shared" si="640"/>
        <v/>
      </c>
      <c r="AI936" s="84" t="str">
        <f t="shared" si="641"/>
        <v/>
      </c>
    </row>
    <row r="937" spans="1:35" ht="15.75" customHeight="1" x14ac:dyDescent="0.3">
      <c r="A937" s="85" t="str">
        <f t="shared" si="647"/>
        <v/>
      </c>
      <c r="C937" s="87"/>
      <c r="E937" s="87"/>
      <c r="H937" s="87"/>
      <c r="I937" s="87"/>
      <c r="O937" s="90" t="str">
        <f t="shared" si="642"/>
        <v/>
      </c>
      <c r="Q937" s="91" t="str">
        <f t="shared" si="643"/>
        <v/>
      </c>
      <c r="R937" s="91" t="str">
        <f t="shared" si="646"/>
        <v/>
      </c>
      <c r="S937" s="92" t="str">
        <f t="shared" si="644"/>
        <v/>
      </c>
      <c r="T937" s="93"/>
      <c r="U937" s="94" t="str">
        <f t="shared" si="648"/>
        <v/>
      </c>
      <c r="X937" s="96"/>
      <c r="Y937" s="97" t="str">
        <f t="shared" si="650"/>
        <v/>
      </c>
      <c r="Z937" s="98" t="str">
        <f>SUBSTITUTE('Digitas UK Task 26'!$O937, "Complet", "Not Requir")</f>
        <v/>
      </c>
      <c r="AA937" s="98" t="str">
        <f t="shared" si="649"/>
        <v/>
      </c>
      <c r="AB937" s="99"/>
      <c r="AF937" s="84" t="str">
        <f t="shared" si="645"/>
        <v/>
      </c>
      <c r="AH937" s="84" t="str">
        <f t="shared" si="640"/>
        <v/>
      </c>
      <c r="AI937" s="84" t="str">
        <f t="shared" si="641"/>
        <v/>
      </c>
    </row>
    <row r="938" spans="1:35" ht="15.75" customHeight="1" x14ac:dyDescent="0.3">
      <c r="A938" s="85" t="str">
        <f t="shared" si="647"/>
        <v/>
      </c>
      <c r="C938" s="87"/>
      <c r="E938" s="87"/>
      <c r="H938" s="87"/>
      <c r="I938" s="87"/>
      <c r="O938" s="90" t="str">
        <f t="shared" si="642"/>
        <v/>
      </c>
      <c r="Q938" s="91" t="str">
        <f t="shared" si="643"/>
        <v/>
      </c>
      <c r="R938" s="91" t="str">
        <f t="shared" si="646"/>
        <v/>
      </c>
      <c r="S938" s="92" t="str">
        <f t="shared" si="644"/>
        <v/>
      </c>
      <c r="T938" s="93"/>
      <c r="U938" s="94" t="str">
        <f t="shared" si="648"/>
        <v/>
      </c>
      <c r="X938" s="96"/>
      <c r="Y938" s="97" t="str">
        <f t="shared" si="650"/>
        <v/>
      </c>
      <c r="Z938" s="98" t="str">
        <f>SUBSTITUTE('Digitas UK Task 26'!$O938, "Complet", "Not Requir")</f>
        <v/>
      </c>
      <c r="AA938" s="98" t="str">
        <f t="shared" si="649"/>
        <v/>
      </c>
      <c r="AB938" s="99"/>
      <c r="AF938" s="84" t="str">
        <f t="shared" si="645"/>
        <v/>
      </c>
      <c r="AH938" s="84" t="str">
        <f t="shared" si="640"/>
        <v/>
      </c>
      <c r="AI938" s="84" t="str">
        <f t="shared" si="641"/>
        <v/>
      </c>
    </row>
    <row r="939" spans="1:35" ht="15.75" customHeight="1" x14ac:dyDescent="0.3">
      <c r="A939" s="85" t="str">
        <f t="shared" si="647"/>
        <v/>
      </c>
      <c r="C939" s="87"/>
      <c r="E939" s="87"/>
      <c r="H939" s="87"/>
      <c r="I939" s="87"/>
      <c r="O939" s="90" t="str">
        <f t="shared" si="642"/>
        <v/>
      </c>
      <c r="Q939" s="91" t="str">
        <f t="shared" si="643"/>
        <v/>
      </c>
      <c r="R939" s="91" t="str">
        <f t="shared" si="646"/>
        <v/>
      </c>
      <c r="S939" s="92" t="str">
        <f t="shared" si="644"/>
        <v/>
      </c>
      <c r="T939" s="93"/>
      <c r="U939" s="94" t="str">
        <f t="shared" si="648"/>
        <v/>
      </c>
      <c r="X939" s="96"/>
      <c r="Y939" s="97" t="str">
        <f t="shared" si="650"/>
        <v/>
      </c>
      <c r="Z939" s="98" t="str">
        <f>SUBSTITUTE('Digitas UK Task 26'!$O939, "Complet", "Not Requir")</f>
        <v/>
      </c>
      <c r="AA939" s="98" t="str">
        <f t="shared" si="649"/>
        <v/>
      </c>
      <c r="AB939" s="99"/>
      <c r="AF939" s="84" t="str">
        <f t="shared" si="645"/>
        <v/>
      </c>
      <c r="AH939" s="84" t="str">
        <f t="shared" si="640"/>
        <v/>
      </c>
      <c r="AI939" s="84" t="str">
        <f t="shared" si="641"/>
        <v/>
      </c>
    </row>
    <row r="940" spans="1:35" ht="15.75" customHeight="1" x14ac:dyDescent="0.3">
      <c r="A940" s="85" t="str">
        <f t="shared" si="647"/>
        <v/>
      </c>
      <c r="C940" s="87"/>
      <c r="E940" s="87"/>
      <c r="H940" s="87"/>
      <c r="I940" s="87"/>
      <c r="O940" s="90" t="str">
        <f t="shared" si="642"/>
        <v/>
      </c>
      <c r="Q940" s="91" t="str">
        <f t="shared" si="643"/>
        <v/>
      </c>
      <c r="R940" s="91" t="str">
        <f t="shared" si="646"/>
        <v/>
      </c>
      <c r="S940" s="92" t="str">
        <f t="shared" si="644"/>
        <v/>
      </c>
      <c r="T940" s="93"/>
      <c r="U940" s="94" t="str">
        <f t="shared" si="648"/>
        <v/>
      </c>
      <c r="X940" s="96"/>
      <c r="Y940" s="97" t="str">
        <f t="shared" si="650"/>
        <v/>
      </c>
      <c r="Z940" s="98" t="str">
        <f>SUBSTITUTE('Digitas UK Task 26'!$O940, "Complet", "Not Requir")</f>
        <v/>
      </c>
      <c r="AA940" s="98" t="str">
        <f t="shared" si="649"/>
        <v/>
      </c>
      <c r="AB940" s="99"/>
      <c r="AF940" s="84" t="str">
        <f t="shared" si="645"/>
        <v/>
      </c>
      <c r="AH940" s="84" t="str">
        <f t="shared" si="640"/>
        <v/>
      </c>
      <c r="AI940" s="84" t="str">
        <f t="shared" si="641"/>
        <v/>
      </c>
    </row>
    <row r="941" spans="1:35" ht="15.75" customHeight="1" x14ac:dyDescent="0.3">
      <c r="A941" s="85" t="str">
        <f t="shared" si="647"/>
        <v/>
      </c>
      <c r="C941" s="87"/>
      <c r="E941" s="87"/>
      <c r="H941" s="87"/>
      <c r="I941" s="87"/>
      <c r="O941" s="90" t="str">
        <f t="shared" si="642"/>
        <v/>
      </c>
      <c r="Q941" s="91" t="str">
        <f t="shared" si="643"/>
        <v/>
      </c>
      <c r="R941" s="91" t="str">
        <f t="shared" si="646"/>
        <v/>
      </c>
      <c r="S941" s="92" t="str">
        <f t="shared" si="644"/>
        <v/>
      </c>
      <c r="T941" s="93"/>
      <c r="U941" s="94" t="str">
        <f t="shared" si="648"/>
        <v/>
      </c>
      <c r="X941" s="96"/>
      <c r="Y941" s="97" t="str">
        <f t="shared" si="650"/>
        <v/>
      </c>
      <c r="Z941" s="98" t="str">
        <f>SUBSTITUTE('Digitas UK Task 26'!$O941, "Complet", "Not Requir")</f>
        <v/>
      </c>
      <c r="AA941" s="98" t="str">
        <f t="shared" si="649"/>
        <v/>
      </c>
      <c r="AB941" s="99"/>
      <c r="AF941" s="84" t="str">
        <f t="shared" si="645"/>
        <v/>
      </c>
      <c r="AH941" s="84" t="str">
        <f t="shared" si="640"/>
        <v/>
      </c>
      <c r="AI941" s="84" t="str">
        <f t="shared" si="641"/>
        <v/>
      </c>
    </row>
    <row r="942" spans="1:35" ht="15.75" customHeight="1" x14ac:dyDescent="0.3">
      <c r="A942" s="85" t="str">
        <f t="shared" si="647"/>
        <v/>
      </c>
      <c r="C942" s="87"/>
      <c r="E942" s="87"/>
      <c r="H942" s="87"/>
      <c r="I942" s="87"/>
      <c r="O942" s="90" t="str">
        <f t="shared" si="642"/>
        <v/>
      </c>
      <c r="Q942" s="91" t="str">
        <f t="shared" si="643"/>
        <v/>
      </c>
      <c r="R942" s="91" t="str">
        <f t="shared" si="646"/>
        <v/>
      </c>
      <c r="S942" s="92" t="str">
        <f t="shared" si="644"/>
        <v/>
      </c>
      <c r="T942" s="93"/>
      <c r="U942" s="94" t="str">
        <f t="shared" si="648"/>
        <v/>
      </c>
      <c r="X942" s="96"/>
      <c r="Y942" s="97" t="str">
        <f t="shared" si="650"/>
        <v/>
      </c>
      <c r="Z942" s="98" t="str">
        <f>SUBSTITUTE('Digitas UK Task 26'!$O942, "Complet", "Not Requir")</f>
        <v/>
      </c>
      <c r="AA942" s="98" t="str">
        <f t="shared" si="649"/>
        <v/>
      </c>
      <c r="AB942" s="99"/>
      <c r="AF942" s="84" t="str">
        <f t="shared" si="645"/>
        <v/>
      </c>
      <c r="AH942" s="84" t="str">
        <f t="shared" si="640"/>
        <v/>
      </c>
      <c r="AI942" s="84" t="str">
        <f t="shared" si="641"/>
        <v/>
      </c>
    </row>
    <row r="943" spans="1:35" ht="15.75" customHeight="1" x14ac:dyDescent="0.3">
      <c r="A943" s="85" t="str">
        <f t="shared" si="647"/>
        <v/>
      </c>
      <c r="C943" s="87"/>
      <c r="E943" s="87"/>
      <c r="H943" s="87"/>
      <c r="I943" s="87"/>
      <c r="O943" s="90" t="str">
        <f t="shared" si="642"/>
        <v/>
      </c>
      <c r="Q943" s="91" t="str">
        <f t="shared" si="643"/>
        <v/>
      </c>
      <c r="R943" s="91" t="str">
        <f t="shared" si="646"/>
        <v/>
      </c>
      <c r="S943" s="92" t="str">
        <f t="shared" si="644"/>
        <v/>
      </c>
      <c r="T943" s="93"/>
      <c r="U943" s="94" t="str">
        <f t="shared" si="648"/>
        <v/>
      </c>
      <c r="X943" s="96"/>
      <c r="Y943" s="97" t="str">
        <f t="shared" si="650"/>
        <v/>
      </c>
      <c r="Z943" s="98" t="str">
        <f>SUBSTITUTE('Digitas UK Task 26'!$O943, "Complet", "Not Requir")</f>
        <v/>
      </c>
      <c r="AA943" s="98" t="str">
        <f t="shared" si="649"/>
        <v/>
      </c>
      <c r="AB943" s="99"/>
      <c r="AF943" s="84" t="str">
        <f t="shared" si="645"/>
        <v/>
      </c>
      <c r="AH943" s="84" t="str">
        <f t="shared" ref="AH943:AH1006" si="651">IF(B943="","",_xlfn.CONCAT("PL_",J943,"_CR_",K943,"_AD_",L943,"_Jira_",IF(AND(C943="P&amp;G",ISNUMBER(SEARCH("TAAGPNG-",G943))),MID(G943,SEARCH("TAAGPNG-",G943)+8,LEN(G943)-SEARCH("TAAGPNG-",G943)-7),"0"),"_"))</f>
        <v/>
      </c>
      <c r="AI943" s="84" t="str">
        <f t="shared" si="641"/>
        <v/>
      </c>
    </row>
    <row r="944" spans="1:35" ht="15.75" customHeight="1" x14ac:dyDescent="0.3">
      <c r="A944" s="85" t="str">
        <f t="shared" si="647"/>
        <v/>
      </c>
      <c r="C944" s="87"/>
      <c r="E944" s="87"/>
      <c r="H944" s="87"/>
      <c r="I944" s="87"/>
      <c r="O944" s="90" t="str">
        <f t="shared" si="642"/>
        <v/>
      </c>
      <c r="Q944" s="91" t="str">
        <f t="shared" si="643"/>
        <v/>
      </c>
      <c r="R944" s="91" t="str">
        <f t="shared" si="646"/>
        <v/>
      </c>
      <c r="S944" s="92" t="str">
        <f t="shared" si="644"/>
        <v/>
      </c>
      <c r="T944" s="93"/>
      <c r="U944" s="94" t="str">
        <f t="shared" si="648"/>
        <v/>
      </c>
      <c r="X944" s="96"/>
      <c r="Y944" s="97" t="str">
        <f t="shared" si="650"/>
        <v/>
      </c>
      <c r="Z944" s="98" t="str">
        <f>SUBSTITUTE('Digitas UK Task 26'!$O944, "Complet", "Not Requir")</f>
        <v/>
      </c>
      <c r="AA944" s="98" t="str">
        <f t="shared" si="649"/>
        <v/>
      </c>
      <c r="AB944" s="99"/>
      <c r="AF944" s="84" t="str">
        <f t="shared" si="645"/>
        <v/>
      </c>
      <c r="AH944" s="84" t="str">
        <f t="shared" si="651"/>
        <v/>
      </c>
      <c r="AI944" s="84" t="str">
        <f t="shared" si="641"/>
        <v/>
      </c>
    </row>
    <row r="945" spans="1:35" ht="15.75" customHeight="1" x14ac:dyDescent="0.3">
      <c r="A945" s="85" t="str">
        <f t="shared" si="647"/>
        <v/>
      </c>
      <c r="C945" s="87"/>
      <c r="E945" s="87"/>
      <c r="H945" s="87"/>
      <c r="I945" s="87"/>
      <c r="O945" s="90" t="str">
        <f t="shared" si="642"/>
        <v/>
      </c>
      <c r="Q945" s="91" t="str">
        <f t="shared" si="643"/>
        <v/>
      </c>
      <c r="R945" s="91" t="str">
        <f t="shared" si="646"/>
        <v/>
      </c>
      <c r="S945" s="92" t="str">
        <f t="shared" si="644"/>
        <v/>
      </c>
      <c r="T945" s="93"/>
      <c r="U945" s="94" t="str">
        <f t="shared" si="648"/>
        <v/>
      </c>
      <c r="X945" s="96"/>
      <c r="Y945" s="97" t="str">
        <f t="shared" si="650"/>
        <v/>
      </c>
      <c r="Z945" s="98" t="str">
        <f>SUBSTITUTE('Digitas UK Task 26'!$O945, "Complet", "Not Requir")</f>
        <v/>
      </c>
      <c r="AA945" s="98" t="str">
        <f t="shared" si="649"/>
        <v/>
      </c>
      <c r="AB945" s="99"/>
      <c r="AF945" s="84" t="str">
        <f t="shared" si="645"/>
        <v/>
      </c>
      <c r="AH945" s="84" t="str">
        <f t="shared" si="651"/>
        <v/>
      </c>
      <c r="AI945" s="84" t="str">
        <f t="shared" si="641"/>
        <v/>
      </c>
    </row>
    <row r="946" spans="1:35" ht="15.75" customHeight="1" x14ac:dyDescent="0.3">
      <c r="A946" s="85" t="str">
        <f t="shared" si="647"/>
        <v/>
      </c>
      <c r="C946" s="87"/>
      <c r="E946" s="87"/>
      <c r="H946" s="87"/>
      <c r="I946" s="87"/>
      <c r="O946" s="90" t="str">
        <f t="shared" si="642"/>
        <v/>
      </c>
      <c r="Q946" s="91" t="str">
        <f t="shared" si="643"/>
        <v/>
      </c>
      <c r="R946" s="91" t="str">
        <f t="shared" si="646"/>
        <v/>
      </c>
      <c r="S946" s="92" t="str">
        <f t="shared" si="644"/>
        <v/>
      </c>
      <c r="T946" s="93"/>
      <c r="U946" s="94" t="str">
        <f t="shared" si="648"/>
        <v/>
      </c>
      <c r="X946" s="96"/>
      <c r="Y946" s="97" t="str">
        <f t="shared" si="650"/>
        <v/>
      </c>
      <c r="Z946" s="98" t="str">
        <f>SUBSTITUTE('Digitas UK Task 26'!$O946, "Complet", "Not Requir")</f>
        <v/>
      </c>
      <c r="AA946" s="98" t="str">
        <f t="shared" si="649"/>
        <v/>
      </c>
      <c r="AB946" s="99"/>
      <c r="AF946" s="84" t="str">
        <f t="shared" si="645"/>
        <v/>
      </c>
      <c r="AH946" s="84" t="str">
        <f t="shared" si="651"/>
        <v/>
      </c>
      <c r="AI946" s="84" t="str">
        <f t="shared" si="641"/>
        <v/>
      </c>
    </row>
    <row r="947" spans="1:35" ht="15.75" customHeight="1" x14ac:dyDescent="0.3">
      <c r="A947" s="85" t="str">
        <f t="shared" si="647"/>
        <v/>
      </c>
      <c r="C947" s="87"/>
      <c r="E947" s="87"/>
      <c r="H947" s="87"/>
      <c r="I947" s="87"/>
      <c r="O947" s="90" t="str">
        <f t="shared" si="642"/>
        <v/>
      </c>
      <c r="Q947" s="91" t="str">
        <f t="shared" si="643"/>
        <v/>
      </c>
      <c r="R947" s="91" t="str">
        <f t="shared" si="646"/>
        <v/>
      </c>
      <c r="S947" s="92" t="str">
        <f t="shared" si="644"/>
        <v/>
      </c>
      <c r="T947" s="93"/>
      <c r="U947" s="94" t="str">
        <f t="shared" si="648"/>
        <v/>
      </c>
      <c r="X947" s="96"/>
      <c r="Y947" s="97" t="str">
        <f t="shared" si="650"/>
        <v/>
      </c>
      <c r="Z947" s="98" t="str">
        <f>SUBSTITUTE('Digitas UK Task 26'!$O947, "Complet", "Not Requir")</f>
        <v/>
      </c>
      <c r="AA947" s="98" t="str">
        <f t="shared" si="649"/>
        <v/>
      </c>
      <c r="AB947" s="99"/>
      <c r="AF947" s="84" t="str">
        <f t="shared" si="645"/>
        <v/>
      </c>
      <c r="AH947" s="84" t="str">
        <f t="shared" si="651"/>
        <v/>
      </c>
      <c r="AI947" s="84" t="str">
        <f t="shared" si="641"/>
        <v/>
      </c>
    </row>
    <row r="948" spans="1:35" ht="15.75" customHeight="1" x14ac:dyDescent="0.3">
      <c r="A948" s="85" t="str">
        <f t="shared" si="647"/>
        <v/>
      </c>
      <c r="C948" s="87"/>
      <c r="E948" s="87"/>
      <c r="H948" s="87"/>
      <c r="I948" s="87"/>
      <c r="O948" s="90" t="str">
        <f t="shared" si="642"/>
        <v/>
      </c>
      <c r="Q948" s="91" t="str">
        <f t="shared" si="643"/>
        <v/>
      </c>
      <c r="R948" s="91" t="str">
        <f t="shared" si="646"/>
        <v/>
      </c>
      <c r="S948" s="92" t="str">
        <f t="shared" si="644"/>
        <v/>
      </c>
      <c r="T948" s="93"/>
      <c r="U948" s="94" t="str">
        <f t="shared" si="648"/>
        <v/>
      </c>
      <c r="X948" s="96"/>
      <c r="Y948" s="97" t="str">
        <f t="shared" si="650"/>
        <v/>
      </c>
      <c r="Z948" s="98" t="str">
        <f>SUBSTITUTE('Digitas UK Task 26'!$O948, "Complet", "Not Requir")</f>
        <v/>
      </c>
      <c r="AA948" s="98" t="str">
        <f t="shared" si="649"/>
        <v/>
      </c>
      <c r="AB948" s="99"/>
      <c r="AF948" s="84" t="str">
        <f t="shared" si="645"/>
        <v/>
      </c>
      <c r="AH948" s="84" t="str">
        <f t="shared" si="651"/>
        <v/>
      </c>
      <c r="AI948" s="84" t="str">
        <f t="shared" si="641"/>
        <v/>
      </c>
    </row>
    <row r="949" spans="1:35" ht="15.75" customHeight="1" x14ac:dyDescent="0.3">
      <c r="A949" s="85" t="str">
        <f t="shared" si="647"/>
        <v/>
      </c>
      <c r="C949" s="87"/>
      <c r="E949" s="87"/>
      <c r="H949" s="87"/>
      <c r="I949" s="87"/>
      <c r="O949" s="90" t="str">
        <f t="shared" si="642"/>
        <v/>
      </c>
      <c r="Q949" s="91" t="str">
        <f t="shared" si="643"/>
        <v/>
      </c>
      <c r="R949" s="91" t="str">
        <f t="shared" si="646"/>
        <v/>
      </c>
      <c r="S949" s="92" t="str">
        <f t="shared" si="644"/>
        <v/>
      </c>
      <c r="T949" s="93"/>
      <c r="U949" s="94" t="str">
        <f t="shared" si="648"/>
        <v/>
      </c>
      <c r="X949" s="96"/>
      <c r="Y949" s="97" t="str">
        <f t="shared" si="650"/>
        <v/>
      </c>
      <c r="Z949" s="98" t="str">
        <f>SUBSTITUTE('Digitas UK Task 26'!$O949, "Complet", "Not Requir")</f>
        <v/>
      </c>
      <c r="AA949" s="98" t="str">
        <f t="shared" si="649"/>
        <v/>
      </c>
      <c r="AB949" s="99"/>
      <c r="AF949" s="84" t="str">
        <f t="shared" si="645"/>
        <v/>
      </c>
      <c r="AH949" s="84" t="str">
        <f t="shared" si="651"/>
        <v/>
      </c>
      <c r="AI949" s="84" t="str">
        <f t="shared" ref="AI949:AI1012" si="652">IF(U949&lt;&gt;"Done","",_xlfn.CONCAT("PL_",J949,"_CR_",K949,"_AD_",L949,"_Jira_",IF(AND(C949="P&amp;G",ISNUMBER(SEARCH("TAAGPNG-",G949))),MID(G949,SEARCH("TAAGPNG-",G949)+8,LEN(G949)-SEARCH("TAAGPNG-",G949)-7),"0"),"_"))</f>
        <v/>
      </c>
    </row>
    <row r="950" spans="1:35" ht="15.75" customHeight="1" x14ac:dyDescent="0.3">
      <c r="A950" s="85" t="str">
        <f t="shared" si="647"/>
        <v/>
      </c>
      <c r="C950" s="87"/>
      <c r="E950" s="87"/>
      <c r="H950" s="87"/>
      <c r="I950" s="87"/>
      <c r="O950" s="90" t="str">
        <f t="shared" si="642"/>
        <v/>
      </c>
      <c r="Q950" s="91" t="str">
        <f t="shared" si="643"/>
        <v/>
      </c>
      <c r="R950" s="91" t="str">
        <f t="shared" si="646"/>
        <v/>
      </c>
      <c r="S950" s="92" t="str">
        <f t="shared" si="644"/>
        <v/>
      </c>
      <c r="T950" s="93"/>
      <c r="U950" s="94" t="str">
        <f t="shared" si="648"/>
        <v/>
      </c>
      <c r="X950" s="96"/>
      <c r="Y950" s="97" t="str">
        <f t="shared" si="650"/>
        <v/>
      </c>
      <c r="Z950" s="98" t="str">
        <f>SUBSTITUTE('Digitas UK Task 26'!$O950, "Complet", "Not Requir")</f>
        <v/>
      </c>
      <c r="AA950" s="98" t="str">
        <f t="shared" si="649"/>
        <v/>
      </c>
      <c r="AB950" s="99"/>
      <c r="AF950" s="84" t="str">
        <f t="shared" si="645"/>
        <v/>
      </c>
      <c r="AH950" s="84" t="str">
        <f t="shared" si="651"/>
        <v/>
      </c>
      <c r="AI950" s="84" t="str">
        <f t="shared" si="652"/>
        <v/>
      </c>
    </row>
    <row r="951" spans="1:35" ht="15.75" customHeight="1" x14ac:dyDescent="0.3">
      <c r="A951" s="85" t="str">
        <f t="shared" si="647"/>
        <v/>
      </c>
      <c r="C951" s="87"/>
      <c r="E951" s="87"/>
      <c r="H951" s="87"/>
      <c r="I951" s="87"/>
      <c r="O951" s="90" t="str">
        <f t="shared" ref="O951:O1014" si="653">IF(F951="","","In-process")</f>
        <v/>
      </c>
      <c r="Q951" s="91" t="str">
        <f t="shared" si="643"/>
        <v/>
      </c>
      <c r="R951" s="91" t="str">
        <f t="shared" si="646"/>
        <v/>
      </c>
      <c r="S951" s="92" t="str">
        <f t="shared" si="644"/>
        <v/>
      </c>
      <c r="T951" s="93"/>
      <c r="U951" s="94" t="str">
        <f t="shared" si="648"/>
        <v/>
      </c>
      <c r="X951" s="96"/>
      <c r="Y951" s="97" t="str">
        <f t="shared" si="650"/>
        <v/>
      </c>
      <c r="Z951" s="98" t="str">
        <f>SUBSTITUTE('Digitas UK Task 26'!$O951, "Complet", "Not Requir")</f>
        <v/>
      </c>
      <c r="AA951" s="98" t="str">
        <f t="shared" si="649"/>
        <v/>
      </c>
      <c r="AB951" s="99"/>
      <c r="AF951" s="84" t="str">
        <f t="shared" si="645"/>
        <v/>
      </c>
      <c r="AH951" s="84" t="str">
        <f t="shared" si="651"/>
        <v/>
      </c>
      <c r="AI951" s="84" t="str">
        <f t="shared" si="652"/>
        <v/>
      </c>
    </row>
    <row r="952" spans="1:35" ht="15.75" customHeight="1" x14ac:dyDescent="0.3">
      <c r="A952" s="85" t="str">
        <f t="shared" si="647"/>
        <v/>
      </c>
      <c r="C952" s="87"/>
      <c r="E952" s="87"/>
      <c r="H952" s="87"/>
      <c r="I952" s="87"/>
      <c r="O952" s="90" t="str">
        <f t="shared" si="653"/>
        <v/>
      </c>
      <c r="Q952" s="91" t="str">
        <f t="shared" si="643"/>
        <v/>
      </c>
      <c r="R952" s="91" t="str">
        <f t="shared" si="646"/>
        <v/>
      </c>
      <c r="S952" s="92" t="str">
        <f t="shared" si="644"/>
        <v/>
      </c>
      <c r="T952" s="93"/>
      <c r="U952" s="94" t="str">
        <f t="shared" si="648"/>
        <v/>
      </c>
      <c r="X952" s="96"/>
      <c r="Y952" s="97" t="str">
        <f t="shared" si="650"/>
        <v/>
      </c>
      <c r="Z952" s="98" t="str">
        <f>SUBSTITUTE('Digitas UK Task 26'!$O952, "Complet", "Not Requir")</f>
        <v/>
      </c>
      <c r="AA952" s="98" t="str">
        <f t="shared" si="649"/>
        <v/>
      </c>
      <c r="AB952" s="99"/>
      <c r="AF952" s="84" t="str">
        <f t="shared" si="645"/>
        <v/>
      </c>
      <c r="AH952" s="84" t="str">
        <f t="shared" si="651"/>
        <v/>
      </c>
      <c r="AI952" s="84" t="str">
        <f t="shared" si="652"/>
        <v/>
      </c>
    </row>
    <row r="953" spans="1:35" ht="15.75" customHeight="1" x14ac:dyDescent="0.3">
      <c r="A953" s="85" t="str">
        <f t="shared" si="647"/>
        <v/>
      </c>
      <c r="C953" s="87"/>
      <c r="E953" s="87"/>
      <c r="H953" s="87"/>
      <c r="I953" s="87"/>
      <c r="O953" s="90" t="str">
        <f t="shared" si="653"/>
        <v/>
      </c>
      <c r="Q953" s="91" t="str">
        <f t="shared" si="643"/>
        <v/>
      </c>
      <c r="R953" s="91" t="str">
        <f t="shared" si="646"/>
        <v/>
      </c>
      <c r="S953" s="92" t="str">
        <f t="shared" si="644"/>
        <v/>
      </c>
      <c r="T953" s="93"/>
      <c r="U953" s="94" t="str">
        <f t="shared" si="648"/>
        <v/>
      </c>
      <c r="X953" s="96"/>
      <c r="Y953" s="97" t="str">
        <f t="shared" si="650"/>
        <v/>
      </c>
      <c r="Z953" s="98" t="str">
        <f>SUBSTITUTE('Digitas UK Task 26'!$O953, "Complet", "Not Requir")</f>
        <v/>
      </c>
      <c r="AA953" s="98" t="str">
        <f t="shared" si="649"/>
        <v/>
      </c>
      <c r="AB953" s="99"/>
      <c r="AF953" s="84" t="str">
        <f t="shared" si="645"/>
        <v/>
      </c>
      <c r="AH953" s="84" t="str">
        <f t="shared" si="651"/>
        <v/>
      </c>
      <c r="AI953" s="84" t="str">
        <f t="shared" si="652"/>
        <v/>
      </c>
    </row>
    <row r="954" spans="1:35" ht="15.75" customHeight="1" x14ac:dyDescent="0.3">
      <c r="A954" s="85" t="str">
        <f t="shared" si="647"/>
        <v/>
      </c>
      <c r="C954" s="87"/>
      <c r="E954" s="87"/>
      <c r="H954" s="87"/>
      <c r="I954" s="87"/>
      <c r="O954" s="90" t="str">
        <f t="shared" si="653"/>
        <v/>
      </c>
      <c r="Q954" s="91" t="str">
        <f t="shared" si="643"/>
        <v/>
      </c>
      <c r="R954" s="91" t="str">
        <f t="shared" si="646"/>
        <v/>
      </c>
      <c r="S954" s="92" t="str">
        <f t="shared" si="644"/>
        <v/>
      </c>
      <c r="T954" s="93"/>
      <c r="U954" s="94" t="str">
        <f t="shared" si="648"/>
        <v/>
      </c>
      <c r="X954" s="96"/>
      <c r="Y954" s="97" t="str">
        <f t="shared" si="650"/>
        <v/>
      </c>
      <c r="Z954" s="98" t="str">
        <f>SUBSTITUTE('Digitas UK Task 26'!$O954, "Complet", "Not Requir")</f>
        <v/>
      </c>
      <c r="AA954" s="98" t="str">
        <f t="shared" si="649"/>
        <v/>
      </c>
      <c r="AB954" s="99"/>
      <c r="AF954" s="84" t="str">
        <f t="shared" si="645"/>
        <v/>
      </c>
      <c r="AH954" s="84" t="str">
        <f t="shared" si="651"/>
        <v/>
      </c>
      <c r="AI954" s="84" t="str">
        <f t="shared" si="652"/>
        <v/>
      </c>
    </row>
    <row r="955" spans="1:35" ht="15.75" customHeight="1" x14ac:dyDescent="0.3">
      <c r="A955" s="85" t="str">
        <f t="shared" si="647"/>
        <v/>
      </c>
      <c r="C955" s="87"/>
      <c r="E955" s="87"/>
      <c r="H955" s="87"/>
      <c r="I955" s="87"/>
      <c r="O955" s="90" t="str">
        <f t="shared" si="653"/>
        <v/>
      </c>
      <c r="Q955" s="91" t="str">
        <f t="shared" si="643"/>
        <v/>
      </c>
      <c r="R955" s="91" t="str">
        <f t="shared" si="646"/>
        <v/>
      </c>
      <c r="S955" s="92" t="str">
        <f t="shared" si="644"/>
        <v/>
      </c>
      <c r="T955" s="93"/>
      <c r="U955" s="94" t="str">
        <f t="shared" si="648"/>
        <v/>
      </c>
      <c r="X955" s="96"/>
      <c r="Y955" s="97" t="str">
        <f t="shared" si="650"/>
        <v/>
      </c>
      <c r="Z955" s="98" t="str">
        <f>SUBSTITUTE('Digitas UK Task 26'!$O955, "Complet", "Not Requir")</f>
        <v/>
      </c>
      <c r="AA955" s="98" t="str">
        <f t="shared" si="649"/>
        <v/>
      </c>
      <c r="AB955" s="99"/>
      <c r="AF955" s="84" t="str">
        <f t="shared" si="645"/>
        <v/>
      </c>
      <c r="AH955" s="84" t="str">
        <f t="shared" si="651"/>
        <v/>
      </c>
      <c r="AI955" s="84" t="str">
        <f t="shared" si="652"/>
        <v/>
      </c>
    </row>
    <row r="956" spans="1:35" ht="15.75" customHeight="1" x14ac:dyDescent="0.3">
      <c r="A956" s="85" t="str">
        <f t="shared" si="647"/>
        <v/>
      </c>
      <c r="C956" s="87"/>
      <c r="E956" s="87"/>
      <c r="H956" s="87"/>
      <c r="I956" s="87"/>
      <c r="O956" s="90" t="str">
        <f t="shared" si="653"/>
        <v/>
      </c>
      <c r="Q956" s="91" t="str">
        <f t="shared" si="643"/>
        <v/>
      </c>
      <c r="R956" s="91" t="str">
        <f t="shared" si="646"/>
        <v/>
      </c>
      <c r="S956" s="92" t="str">
        <f t="shared" si="644"/>
        <v/>
      </c>
      <c r="T956" s="93"/>
      <c r="U956" s="94" t="str">
        <f t="shared" si="648"/>
        <v/>
      </c>
      <c r="X956" s="96"/>
      <c r="Y956" s="97" t="str">
        <f t="shared" si="650"/>
        <v/>
      </c>
      <c r="Z956" s="98" t="str">
        <f>SUBSTITUTE('Digitas UK Task 26'!$O956, "Complet", "Not Requir")</f>
        <v/>
      </c>
      <c r="AA956" s="98" t="str">
        <f t="shared" si="649"/>
        <v/>
      </c>
      <c r="AB956" s="99"/>
      <c r="AF956" s="84" t="str">
        <f t="shared" si="645"/>
        <v/>
      </c>
      <c r="AH956" s="84" t="str">
        <f t="shared" si="651"/>
        <v/>
      </c>
      <c r="AI956" s="84" t="str">
        <f t="shared" si="652"/>
        <v/>
      </c>
    </row>
    <row r="957" spans="1:35" ht="15.75" customHeight="1" x14ac:dyDescent="0.3">
      <c r="A957" s="85" t="str">
        <f t="shared" si="647"/>
        <v/>
      </c>
      <c r="C957" s="87"/>
      <c r="E957" s="87"/>
      <c r="H957" s="87"/>
      <c r="I957" s="87"/>
      <c r="O957" s="90" t="str">
        <f t="shared" si="653"/>
        <v/>
      </c>
      <c r="Q957" s="91" t="str">
        <f t="shared" si="643"/>
        <v/>
      </c>
      <c r="R957" s="91" t="str">
        <f t="shared" si="646"/>
        <v/>
      </c>
      <c r="S957" s="92" t="str">
        <f t="shared" si="644"/>
        <v/>
      </c>
      <c r="T957" s="93"/>
      <c r="U957" s="94" t="str">
        <f t="shared" si="648"/>
        <v/>
      </c>
      <c r="X957" s="96"/>
      <c r="Y957" s="97" t="str">
        <f t="shared" si="650"/>
        <v/>
      </c>
      <c r="Z957" s="98" t="str">
        <f>SUBSTITUTE('Digitas UK Task 26'!$O957, "Complet", "Not Requir")</f>
        <v/>
      </c>
      <c r="AA957" s="98" t="str">
        <f t="shared" si="649"/>
        <v/>
      </c>
      <c r="AB957" s="99"/>
      <c r="AF957" s="84" t="str">
        <f t="shared" si="645"/>
        <v/>
      </c>
      <c r="AH957" s="84" t="str">
        <f t="shared" si="651"/>
        <v/>
      </c>
      <c r="AI957" s="84" t="str">
        <f t="shared" si="652"/>
        <v/>
      </c>
    </row>
    <row r="958" spans="1:35" ht="15.75" customHeight="1" x14ac:dyDescent="0.3">
      <c r="A958" s="85" t="str">
        <f t="shared" si="647"/>
        <v/>
      </c>
      <c r="C958" s="87"/>
      <c r="E958" s="87"/>
      <c r="H958" s="87"/>
      <c r="I958" s="87"/>
      <c r="O958" s="90" t="str">
        <f t="shared" si="653"/>
        <v/>
      </c>
      <c r="Q958" s="91" t="str">
        <f t="shared" si="643"/>
        <v/>
      </c>
      <c r="R958" s="91" t="str">
        <f t="shared" si="646"/>
        <v/>
      </c>
      <c r="S958" s="92" t="str">
        <f t="shared" si="644"/>
        <v/>
      </c>
      <c r="T958" s="93"/>
      <c r="U958" s="94" t="str">
        <f t="shared" si="648"/>
        <v/>
      </c>
      <c r="X958" s="96"/>
      <c r="Y958" s="97" t="str">
        <f t="shared" si="650"/>
        <v/>
      </c>
      <c r="Z958" s="98" t="str">
        <f>SUBSTITUTE('Digitas UK Task 26'!$O958, "Complet", "Not Requir")</f>
        <v/>
      </c>
      <c r="AA958" s="98" t="str">
        <f t="shared" si="649"/>
        <v/>
      </c>
      <c r="AB958" s="99"/>
      <c r="AF958" s="84" t="str">
        <f t="shared" si="645"/>
        <v/>
      </c>
      <c r="AH958" s="84" t="str">
        <f t="shared" si="651"/>
        <v/>
      </c>
      <c r="AI958" s="84" t="str">
        <f t="shared" si="652"/>
        <v/>
      </c>
    </row>
    <row r="959" spans="1:35" ht="15.75" customHeight="1" x14ac:dyDescent="0.3">
      <c r="A959" s="85" t="str">
        <f t="shared" si="647"/>
        <v/>
      </c>
      <c r="C959" s="87"/>
      <c r="E959" s="87"/>
      <c r="H959" s="87"/>
      <c r="I959" s="87"/>
      <c r="O959" s="90" t="str">
        <f t="shared" si="653"/>
        <v/>
      </c>
      <c r="Q959" s="91" t="str">
        <f t="shared" si="643"/>
        <v/>
      </c>
      <c r="R959" s="91" t="str">
        <f t="shared" si="646"/>
        <v/>
      </c>
      <c r="S959" s="92" t="str">
        <f t="shared" si="644"/>
        <v/>
      </c>
      <c r="T959" s="93"/>
      <c r="U959" s="94" t="str">
        <f t="shared" si="648"/>
        <v/>
      </c>
      <c r="X959" s="96"/>
      <c r="Y959" s="97" t="str">
        <f t="shared" si="650"/>
        <v/>
      </c>
      <c r="Z959" s="98" t="str">
        <f>SUBSTITUTE('Digitas UK Task 26'!$O959, "Complet", "Not Requir")</f>
        <v/>
      </c>
      <c r="AA959" s="98" t="str">
        <f t="shared" si="649"/>
        <v/>
      </c>
      <c r="AB959" s="99"/>
      <c r="AF959" s="84" t="str">
        <f t="shared" si="645"/>
        <v/>
      </c>
      <c r="AH959" s="84" t="str">
        <f t="shared" si="651"/>
        <v/>
      </c>
      <c r="AI959" s="84" t="str">
        <f t="shared" si="652"/>
        <v/>
      </c>
    </row>
    <row r="960" spans="1:35" ht="15.75" customHeight="1" x14ac:dyDescent="0.3">
      <c r="A960" s="85" t="str">
        <f t="shared" si="647"/>
        <v/>
      </c>
      <c r="C960" s="87"/>
      <c r="E960" s="87"/>
      <c r="H960" s="87"/>
      <c r="I960" s="87"/>
      <c r="O960" s="90" t="str">
        <f t="shared" si="653"/>
        <v/>
      </c>
      <c r="Q960" s="91" t="str">
        <f t="shared" si="643"/>
        <v/>
      </c>
      <c r="R960" s="91" t="str">
        <f t="shared" si="646"/>
        <v/>
      </c>
      <c r="S960" s="92" t="str">
        <f t="shared" si="644"/>
        <v/>
      </c>
      <c r="T960" s="93"/>
      <c r="U960" s="94" t="str">
        <f t="shared" si="648"/>
        <v/>
      </c>
      <c r="X960" s="96"/>
      <c r="Y960" s="97" t="str">
        <f t="shared" si="650"/>
        <v/>
      </c>
      <c r="Z960" s="98" t="str">
        <f>SUBSTITUTE('Digitas UK Task 26'!$O960, "Complet", "Not Requir")</f>
        <v/>
      </c>
      <c r="AA960" s="98" t="str">
        <f t="shared" si="649"/>
        <v/>
      </c>
      <c r="AB960" s="99"/>
      <c r="AF960" s="84" t="str">
        <f t="shared" si="645"/>
        <v/>
      </c>
      <c r="AH960" s="84" t="str">
        <f t="shared" si="651"/>
        <v/>
      </c>
      <c r="AI960" s="84" t="str">
        <f t="shared" si="652"/>
        <v/>
      </c>
    </row>
    <row r="961" spans="1:35" ht="15.75" customHeight="1" x14ac:dyDescent="0.3">
      <c r="A961" s="85" t="str">
        <f t="shared" si="647"/>
        <v/>
      </c>
      <c r="C961" s="87"/>
      <c r="E961" s="87"/>
      <c r="H961" s="87"/>
      <c r="I961" s="87"/>
      <c r="O961" s="90" t="str">
        <f t="shared" si="653"/>
        <v/>
      </c>
      <c r="Q961" s="91" t="str">
        <f t="shared" si="643"/>
        <v/>
      </c>
      <c r="R961" s="91" t="str">
        <f t="shared" si="646"/>
        <v/>
      </c>
      <c r="S961" s="92" t="str">
        <f t="shared" si="644"/>
        <v/>
      </c>
      <c r="T961" s="93"/>
      <c r="U961" s="94" t="str">
        <f t="shared" si="648"/>
        <v/>
      </c>
      <c r="X961" s="96"/>
      <c r="Y961" s="97" t="str">
        <f t="shared" si="650"/>
        <v/>
      </c>
      <c r="Z961" s="98" t="str">
        <f>SUBSTITUTE('Digitas UK Task 26'!$O961, "Complet", "Not Requir")</f>
        <v/>
      </c>
      <c r="AA961" s="98" t="str">
        <f t="shared" si="649"/>
        <v/>
      </c>
      <c r="AB961" s="99"/>
      <c r="AF961" s="84" t="str">
        <f t="shared" si="645"/>
        <v/>
      </c>
      <c r="AH961" s="84" t="str">
        <f t="shared" si="651"/>
        <v/>
      </c>
      <c r="AI961" s="84" t="str">
        <f t="shared" si="652"/>
        <v/>
      </c>
    </row>
    <row r="962" spans="1:35" ht="15.75" customHeight="1" x14ac:dyDescent="0.3">
      <c r="A962" s="85" t="str">
        <f t="shared" si="647"/>
        <v/>
      </c>
      <c r="C962" s="87"/>
      <c r="E962" s="87"/>
      <c r="H962" s="87"/>
      <c r="I962" s="87"/>
      <c r="O962" s="90" t="str">
        <f t="shared" si="653"/>
        <v/>
      </c>
      <c r="Q962" s="91" t="str">
        <f t="shared" si="643"/>
        <v/>
      </c>
      <c r="R962" s="91" t="str">
        <f t="shared" si="646"/>
        <v/>
      </c>
      <c r="S962" s="92" t="str">
        <f t="shared" si="644"/>
        <v/>
      </c>
      <c r="T962" s="93"/>
      <c r="U962" s="94" t="str">
        <f t="shared" si="648"/>
        <v/>
      </c>
      <c r="X962" s="96"/>
      <c r="Y962" s="97" t="str">
        <f t="shared" si="650"/>
        <v/>
      </c>
      <c r="Z962" s="98" t="str">
        <f>SUBSTITUTE('Digitas UK Task 26'!$O962, "Complet", "Not Requir")</f>
        <v/>
      </c>
      <c r="AA962" s="98" t="str">
        <f t="shared" si="649"/>
        <v/>
      </c>
      <c r="AB962" s="99"/>
      <c r="AF962" s="84" t="str">
        <f t="shared" si="645"/>
        <v/>
      </c>
      <c r="AH962" s="84" t="str">
        <f t="shared" si="651"/>
        <v/>
      </c>
      <c r="AI962" s="84" t="str">
        <f t="shared" si="652"/>
        <v/>
      </c>
    </row>
    <row r="963" spans="1:35" ht="15.75" customHeight="1" x14ac:dyDescent="0.3">
      <c r="A963" s="85" t="str">
        <f t="shared" si="647"/>
        <v/>
      </c>
      <c r="C963" s="87"/>
      <c r="E963" s="87"/>
      <c r="H963" s="87"/>
      <c r="I963" s="87"/>
      <c r="O963" s="90" t="str">
        <f t="shared" si="653"/>
        <v/>
      </c>
      <c r="Q963" s="91" t="str">
        <f t="shared" si="643"/>
        <v/>
      </c>
      <c r="R963" s="91" t="str">
        <f t="shared" si="646"/>
        <v/>
      </c>
      <c r="S963" s="92" t="str">
        <f t="shared" si="644"/>
        <v/>
      </c>
      <c r="T963" s="93"/>
      <c r="U963" s="94" t="str">
        <f t="shared" si="648"/>
        <v/>
      </c>
      <c r="X963" s="96"/>
      <c r="Y963" s="97" t="str">
        <f t="shared" si="650"/>
        <v/>
      </c>
      <c r="Z963" s="98" t="str">
        <f>SUBSTITUTE('Digitas UK Task 26'!$O963, "Complet", "Not Requir")</f>
        <v/>
      </c>
      <c r="AA963" s="98" t="str">
        <f t="shared" si="649"/>
        <v/>
      </c>
      <c r="AB963" s="99"/>
      <c r="AF963" s="84" t="str">
        <f t="shared" si="645"/>
        <v/>
      </c>
      <c r="AH963" s="84" t="str">
        <f t="shared" si="651"/>
        <v/>
      </c>
      <c r="AI963" s="84" t="str">
        <f t="shared" si="652"/>
        <v/>
      </c>
    </row>
    <row r="964" spans="1:35" ht="15.75" customHeight="1" x14ac:dyDescent="0.3">
      <c r="A964" s="85" t="str">
        <f t="shared" si="647"/>
        <v/>
      </c>
      <c r="C964" s="87"/>
      <c r="E964" s="87"/>
      <c r="H964" s="87"/>
      <c r="I964" s="87"/>
      <c r="O964" s="90" t="str">
        <f t="shared" si="653"/>
        <v/>
      </c>
      <c r="Q964" s="91" t="str">
        <f t="shared" si="643"/>
        <v/>
      </c>
      <c r="R964" s="91" t="str">
        <f t="shared" si="646"/>
        <v/>
      </c>
      <c r="S964" s="92" t="str">
        <f t="shared" si="644"/>
        <v/>
      </c>
      <c r="T964" s="93"/>
      <c r="U964" s="94" t="str">
        <f t="shared" si="648"/>
        <v/>
      </c>
      <c r="X964" s="96"/>
      <c r="Y964" s="97" t="str">
        <f t="shared" si="650"/>
        <v/>
      </c>
      <c r="Z964" s="98" t="str">
        <f>SUBSTITUTE('Digitas UK Task 26'!$O964, "Complet", "Not Requir")</f>
        <v/>
      </c>
      <c r="AA964" s="98" t="str">
        <f t="shared" si="649"/>
        <v/>
      </c>
      <c r="AB964" s="99"/>
      <c r="AF964" s="84" t="str">
        <f t="shared" si="645"/>
        <v/>
      </c>
      <c r="AH964" s="84" t="str">
        <f t="shared" si="651"/>
        <v/>
      </c>
      <c r="AI964" s="84" t="str">
        <f t="shared" si="652"/>
        <v/>
      </c>
    </row>
    <row r="965" spans="1:35" ht="15.75" customHeight="1" x14ac:dyDescent="0.3">
      <c r="A965" s="85" t="str">
        <f t="shared" si="647"/>
        <v/>
      </c>
      <c r="C965" s="87"/>
      <c r="E965" s="87"/>
      <c r="H965" s="87"/>
      <c r="I965" s="87"/>
      <c r="O965" s="90" t="str">
        <f t="shared" si="653"/>
        <v/>
      </c>
      <c r="Q965" s="91" t="str">
        <f t="shared" si="643"/>
        <v/>
      </c>
      <c r="R965" s="91" t="str">
        <f t="shared" si="646"/>
        <v/>
      </c>
      <c r="S965" s="92" t="str">
        <f t="shared" si="644"/>
        <v/>
      </c>
      <c r="T965" s="93"/>
      <c r="U965" s="94" t="str">
        <f t="shared" si="648"/>
        <v/>
      </c>
      <c r="X965" s="96"/>
      <c r="Y965" s="97" t="str">
        <f t="shared" si="650"/>
        <v/>
      </c>
      <c r="Z965" s="98" t="str">
        <f>SUBSTITUTE('Digitas UK Task 26'!$O965, "Complet", "Not Requir")</f>
        <v/>
      </c>
      <c r="AA965" s="98" t="str">
        <f t="shared" si="649"/>
        <v/>
      </c>
      <c r="AB965" s="99"/>
      <c r="AF965" s="84" t="str">
        <f t="shared" si="645"/>
        <v/>
      </c>
      <c r="AH965" s="84" t="str">
        <f t="shared" si="651"/>
        <v/>
      </c>
      <c r="AI965" s="84" t="str">
        <f t="shared" si="652"/>
        <v/>
      </c>
    </row>
    <row r="966" spans="1:35" ht="15.75" customHeight="1" x14ac:dyDescent="0.3">
      <c r="A966" s="85" t="str">
        <f t="shared" si="647"/>
        <v/>
      </c>
      <c r="C966" s="87"/>
      <c r="E966" s="87"/>
      <c r="H966" s="87"/>
      <c r="I966" s="87"/>
      <c r="O966" s="90" t="str">
        <f t="shared" si="653"/>
        <v/>
      </c>
      <c r="Q966" s="91" t="str">
        <f t="shared" si="643"/>
        <v/>
      </c>
      <c r="R966" s="91" t="str">
        <f t="shared" si="646"/>
        <v/>
      </c>
      <c r="S966" s="92" t="str">
        <f t="shared" si="644"/>
        <v/>
      </c>
      <c r="T966" s="93"/>
      <c r="U966" s="94" t="str">
        <f t="shared" si="648"/>
        <v/>
      </c>
      <c r="X966" s="96"/>
      <c r="Y966" s="97" t="str">
        <f t="shared" si="650"/>
        <v/>
      </c>
      <c r="Z966" s="98" t="str">
        <f>SUBSTITUTE('Digitas UK Task 26'!$O966, "Complet", "Not Requir")</f>
        <v/>
      </c>
      <c r="AA966" s="98" t="str">
        <f t="shared" si="649"/>
        <v/>
      </c>
      <c r="AB966" s="99"/>
      <c r="AF966" s="84" t="str">
        <f t="shared" si="645"/>
        <v/>
      </c>
      <c r="AH966" s="84" t="str">
        <f t="shared" si="651"/>
        <v/>
      </c>
      <c r="AI966" s="84" t="str">
        <f t="shared" si="652"/>
        <v/>
      </c>
    </row>
    <row r="967" spans="1:35" ht="15.75" customHeight="1" x14ac:dyDescent="0.3">
      <c r="A967" s="85" t="str">
        <f t="shared" si="647"/>
        <v/>
      </c>
      <c r="C967" s="87"/>
      <c r="E967" s="87"/>
      <c r="H967" s="87"/>
      <c r="I967" s="87"/>
      <c r="O967" s="90" t="str">
        <f t="shared" si="653"/>
        <v/>
      </c>
      <c r="Q967" s="91" t="str">
        <f t="shared" si="643"/>
        <v/>
      </c>
      <c r="R967" s="91" t="str">
        <f t="shared" si="646"/>
        <v/>
      </c>
      <c r="S967" s="92" t="str">
        <f t="shared" si="644"/>
        <v/>
      </c>
      <c r="T967" s="93"/>
      <c r="U967" s="94" t="str">
        <f t="shared" si="648"/>
        <v/>
      </c>
      <c r="X967" s="96"/>
      <c r="Y967" s="97" t="str">
        <f t="shared" si="650"/>
        <v/>
      </c>
      <c r="Z967" s="98" t="str">
        <f>SUBSTITUTE('Digitas UK Task 26'!$O967, "Complet", "Not Requir")</f>
        <v/>
      </c>
      <c r="AA967" s="98" t="str">
        <f t="shared" si="649"/>
        <v/>
      </c>
      <c r="AB967" s="99"/>
      <c r="AF967" s="84" t="str">
        <f t="shared" si="645"/>
        <v/>
      </c>
      <c r="AH967" s="84" t="str">
        <f t="shared" si="651"/>
        <v/>
      </c>
      <c r="AI967" s="84" t="str">
        <f t="shared" si="652"/>
        <v/>
      </c>
    </row>
    <row r="968" spans="1:35" ht="15.75" customHeight="1" x14ac:dyDescent="0.3">
      <c r="A968" s="85" t="str">
        <f t="shared" si="647"/>
        <v/>
      </c>
      <c r="C968" s="87"/>
      <c r="E968" s="87"/>
      <c r="H968" s="87"/>
      <c r="I968" s="87"/>
      <c r="O968" s="90" t="str">
        <f t="shared" si="653"/>
        <v/>
      </c>
      <c r="Q968" s="91" t="str">
        <f t="shared" si="643"/>
        <v/>
      </c>
      <c r="R968" s="91" t="str">
        <f t="shared" si="646"/>
        <v/>
      </c>
      <c r="S968" s="92" t="str">
        <f t="shared" si="644"/>
        <v/>
      </c>
      <c r="T968" s="93"/>
      <c r="U968" s="94" t="str">
        <f t="shared" si="648"/>
        <v/>
      </c>
      <c r="X968" s="96"/>
      <c r="Y968" s="97" t="str">
        <f t="shared" si="650"/>
        <v/>
      </c>
      <c r="Z968" s="98" t="str">
        <f>SUBSTITUTE('Digitas UK Task 26'!$O968, "Complet", "Not Requir")</f>
        <v/>
      </c>
      <c r="AA968" s="98" t="str">
        <f t="shared" si="649"/>
        <v/>
      </c>
      <c r="AB968" s="99"/>
      <c r="AF968" s="84" t="str">
        <f t="shared" si="645"/>
        <v/>
      </c>
      <c r="AH968" s="84" t="str">
        <f t="shared" si="651"/>
        <v/>
      </c>
      <c r="AI968" s="84" t="str">
        <f t="shared" si="652"/>
        <v/>
      </c>
    </row>
    <row r="969" spans="1:35" ht="15.75" customHeight="1" x14ac:dyDescent="0.3">
      <c r="A969" s="85" t="str">
        <f t="shared" si="647"/>
        <v/>
      </c>
      <c r="C969" s="87"/>
      <c r="E969" s="87"/>
      <c r="H969" s="87"/>
      <c r="I969" s="87"/>
      <c r="O969" s="90" t="str">
        <f t="shared" si="653"/>
        <v/>
      </c>
      <c r="Q969" s="91" t="str">
        <f t="shared" si="643"/>
        <v/>
      </c>
      <c r="R969" s="91" t="str">
        <f t="shared" si="646"/>
        <v/>
      </c>
      <c r="S969" s="92" t="str">
        <f t="shared" si="644"/>
        <v/>
      </c>
      <c r="T969" s="93"/>
      <c r="U969" s="94" t="str">
        <f t="shared" si="648"/>
        <v/>
      </c>
      <c r="X969" s="96"/>
      <c r="Y969" s="97" t="str">
        <f t="shared" si="650"/>
        <v/>
      </c>
      <c r="Z969" s="98" t="str">
        <f>SUBSTITUTE('Digitas UK Task 26'!$O969, "Complet", "Not Requir")</f>
        <v/>
      </c>
      <c r="AA969" s="98" t="str">
        <f t="shared" si="649"/>
        <v/>
      </c>
      <c r="AB969" s="99"/>
      <c r="AF969" s="84" t="str">
        <f t="shared" si="645"/>
        <v/>
      </c>
      <c r="AH969" s="84" t="str">
        <f t="shared" si="651"/>
        <v/>
      </c>
      <c r="AI969" s="84" t="str">
        <f t="shared" si="652"/>
        <v/>
      </c>
    </row>
    <row r="970" spans="1:35" ht="15.75" customHeight="1" x14ac:dyDescent="0.3">
      <c r="A970" s="85" t="str">
        <f t="shared" si="647"/>
        <v/>
      </c>
      <c r="C970" s="87"/>
      <c r="E970" s="87"/>
      <c r="H970" s="87"/>
      <c r="I970" s="87"/>
      <c r="O970" s="90" t="str">
        <f t="shared" si="653"/>
        <v/>
      </c>
      <c r="Q970" s="91" t="str">
        <f t="shared" si="643"/>
        <v/>
      </c>
      <c r="R970" s="91" t="str">
        <f t="shared" si="646"/>
        <v/>
      </c>
      <c r="S970" s="92" t="str">
        <f t="shared" si="644"/>
        <v/>
      </c>
      <c r="T970" s="93"/>
      <c r="U970" s="94" t="str">
        <f t="shared" si="648"/>
        <v/>
      </c>
      <c r="X970" s="96"/>
      <c r="Y970" s="97" t="str">
        <f t="shared" si="650"/>
        <v/>
      </c>
      <c r="Z970" s="98" t="str">
        <f>SUBSTITUTE('Digitas UK Task 26'!$O970, "Complet", "Not Requir")</f>
        <v/>
      </c>
      <c r="AA970" s="98" t="str">
        <f t="shared" si="649"/>
        <v/>
      </c>
      <c r="AB970" s="99"/>
      <c r="AF970" s="84" t="str">
        <f t="shared" si="645"/>
        <v/>
      </c>
      <c r="AH970" s="84" t="str">
        <f t="shared" si="651"/>
        <v/>
      </c>
      <c r="AI970" s="84" t="str">
        <f t="shared" si="652"/>
        <v/>
      </c>
    </row>
    <row r="971" spans="1:35" ht="15.75" customHeight="1" x14ac:dyDescent="0.3">
      <c r="A971" s="85" t="str">
        <f t="shared" si="647"/>
        <v/>
      </c>
      <c r="C971" s="87"/>
      <c r="E971" s="87"/>
      <c r="H971" s="87"/>
      <c r="I971" s="87"/>
      <c r="O971" s="90" t="str">
        <f t="shared" si="653"/>
        <v/>
      </c>
      <c r="Q971" s="91" t="str">
        <f t="shared" si="643"/>
        <v/>
      </c>
      <c r="R971" s="91" t="str">
        <f t="shared" si="646"/>
        <v/>
      </c>
      <c r="S971" s="92" t="str">
        <f t="shared" si="644"/>
        <v/>
      </c>
      <c r="T971" s="93"/>
      <c r="U971" s="94" t="str">
        <f t="shared" si="648"/>
        <v/>
      </c>
      <c r="X971" s="96"/>
      <c r="Y971" s="97" t="str">
        <f t="shared" si="650"/>
        <v/>
      </c>
      <c r="Z971" s="98" t="str">
        <f>SUBSTITUTE('Digitas UK Task 26'!$O971, "Complet", "Not Requir")</f>
        <v/>
      </c>
      <c r="AA971" s="98" t="str">
        <f t="shared" si="649"/>
        <v/>
      </c>
      <c r="AB971" s="99"/>
      <c r="AF971" s="84" t="str">
        <f t="shared" si="645"/>
        <v/>
      </c>
      <c r="AH971" s="84" t="str">
        <f t="shared" si="651"/>
        <v/>
      </c>
      <c r="AI971" s="84" t="str">
        <f t="shared" si="652"/>
        <v/>
      </c>
    </row>
    <row r="972" spans="1:35" ht="15.75" customHeight="1" x14ac:dyDescent="0.3">
      <c r="A972" s="85" t="str">
        <f t="shared" si="647"/>
        <v/>
      </c>
      <c r="C972" s="87"/>
      <c r="E972" s="87"/>
      <c r="H972" s="87"/>
      <c r="I972" s="87"/>
      <c r="O972" s="90" t="str">
        <f t="shared" si="653"/>
        <v/>
      </c>
      <c r="Q972" s="91" t="str">
        <f t="shared" si="643"/>
        <v/>
      </c>
      <c r="R972" s="91" t="str">
        <f t="shared" si="646"/>
        <v/>
      </c>
      <c r="S972" s="92" t="str">
        <f t="shared" si="644"/>
        <v/>
      </c>
      <c r="T972" s="93"/>
      <c r="U972" s="94" t="str">
        <f t="shared" si="648"/>
        <v/>
      </c>
      <c r="X972" s="96"/>
      <c r="Y972" s="97" t="str">
        <f t="shared" si="650"/>
        <v/>
      </c>
      <c r="Z972" s="98" t="str">
        <f>SUBSTITUTE('Digitas UK Task 26'!$O972, "Complet", "Not Requir")</f>
        <v/>
      </c>
      <c r="AA972" s="98" t="str">
        <f t="shared" si="649"/>
        <v/>
      </c>
      <c r="AB972" s="99"/>
      <c r="AF972" s="84" t="str">
        <f t="shared" si="645"/>
        <v/>
      </c>
      <c r="AH972" s="84" t="str">
        <f t="shared" si="651"/>
        <v/>
      </c>
      <c r="AI972" s="84" t="str">
        <f t="shared" si="652"/>
        <v/>
      </c>
    </row>
    <row r="973" spans="1:35" ht="15.75" customHeight="1" x14ac:dyDescent="0.3">
      <c r="A973" s="85" t="str">
        <f t="shared" si="647"/>
        <v/>
      </c>
      <c r="C973" s="87"/>
      <c r="E973" s="87"/>
      <c r="H973" s="87"/>
      <c r="I973" s="87"/>
      <c r="O973" s="90" t="str">
        <f t="shared" si="653"/>
        <v/>
      </c>
      <c r="Q973" s="91" t="str">
        <f t="shared" si="643"/>
        <v/>
      </c>
      <c r="R973" s="91" t="str">
        <f t="shared" si="646"/>
        <v/>
      </c>
      <c r="S973" s="92" t="str">
        <f t="shared" si="644"/>
        <v/>
      </c>
      <c r="T973" s="93"/>
      <c r="U973" s="94" t="str">
        <f t="shared" si="648"/>
        <v/>
      </c>
      <c r="X973" s="96"/>
      <c r="Y973" s="97" t="str">
        <f t="shared" si="650"/>
        <v/>
      </c>
      <c r="Z973" s="98" t="str">
        <f>SUBSTITUTE('Digitas UK Task 26'!$O973, "Complet", "Not Requir")</f>
        <v/>
      </c>
      <c r="AA973" s="98" t="str">
        <f t="shared" si="649"/>
        <v/>
      </c>
      <c r="AB973" s="99"/>
      <c r="AF973" s="84" t="str">
        <f t="shared" si="645"/>
        <v/>
      </c>
      <c r="AH973" s="84" t="str">
        <f t="shared" si="651"/>
        <v/>
      </c>
      <c r="AI973" s="84" t="str">
        <f t="shared" si="652"/>
        <v/>
      </c>
    </row>
    <row r="974" spans="1:35" ht="15.75" customHeight="1" x14ac:dyDescent="0.3">
      <c r="A974" s="85" t="str">
        <f t="shared" si="647"/>
        <v/>
      </c>
      <c r="C974" s="87"/>
      <c r="E974" s="87"/>
      <c r="H974" s="87"/>
      <c r="I974" s="87"/>
      <c r="O974" s="90" t="str">
        <f t="shared" si="653"/>
        <v/>
      </c>
      <c r="Q974" s="91" t="str">
        <f t="shared" si="643"/>
        <v/>
      </c>
      <c r="R974" s="91" t="str">
        <f t="shared" si="646"/>
        <v/>
      </c>
      <c r="S974" s="92" t="str">
        <f t="shared" si="644"/>
        <v/>
      </c>
      <c r="T974" s="93"/>
      <c r="U974" s="94" t="str">
        <f t="shared" si="648"/>
        <v/>
      </c>
      <c r="X974" s="96"/>
      <c r="Y974" s="97" t="str">
        <f t="shared" si="650"/>
        <v/>
      </c>
      <c r="Z974" s="98" t="str">
        <f>SUBSTITUTE('Digitas UK Task 26'!$O974, "Complet", "Not Requir")</f>
        <v/>
      </c>
      <c r="AA974" s="98" t="str">
        <f t="shared" si="649"/>
        <v/>
      </c>
      <c r="AB974" s="99"/>
      <c r="AF974" s="84" t="str">
        <f t="shared" si="645"/>
        <v/>
      </c>
      <c r="AH974" s="84" t="str">
        <f t="shared" si="651"/>
        <v/>
      </c>
      <c r="AI974" s="84" t="str">
        <f t="shared" si="652"/>
        <v/>
      </c>
    </row>
    <row r="975" spans="1:35" ht="15.75" customHeight="1" x14ac:dyDescent="0.3">
      <c r="A975" s="85" t="str">
        <f t="shared" si="647"/>
        <v/>
      </c>
      <c r="C975" s="87"/>
      <c r="E975" s="87"/>
      <c r="H975" s="87"/>
      <c r="I975" s="87"/>
      <c r="O975" s="90" t="str">
        <f t="shared" si="653"/>
        <v/>
      </c>
      <c r="Q975" s="91" t="str">
        <f t="shared" ref="Q975:Q1022" si="654">IF(B975="","",WEEKNUM(B975))</f>
        <v/>
      </c>
      <c r="R975" s="91" t="str">
        <f t="shared" si="646"/>
        <v/>
      </c>
      <c r="S975" s="92" t="str">
        <f t="shared" ref="S975:S1038" si="655">IF(B975="","",TEXT(B975,"DDDD"))</f>
        <v/>
      </c>
      <c r="T975" s="93"/>
      <c r="U975" s="94" t="str">
        <f t="shared" si="648"/>
        <v/>
      </c>
      <c r="X975" s="96"/>
      <c r="Y975" s="97" t="str">
        <f t="shared" si="650"/>
        <v/>
      </c>
      <c r="Z975" s="98" t="str">
        <f>SUBSTITUTE('Digitas UK Task 26'!$O975, "Complet", "Not Requir")</f>
        <v/>
      </c>
      <c r="AA975" s="98" t="str">
        <f t="shared" si="649"/>
        <v/>
      </c>
      <c r="AB975" s="99"/>
      <c r="AF975" s="84" t="str">
        <f t="shared" si="645"/>
        <v/>
      </c>
      <c r="AH975" s="84" t="str">
        <f t="shared" si="651"/>
        <v/>
      </c>
      <c r="AI975" s="84" t="str">
        <f t="shared" si="652"/>
        <v/>
      </c>
    </row>
    <row r="976" spans="1:35" ht="15.75" customHeight="1" x14ac:dyDescent="0.3">
      <c r="A976" s="85" t="str">
        <f t="shared" si="647"/>
        <v/>
      </c>
      <c r="C976" s="87"/>
      <c r="E976" s="87"/>
      <c r="H976" s="87"/>
      <c r="I976" s="87"/>
      <c r="O976" s="90" t="str">
        <f t="shared" si="653"/>
        <v/>
      </c>
      <c r="Q976" s="91" t="str">
        <f t="shared" si="654"/>
        <v/>
      </c>
      <c r="R976" s="91" t="str">
        <f t="shared" si="646"/>
        <v/>
      </c>
      <c r="S976" s="92" t="str">
        <f t="shared" si="655"/>
        <v/>
      </c>
      <c r="T976" s="93"/>
      <c r="U976" s="94" t="str">
        <f t="shared" si="648"/>
        <v/>
      </c>
      <c r="X976" s="96"/>
      <c r="Y976" s="97" t="str">
        <f t="shared" si="650"/>
        <v/>
      </c>
      <c r="Z976" s="98" t="str">
        <f>SUBSTITUTE('Digitas UK Task 26'!$O976, "Complet", "Not Requir")</f>
        <v/>
      </c>
      <c r="AA976" s="98" t="str">
        <f t="shared" si="649"/>
        <v/>
      </c>
      <c r="AB976" s="99"/>
      <c r="AF976" s="84" t="str">
        <f t="shared" si="645"/>
        <v/>
      </c>
      <c r="AH976" s="84" t="str">
        <f t="shared" si="651"/>
        <v/>
      </c>
      <c r="AI976" s="84" t="str">
        <f t="shared" si="652"/>
        <v/>
      </c>
    </row>
    <row r="977" spans="1:35" ht="15.75" customHeight="1" x14ac:dyDescent="0.3">
      <c r="A977" s="85" t="str">
        <f t="shared" si="647"/>
        <v/>
      </c>
      <c r="C977" s="87"/>
      <c r="E977" s="87"/>
      <c r="H977" s="87"/>
      <c r="I977" s="87"/>
      <c r="O977" s="90" t="str">
        <f t="shared" si="653"/>
        <v/>
      </c>
      <c r="Q977" s="91" t="str">
        <f t="shared" si="654"/>
        <v/>
      </c>
      <c r="R977" s="91" t="str">
        <f t="shared" si="646"/>
        <v/>
      </c>
      <c r="S977" s="92" t="str">
        <f t="shared" si="655"/>
        <v/>
      </c>
      <c r="T977" s="93"/>
      <c r="U977" s="94" t="str">
        <f t="shared" si="648"/>
        <v/>
      </c>
      <c r="X977" s="96"/>
      <c r="Y977" s="97" t="str">
        <f t="shared" si="650"/>
        <v/>
      </c>
      <c r="Z977" s="98" t="str">
        <f>SUBSTITUTE('Digitas UK Task 26'!$O977, "Complet", "Not Requir")</f>
        <v/>
      </c>
      <c r="AA977" s="98" t="str">
        <f t="shared" si="649"/>
        <v/>
      </c>
      <c r="AB977" s="99"/>
      <c r="AF977" s="84" t="str">
        <f t="shared" si="645"/>
        <v/>
      </c>
      <c r="AH977" s="84" t="str">
        <f t="shared" si="651"/>
        <v/>
      </c>
      <c r="AI977" s="84" t="str">
        <f t="shared" si="652"/>
        <v/>
      </c>
    </row>
    <row r="978" spans="1:35" ht="15.75" customHeight="1" x14ac:dyDescent="0.3">
      <c r="A978" s="85" t="str">
        <f t="shared" si="647"/>
        <v/>
      </c>
      <c r="C978" s="87"/>
      <c r="E978" s="87"/>
      <c r="H978" s="87"/>
      <c r="I978" s="87"/>
      <c r="O978" s="90" t="str">
        <f t="shared" si="653"/>
        <v/>
      </c>
      <c r="Q978" s="91" t="str">
        <f t="shared" si="654"/>
        <v/>
      </c>
      <c r="R978" s="91" t="str">
        <f t="shared" si="646"/>
        <v/>
      </c>
      <c r="S978" s="92" t="str">
        <f t="shared" si="655"/>
        <v/>
      </c>
      <c r="T978" s="93"/>
      <c r="U978" s="94" t="str">
        <f t="shared" si="648"/>
        <v/>
      </c>
      <c r="X978" s="96"/>
      <c r="Y978" s="97" t="str">
        <f t="shared" si="650"/>
        <v/>
      </c>
      <c r="Z978" s="98" t="str">
        <f>SUBSTITUTE('Digitas UK Task 26'!$O978, "Complet", "Not Requir")</f>
        <v/>
      </c>
      <c r="AA978" s="98" t="str">
        <f t="shared" si="649"/>
        <v/>
      </c>
      <c r="AB978" s="99"/>
      <c r="AF978" s="84" t="str">
        <f t="shared" si="645"/>
        <v/>
      </c>
      <c r="AH978" s="84" t="str">
        <f t="shared" si="651"/>
        <v/>
      </c>
      <c r="AI978" s="84" t="str">
        <f t="shared" si="652"/>
        <v/>
      </c>
    </row>
    <row r="979" spans="1:35" ht="15.75" customHeight="1" x14ac:dyDescent="0.3">
      <c r="A979" s="85" t="str">
        <f t="shared" si="647"/>
        <v/>
      </c>
      <c r="C979" s="87"/>
      <c r="E979" s="87"/>
      <c r="H979" s="87"/>
      <c r="I979" s="87"/>
      <c r="O979" s="90" t="str">
        <f t="shared" si="653"/>
        <v/>
      </c>
      <c r="Q979" s="91" t="str">
        <f t="shared" si="654"/>
        <v/>
      </c>
      <c r="R979" s="91" t="str">
        <f t="shared" si="646"/>
        <v/>
      </c>
      <c r="S979" s="92" t="str">
        <f t="shared" si="655"/>
        <v/>
      </c>
      <c r="T979" s="93"/>
      <c r="U979" s="94" t="str">
        <f t="shared" si="648"/>
        <v/>
      </c>
      <c r="X979" s="96"/>
      <c r="Y979" s="97" t="str">
        <f t="shared" si="650"/>
        <v/>
      </c>
      <c r="Z979" s="98" t="str">
        <f>SUBSTITUTE('Digitas UK Task 26'!$O979, "Complet", "Not Requir")</f>
        <v/>
      </c>
      <c r="AA979" s="98" t="str">
        <f t="shared" si="649"/>
        <v/>
      </c>
      <c r="AB979" s="99"/>
      <c r="AF979" s="84" t="str">
        <f t="shared" si="645"/>
        <v/>
      </c>
      <c r="AH979" s="84" t="str">
        <f t="shared" si="651"/>
        <v/>
      </c>
      <c r="AI979" s="84" t="str">
        <f t="shared" si="652"/>
        <v/>
      </c>
    </row>
    <row r="980" spans="1:35" ht="15.75" customHeight="1" x14ac:dyDescent="0.3">
      <c r="A980" s="85" t="str">
        <f t="shared" si="647"/>
        <v/>
      </c>
      <c r="C980" s="87"/>
      <c r="E980" s="87"/>
      <c r="H980" s="87"/>
      <c r="I980" s="87"/>
      <c r="O980" s="90" t="str">
        <f t="shared" si="653"/>
        <v/>
      </c>
      <c r="Q980" s="91" t="str">
        <f t="shared" si="654"/>
        <v/>
      </c>
      <c r="R980" s="91" t="str">
        <f t="shared" si="646"/>
        <v/>
      </c>
      <c r="S980" s="92" t="str">
        <f t="shared" si="655"/>
        <v/>
      </c>
      <c r="T980" s="93"/>
      <c r="U980" s="94" t="str">
        <f t="shared" si="648"/>
        <v/>
      </c>
      <c r="X980" s="96"/>
      <c r="Y980" s="97" t="str">
        <f t="shared" si="650"/>
        <v/>
      </c>
      <c r="Z980" s="98" t="str">
        <f>SUBSTITUTE('Digitas UK Task 26'!$O980, "Complet", "Not Requir")</f>
        <v/>
      </c>
      <c r="AA980" s="98" t="str">
        <f t="shared" si="649"/>
        <v/>
      </c>
      <c r="AB980" s="99"/>
      <c r="AF980" s="84" t="str">
        <f t="shared" si="645"/>
        <v/>
      </c>
      <c r="AH980" s="84" t="str">
        <f t="shared" si="651"/>
        <v/>
      </c>
      <c r="AI980" s="84" t="str">
        <f t="shared" si="652"/>
        <v/>
      </c>
    </row>
    <row r="981" spans="1:35" ht="15.75" customHeight="1" x14ac:dyDescent="0.3">
      <c r="A981" s="85" t="str">
        <f t="shared" si="647"/>
        <v/>
      </c>
      <c r="C981" s="87"/>
      <c r="E981" s="87"/>
      <c r="H981" s="87"/>
      <c r="I981" s="87"/>
      <c r="O981" s="90" t="str">
        <f t="shared" si="653"/>
        <v/>
      </c>
      <c r="Q981" s="91" t="str">
        <f t="shared" si="654"/>
        <v/>
      </c>
      <c r="R981" s="91" t="str">
        <f t="shared" si="646"/>
        <v/>
      </c>
      <c r="S981" s="92" t="str">
        <f t="shared" si="655"/>
        <v/>
      </c>
      <c r="T981" s="93"/>
      <c r="U981" s="94" t="str">
        <f t="shared" si="648"/>
        <v/>
      </c>
      <c r="X981" s="96"/>
      <c r="Y981" s="97" t="str">
        <f t="shared" si="650"/>
        <v/>
      </c>
      <c r="Z981" s="98" t="str">
        <f>SUBSTITUTE('Digitas UK Task 26'!$O981, "Complet", "Not Requir")</f>
        <v/>
      </c>
      <c r="AA981" s="98" t="str">
        <f t="shared" si="649"/>
        <v/>
      </c>
      <c r="AB981" s="99"/>
      <c r="AF981" s="84" t="str">
        <f t="shared" ref="AF981:AF1044" si="656">IF(AD981="","",WEEKNUM(AD981))</f>
        <v/>
      </c>
      <c r="AH981" s="84" t="str">
        <f t="shared" si="651"/>
        <v/>
      </c>
      <c r="AI981" s="84" t="str">
        <f t="shared" si="652"/>
        <v/>
      </c>
    </row>
    <row r="982" spans="1:35" ht="15.75" customHeight="1" x14ac:dyDescent="0.3">
      <c r="A982" s="85" t="str">
        <f t="shared" si="647"/>
        <v/>
      </c>
      <c r="C982" s="87"/>
      <c r="E982" s="87"/>
      <c r="H982" s="87"/>
      <c r="I982" s="87"/>
      <c r="O982" s="90" t="str">
        <f t="shared" si="653"/>
        <v/>
      </c>
      <c r="Q982" s="91" t="str">
        <f t="shared" si="654"/>
        <v/>
      </c>
      <c r="R982" s="91" t="str">
        <f t="shared" ref="R982:R1045" si="657">IF(B982="","",TEXT(B982,"MMM"))</f>
        <v/>
      </c>
      <c r="S982" s="92" t="str">
        <f t="shared" si="655"/>
        <v/>
      </c>
      <c r="T982" s="93"/>
      <c r="U982" s="94" t="str">
        <f t="shared" si="648"/>
        <v/>
      </c>
      <c r="X982" s="96"/>
      <c r="Y982" s="97" t="str">
        <f t="shared" si="650"/>
        <v/>
      </c>
      <c r="Z982" s="98" t="str">
        <f>SUBSTITUTE('Digitas UK Task 26'!$O982, "Complet", "Not Requir")</f>
        <v/>
      </c>
      <c r="AA982" s="98" t="str">
        <f t="shared" si="649"/>
        <v/>
      </c>
      <c r="AB982" s="99"/>
      <c r="AF982" s="84" t="str">
        <f t="shared" si="656"/>
        <v/>
      </c>
      <c r="AH982" s="84" t="str">
        <f t="shared" si="651"/>
        <v/>
      </c>
      <c r="AI982" s="84" t="str">
        <f t="shared" si="652"/>
        <v/>
      </c>
    </row>
    <row r="983" spans="1:35" ht="15.75" customHeight="1" x14ac:dyDescent="0.3">
      <c r="A983" s="85" t="str">
        <f t="shared" si="647"/>
        <v/>
      </c>
      <c r="C983" s="87"/>
      <c r="E983" s="87"/>
      <c r="H983" s="87"/>
      <c r="I983" s="87"/>
      <c r="O983" s="90" t="str">
        <f t="shared" si="653"/>
        <v/>
      </c>
      <c r="Q983" s="91" t="str">
        <f t="shared" si="654"/>
        <v/>
      </c>
      <c r="R983" s="91" t="str">
        <f t="shared" si="657"/>
        <v/>
      </c>
      <c r="S983" s="92" t="str">
        <f t="shared" si="655"/>
        <v/>
      </c>
      <c r="T983" s="93"/>
      <c r="U983" s="94" t="str">
        <f t="shared" si="648"/>
        <v/>
      </c>
      <c r="X983" s="96"/>
      <c r="Y983" s="97" t="str">
        <f t="shared" si="650"/>
        <v/>
      </c>
      <c r="Z983" s="98" t="str">
        <f>SUBSTITUTE('Digitas UK Task 26'!$O983, "Complet", "Not Requir")</f>
        <v/>
      </c>
      <c r="AA983" s="98" t="str">
        <f t="shared" si="649"/>
        <v/>
      </c>
      <c r="AB983" s="99"/>
      <c r="AF983" s="84" t="str">
        <f t="shared" si="656"/>
        <v/>
      </c>
      <c r="AH983" s="84" t="str">
        <f t="shared" si="651"/>
        <v/>
      </c>
      <c r="AI983" s="84" t="str">
        <f t="shared" si="652"/>
        <v/>
      </c>
    </row>
    <row r="984" spans="1:35" ht="15.75" customHeight="1" x14ac:dyDescent="0.3">
      <c r="A984" s="85" t="str">
        <f t="shared" si="647"/>
        <v/>
      </c>
      <c r="C984" s="87"/>
      <c r="E984" s="87"/>
      <c r="H984" s="87"/>
      <c r="I984" s="87"/>
      <c r="O984" s="90" t="str">
        <f t="shared" si="653"/>
        <v/>
      </c>
      <c r="Q984" s="91" t="str">
        <f t="shared" si="654"/>
        <v/>
      </c>
      <c r="R984" s="91" t="str">
        <f t="shared" si="657"/>
        <v/>
      </c>
      <c r="S984" s="92" t="str">
        <f t="shared" si="655"/>
        <v/>
      </c>
      <c r="T984" s="93"/>
      <c r="U984" s="94" t="str">
        <f t="shared" si="648"/>
        <v/>
      </c>
      <c r="X984" s="96"/>
      <c r="Y984" s="97" t="str">
        <f t="shared" si="650"/>
        <v/>
      </c>
      <c r="Z984" s="98" t="str">
        <f>SUBSTITUTE('Digitas UK Task 26'!$O984, "Complet", "Not Requir")</f>
        <v/>
      </c>
      <c r="AA984" s="98" t="str">
        <f t="shared" si="649"/>
        <v/>
      </c>
      <c r="AB984" s="99"/>
      <c r="AF984" s="84" t="str">
        <f t="shared" si="656"/>
        <v/>
      </c>
      <c r="AH984" s="84" t="str">
        <f t="shared" si="651"/>
        <v/>
      </c>
      <c r="AI984" s="84" t="str">
        <f t="shared" si="652"/>
        <v/>
      </c>
    </row>
    <row r="985" spans="1:35" ht="15.75" customHeight="1" x14ac:dyDescent="0.3">
      <c r="A985" s="85" t="str">
        <f t="shared" si="647"/>
        <v/>
      </c>
      <c r="C985" s="87"/>
      <c r="E985" s="87"/>
      <c r="H985" s="87"/>
      <c r="I985" s="87"/>
      <c r="O985" s="90" t="str">
        <f t="shared" si="653"/>
        <v/>
      </c>
      <c r="Q985" s="91" t="str">
        <f t="shared" si="654"/>
        <v/>
      </c>
      <c r="R985" s="91" t="str">
        <f t="shared" si="657"/>
        <v/>
      </c>
      <c r="S985" s="92" t="str">
        <f t="shared" si="655"/>
        <v/>
      </c>
      <c r="T985" s="93"/>
      <c r="U985" s="94" t="str">
        <f t="shared" si="648"/>
        <v/>
      </c>
      <c r="X985" s="96"/>
      <c r="Y985" s="97" t="str">
        <f t="shared" si="650"/>
        <v/>
      </c>
      <c r="Z985" s="98" t="str">
        <f>SUBSTITUTE('Digitas UK Task 26'!$O985, "Complet", "Not Requir")</f>
        <v/>
      </c>
      <c r="AA985" s="98" t="str">
        <f t="shared" si="649"/>
        <v/>
      </c>
      <c r="AB985" s="99"/>
      <c r="AF985" s="84" t="str">
        <f t="shared" si="656"/>
        <v/>
      </c>
      <c r="AH985" s="84" t="str">
        <f t="shared" si="651"/>
        <v/>
      </c>
      <c r="AI985" s="84" t="str">
        <f t="shared" si="652"/>
        <v/>
      </c>
    </row>
    <row r="986" spans="1:35" ht="15.75" customHeight="1" x14ac:dyDescent="0.3">
      <c r="A986" s="85" t="str">
        <f t="shared" si="647"/>
        <v/>
      </c>
      <c r="C986" s="87"/>
      <c r="E986" s="87"/>
      <c r="H986" s="87"/>
      <c r="I986" s="87"/>
      <c r="O986" s="90" t="str">
        <f t="shared" si="653"/>
        <v/>
      </c>
      <c r="Q986" s="91" t="str">
        <f t="shared" si="654"/>
        <v/>
      </c>
      <c r="R986" s="91" t="str">
        <f t="shared" si="657"/>
        <v/>
      </c>
      <c r="S986" s="92" t="str">
        <f t="shared" si="655"/>
        <v/>
      </c>
      <c r="T986" s="93"/>
      <c r="U986" s="94" t="str">
        <f t="shared" si="648"/>
        <v/>
      </c>
      <c r="X986" s="96"/>
      <c r="Y986" s="97" t="str">
        <f t="shared" si="650"/>
        <v/>
      </c>
      <c r="Z986" s="98" t="str">
        <f>SUBSTITUTE('Digitas UK Task 26'!$O986, "Complet", "Not Requir")</f>
        <v/>
      </c>
      <c r="AA986" s="98" t="str">
        <f t="shared" si="649"/>
        <v/>
      </c>
      <c r="AB986" s="99"/>
      <c r="AF986" s="84" t="str">
        <f t="shared" si="656"/>
        <v/>
      </c>
      <c r="AH986" s="84" t="str">
        <f t="shared" si="651"/>
        <v/>
      </c>
      <c r="AI986" s="84" t="str">
        <f t="shared" si="652"/>
        <v/>
      </c>
    </row>
    <row r="987" spans="1:35" ht="15.75" customHeight="1" x14ac:dyDescent="0.3">
      <c r="A987" s="85" t="str">
        <f t="shared" si="647"/>
        <v/>
      </c>
      <c r="C987" s="87"/>
      <c r="E987" s="87"/>
      <c r="H987" s="87"/>
      <c r="I987" s="87"/>
      <c r="O987" s="90" t="str">
        <f t="shared" si="653"/>
        <v/>
      </c>
      <c r="Q987" s="91" t="str">
        <f t="shared" si="654"/>
        <v/>
      </c>
      <c r="R987" s="91" t="str">
        <f t="shared" si="657"/>
        <v/>
      </c>
      <c r="S987" s="92" t="str">
        <f t="shared" si="655"/>
        <v/>
      </c>
      <c r="T987" s="93"/>
      <c r="U987" s="94" t="str">
        <f t="shared" si="648"/>
        <v/>
      </c>
      <c r="X987" s="96"/>
      <c r="Y987" s="97" t="str">
        <f t="shared" si="650"/>
        <v/>
      </c>
      <c r="Z987" s="98" t="str">
        <f>SUBSTITUTE('Digitas UK Task 26'!$O987, "Complet", "Not Requir")</f>
        <v/>
      </c>
      <c r="AA987" s="98" t="str">
        <f t="shared" si="649"/>
        <v/>
      </c>
      <c r="AB987" s="99"/>
      <c r="AF987" s="84" t="str">
        <f t="shared" si="656"/>
        <v/>
      </c>
      <c r="AH987" s="84" t="str">
        <f t="shared" si="651"/>
        <v/>
      </c>
      <c r="AI987" s="84" t="str">
        <f t="shared" si="652"/>
        <v/>
      </c>
    </row>
    <row r="988" spans="1:35" ht="15.75" customHeight="1" x14ac:dyDescent="0.3">
      <c r="A988" s="85" t="str">
        <f t="shared" si="647"/>
        <v/>
      </c>
      <c r="C988" s="87"/>
      <c r="E988" s="87"/>
      <c r="H988" s="87"/>
      <c r="I988" s="87"/>
      <c r="O988" s="90" t="str">
        <f t="shared" si="653"/>
        <v/>
      </c>
      <c r="Q988" s="91" t="str">
        <f t="shared" si="654"/>
        <v/>
      </c>
      <c r="R988" s="91" t="str">
        <f t="shared" si="657"/>
        <v/>
      </c>
      <c r="S988" s="92" t="str">
        <f t="shared" si="655"/>
        <v/>
      </c>
      <c r="T988" s="93"/>
      <c r="U988" s="94" t="str">
        <f t="shared" si="648"/>
        <v/>
      </c>
      <c r="X988" s="96"/>
      <c r="Y988" s="97" t="str">
        <f t="shared" si="650"/>
        <v/>
      </c>
      <c r="Z988" s="98" t="str">
        <f>SUBSTITUTE('Digitas UK Task 26'!$O988, "Complet", "Not Requir")</f>
        <v/>
      </c>
      <c r="AA988" s="98" t="str">
        <f t="shared" si="649"/>
        <v/>
      </c>
      <c r="AB988" s="99"/>
      <c r="AF988" s="84" t="str">
        <f t="shared" si="656"/>
        <v/>
      </c>
      <c r="AH988" s="84" t="str">
        <f t="shared" si="651"/>
        <v/>
      </c>
      <c r="AI988" s="84" t="str">
        <f t="shared" si="652"/>
        <v/>
      </c>
    </row>
    <row r="989" spans="1:35" ht="15.75" customHeight="1" x14ac:dyDescent="0.3">
      <c r="A989" s="85" t="str">
        <f t="shared" si="647"/>
        <v/>
      </c>
      <c r="C989" s="87"/>
      <c r="E989" s="87"/>
      <c r="H989" s="87"/>
      <c r="I989" s="87"/>
      <c r="O989" s="90" t="str">
        <f t="shared" si="653"/>
        <v/>
      </c>
      <c r="Q989" s="91" t="str">
        <f t="shared" si="654"/>
        <v/>
      </c>
      <c r="R989" s="91" t="str">
        <f t="shared" si="657"/>
        <v/>
      </c>
      <c r="S989" s="92" t="str">
        <f t="shared" si="655"/>
        <v/>
      </c>
      <c r="T989" s="93"/>
      <c r="U989" s="94" t="str">
        <f t="shared" si="648"/>
        <v/>
      </c>
      <c r="X989" s="96"/>
      <c r="Y989" s="97" t="str">
        <f t="shared" si="650"/>
        <v/>
      </c>
      <c r="Z989" s="98" t="str">
        <f>SUBSTITUTE('Digitas UK Task 26'!$O989, "Complet", "Not Requir")</f>
        <v/>
      </c>
      <c r="AA989" s="98" t="str">
        <f t="shared" si="649"/>
        <v/>
      </c>
      <c r="AB989" s="99"/>
      <c r="AF989" s="84" t="str">
        <f t="shared" si="656"/>
        <v/>
      </c>
      <c r="AH989" s="84" t="str">
        <f t="shared" si="651"/>
        <v/>
      </c>
      <c r="AI989" s="84" t="str">
        <f t="shared" si="652"/>
        <v/>
      </c>
    </row>
    <row r="990" spans="1:35" ht="15.75" customHeight="1" x14ac:dyDescent="0.3">
      <c r="A990" s="85" t="str">
        <f t="shared" si="647"/>
        <v/>
      </c>
      <c r="C990" s="87"/>
      <c r="E990" s="87"/>
      <c r="H990" s="87"/>
      <c r="I990" s="87"/>
      <c r="O990" s="90" t="str">
        <f t="shared" si="653"/>
        <v/>
      </c>
      <c r="Q990" s="91" t="str">
        <f t="shared" si="654"/>
        <v/>
      </c>
      <c r="R990" s="91" t="str">
        <f t="shared" si="657"/>
        <v/>
      </c>
      <c r="S990" s="92" t="str">
        <f t="shared" si="655"/>
        <v/>
      </c>
      <c r="T990" s="93"/>
      <c r="U990" s="94" t="str">
        <f t="shared" si="648"/>
        <v/>
      </c>
      <c r="X990" s="96"/>
      <c r="Y990" s="97" t="str">
        <f t="shared" si="650"/>
        <v/>
      </c>
      <c r="Z990" s="98" t="str">
        <f>SUBSTITUTE('Digitas UK Task 26'!$O990, "Complet", "Not Requir")</f>
        <v/>
      </c>
      <c r="AA990" s="98" t="str">
        <f t="shared" si="649"/>
        <v/>
      </c>
      <c r="AB990" s="99"/>
      <c r="AF990" s="84" t="str">
        <f t="shared" si="656"/>
        <v/>
      </c>
      <c r="AH990" s="84" t="str">
        <f t="shared" si="651"/>
        <v/>
      </c>
      <c r="AI990" s="84" t="str">
        <f t="shared" si="652"/>
        <v/>
      </c>
    </row>
    <row r="991" spans="1:35" ht="15.75" customHeight="1" x14ac:dyDescent="0.3">
      <c r="A991" s="85" t="str">
        <f t="shared" si="647"/>
        <v/>
      </c>
      <c r="C991" s="87"/>
      <c r="E991" s="87"/>
      <c r="H991" s="87"/>
      <c r="I991" s="87"/>
      <c r="O991" s="90" t="str">
        <f t="shared" si="653"/>
        <v/>
      </c>
      <c r="Q991" s="91" t="str">
        <f t="shared" si="654"/>
        <v/>
      </c>
      <c r="R991" s="91" t="str">
        <f t="shared" si="657"/>
        <v/>
      </c>
      <c r="S991" s="92" t="str">
        <f t="shared" si="655"/>
        <v/>
      </c>
      <c r="T991" s="93"/>
      <c r="U991" s="94" t="str">
        <f t="shared" si="648"/>
        <v/>
      </c>
      <c r="X991" s="96"/>
      <c r="Y991" s="97" t="str">
        <f t="shared" si="650"/>
        <v/>
      </c>
      <c r="Z991" s="98" t="str">
        <f>SUBSTITUTE('Digitas UK Task 26'!$O991, "Complet", "Not Requir")</f>
        <v/>
      </c>
      <c r="AA991" s="98" t="str">
        <f t="shared" si="649"/>
        <v/>
      </c>
      <c r="AB991" s="99"/>
      <c r="AF991" s="84" t="str">
        <f t="shared" si="656"/>
        <v/>
      </c>
      <c r="AH991" s="84" t="str">
        <f t="shared" si="651"/>
        <v/>
      </c>
      <c r="AI991" s="84" t="str">
        <f t="shared" si="652"/>
        <v/>
      </c>
    </row>
    <row r="992" spans="1:35" ht="15.75" customHeight="1" x14ac:dyDescent="0.3">
      <c r="A992" s="85" t="str">
        <f t="shared" si="647"/>
        <v/>
      </c>
      <c r="C992" s="87"/>
      <c r="E992" s="87"/>
      <c r="H992" s="87"/>
      <c r="I992" s="87"/>
      <c r="O992" s="90" t="str">
        <f t="shared" si="653"/>
        <v/>
      </c>
      <c r="Q992" s="91" t="str">
        <f t="shared" si="654"/>
        <v/>
      </c>
      <c r="R992" s="91" t="str">
        <f t="shared" si="657"/>
        <v/>
      </c>
      <c r="S992" s="92" t="str">
        <f t="shared" si="655"/>
        <v/>
      </c>
      <c r="T992" s="93"/>
      <c r="U992" s="94" t="str">
        <f t="shared" si="648"/>
        <v/>
      </c>
      <c r="X992" s="96"/>
      <c r="Y992" s="97" t="str">
        <f t="shared" si="650"/>
        <v/>
      </c>
      <c r="Z992" s="98" t="str">
        <f>SUBSTITUTE('Digitas UK Task 26'!$O992, "Complet", "Not Requir")</f>
        <v/>
      </c>
      <c r="AA992" s="98" t="str">
        <f t="shared" si="649"/>
        <v/>
      </c>
      <c r="AB992" s="99"/>
      <c r="AF992" s="84" t="str">
        <f t="shared" si="656"/>
        <v/>
      </c>
      <c r="AH992" s="84" t="str">
        <f t="shared" si="651"/>
        <v/>
      </c>
      <c r="AI992" s="84" t="str">
        <f t="shared" si="652"/>
        <v/>
      </c>
    </row>
    <row r="993" spans="1:35" ht="15.75" customHeight="1" x14ac:dyDescent="0.3">
      <c r="A993" s="85" t="str">
        <f t="shared" ref="A993:A1056" si="658">IF(B993="","",TEXT(B993,"MMM : DDDD"))</f>
        <v/>
      </c>
      <c r="C993" s="87"/>
      <c r="E993" s="87"/>
      <c r="H993" s="87"/>
      <c r="I993" s="87"/>
      <c r="O993" s="90" t="str">
        <f t="shared" si="653"/>
        <v/>
      </c>
      <c r="Q993" s="91" t="str">
        <f t="shared" si="654"/>
        <v/>
      </c>
      <c r="R993" s="91" t="str">
        <f t="shared" si="657"/>
        <v/>
      </c>
      <c r="S993" s="92" t="str">
        <f t="shared" si="655"/>
        <v/>
      </c>
      <c r="T993" s="93"/>
      <c r="U993" s="94" t="str">
        <f t="shared" ref="U993:U1056" si="659">IF(O993="Completed","Pending","")</f>
        <v/>
      </c>
      <c r="X993" s="96"/>
      <c r="Y993" s="97" t="str">
        <f t="shared" si="650"/>
        <v/>
      </c>
      <c r="Z993" s="98" t="str">
        <f>SUBSTITUTE('Digitas UK Task 26'!$O993, "Complet", "Not Requir")</f>
        <v/>
      </c>
      <c r="AA993" s="98" t="str">
        <f t="shared" ref="AA993:AA1056" si="660">IF(G993="","",G993)</f>
        <v/>
      </c>
      <c r="AB993" s="99"/>
      <c r="AF993" s="84" t="str">
        <f t="shared" si="656"/>
        <v/>
      </c>
      <c r="AH993" s="84" t="str">
        <f t="shared" si="651"/>
        <v/>
      </c>
      <c r="AI993" s="84" t="str">
        <f t="shared" si="652"/>
        <v/>
      </c>
    </row>
    <row r="994" spans="1:35" ht="15.75" customHeight="1" x14ac:dyDescent="0.3">
      <c r="A994" s="85" t="str">
        <f t="shared" si="658"/>
        <v/>
      </c>
      <c r="C994" s="87"/>
      <c r="E994" s="87"/>
      <c r="H994" s="87"/>
      <c r="I994" s="87"/>
      <c r="O994" s="90" t="str">
        <f t="shared" si="653"/>
        <v/>
      </c>
      <c r="Q994" s="91" t="str">
        <f t="shared" si="654"/>
        <v/>
      </c>
      <c r="R994" s="91" t="str">
        <f t="shared" si="657"/>
        <v/>
      </c>
      <c r="S994" s="92" t="str">
        <f t="shared" si="655"/>
        <v/>
      </c>
      <c r="T994" s="93"/>
      <c r="U994" s="94" t="str">
        <f t="shared" si="659"/>
        <v/>
      </c>
      <c r="X994" s="96"/>
      <c r="Y994" s="97" t="str">
        <f t="shared" si="650"/>
        <v/>
      </c>
      <c r="Z994" s="98" t="str">
        <f>SUBSTITUTE('Digitas UK Task 26'!$O994, "Complet", "Not Requir")</f>
        <v/>
      </c>
      <c r="AA994" s="98" t="str">
        <f t="shared" si="660"/>
        <v/>
      </c>
      <c r="AB994" s="99"/>
      <c r="AF994" s="84" t="str">
        <f t="shared" si="656"/>
        <v/>
      </c>
      <c r="AH994" s="84" t="str">
        <f t="shared" si="651"/>
        <v/>
      </c>
      <c r="AI994" s="84" t="str">
        <f t="shared" si="652"/>
        <v/>
      </c>
    </row>
    <row r="995" spans="1:35" ht="15.75" customHeight="1" x14ac:dyDescent="0.3">
      <c r="A995" s="85" t="str">
        <f t="shared" si="658"/>
        <v/>
      </c>
      <c r="C995" s="87"/>
      <c r="E995" s="87"/>
      <c r="H995" s="87"/>
      <c r="I995" s="87"/>
      <c r="O995" s="90" t="str">
        <f t="shared" si="653"/>
        <v/>
      </c>
      <c r="Q995" s="91" t="str">
        <f t="shared" si="654"/>
        <v/>
      </c>
      <c r="R995" s="91" t="str">
        <f t="shared" si="657"/>
        <v/>
      </c>
      <c r="S995" s="92" t="str">
        <f t="shared" si="655"/>
        <v/>
      </c>
      <c r="T995" s="93"/>
      <c r="U995" s="94" t="str">
        <f t="shared" si="659"/>
        <v/>
      </c>
      <c r="X995" s="96"/>
      <c r="Y995" s="97" t="str">
        <f t="shared" si="650"/>
        <v/>
      </c>
      <c r="Z995" s="98" t="str">
        <f>SUBSTITUTE('Digitas UK Task 26'!$O995, "Complet", "Not Requir")</f>
        <v/>
      </c>
      <c r="AA995" s="98" t="str">
        <f t="shared" si="660"/>
        <v/>
      </c>
      <c r="AB995" s="99"/>
      <c r="AF995" s="84" t="str">
        <f t="shared" si="656"/>
        <v/>
      </c>
      <c r="AH995" s="84" t="str">
        <f t="shared" si="651"/>
        <v/>
      </c>
      <c r="AI995" s="84" t="str">
        <f t="shared" si="652"/>
        <v/>
      </c>
    </row>
    <row r="996" spans="1:35" ht="15.75" customHeight="1" x14ac:dyDescent="0.3">
      <c r="A996" s="85" t="str">
        <f t="shared" si="658"/>
        <v/>
      </c>
      <c r="C996" s="87"/>
      <c r="E996" s="87"/>
      <c r="H996" s="87"/>
      <c r="I996" s="87"/>
      <c r="O996" s="90" t="str">
        <f t="shared" si="653"/>
        <v/>
      </c>
      <c r="Q996" s="91" t="str">
        <f t="shared" si="654"/>
        <v/>
      </c>
      <c r="R996" s="91" t="str">
        <f t="shared" si="657"/>
        <v/>
      </c>
      <c r="S996" s="92" t="str">
        <f t="shared" si="655"/>
        <v/>
      </c>
      <c r="T996" s="93"/>
      <c r="U996" s="94" t="str">
        <f t="shared" si="659"/>
        <v/>
      </c>
      <c r="X996" s="96"/>
      <c r="Y996" s="97" t="str">
        <f t="shared" si="650"/>
        <v/>
      </c>
      <c r="Z996" s="98" t="str">
        <f>SUBSTITUTE('Digitas UK Task 26'!$O996, "Complet", "Not Requir")</f>
        <v/>
      </c>
      <c r="AA996" s="98" t="str">
        <f t="shared" si="660"/>
        <v/>
      </c>
      <c r="AB996" s="99"/>
      <c r="AF996" s="84" t="str">
        <f t="shared" si="656"/>
        <v/>
      </c>
      <c r="AH996" s="84" t="str">
        <f t="shared" si="651"/>
        <v/>
      </c>
      <c r="AI996" s="84" t="str">
        <f t="shared" si="652"/>
        <v/>
      </c>
    </row>
    <row r="997" spans="1:35" ht="15.75" customHeight="1" x14ac:dyDescent="0.3">
      <c r="A997" s="85" t="str">
        <f t="shared" si="658"/>
        <v/>
      </c>
      <c r="C997" s="87"/>
      <c r="E997" s="87"/>
      <c r="H997" s="87"/>
      <c r="I997" s="87"/>
      <c r="O997" s="90" t="str">
        <f t="shared" si="653"/>
        <v/>
      </c>
      <c r="Q997" s="91" t="str">
        <f t="shared" si="654"/>
        <v/>
      </c>
      <c r="R997" s="91" t="str">
        <f t="shared" si="657"/>
        <v/>
      </c>
      <c r="S997" s="92" t="str">
        <f t="shared" si="655"/>
        <v/>
      </c>
      <c r="T997" s="93"/>
      <c r="U997" s="94" t="str">
        <f t="shared" si="659"/>
        <v/>
      </c>
      <c r="X997" s="96"/>
      <c r="Y997" s="97" t="str">
        <f t="shared" si="650"/>
        <v/>
      </c>
      <c r="Z997" s="98" t="str">
        <f>SUBSTITUTE('Digitas UK Task 26'!$O997, "Complet", "Not Requir")</f>
        <v/>
      </c>
      <c r="AA997" s="98" t="str">
        <f t="shared" si="660"/>
        <v/>
      </c>
      <c r="AB997" s="99"/>
      <c r="AF997" s="84" t="str">
        <f t="shared" si="656"/>
        <v/>
      </c>
      <c r="AH997" s="84" t="str">
        <f t="shared" si="651"/>
        <v/>
      </c>
      <c r="AI997" s="84" t="str">
        <f t="shared" si="652"/>
        <v/>
      </c>
    </row>
    <row r="998" spans="1:35" ht="15.75" customHeight="1" x14ac:dyDescent="0.3">
      <c r="A998" s="85" t="str">
        <f t="shared" si="658"/>
        <v/>
      </c>
      <c r="C998" s="87"/>
      <c r="E998" s="87"/>
      <c r="H998" s="87"/>
      <c r="I998" s="87"/>
      <c r="O998" s="90" t="str">
        <f t="shared" si="653"/>
        <v/>
      </c>
      <c r="Q998" s="91" t="str">
        <f t="shared" si="654"/>
        <v/>
      </c>
      <c r="R998" s="91" t="str">
        <f t="shared" si="657"/>
        <v/>
      </c>
      <c r="S998" s="92" t="str">
        <f t="shared" si="655"/>
        <v/>
      </c>
      <c r="T998" s="93"/>
      <c r="U998" s="94" t="str">
        <f t="shared" si="659"/>
        <v/>
      </c>
      <c r="X998" s="96"/>
      <c r="Y998" s="97" t="str">
        <f t="shared" si="650"/>
        <v/>
      </c>
      <c r="Z998" s="98" t="str">
        <f>SUBSTITUTE('Digitas UK Task 26'!$O998, "Complet", "Not Requir")</f>
        <v/>
      </c>
      <c r="AA998" s="98" t="str">
        <f t="shared" si="660"/>
        <v/>
      </c>
      <c r="AB998" s="99"/>
      <c r="AF998" s="84" t="str">
        <f t="shared" si="656"/>
        <v/>
      </c>
      <c r="AH998" s="84" t="str">
        <f t="shared" si="651"/>
        <v/>
      </c>
      <c r="AI998" s="84" t="str">
        <f t="shared" si="652"/>
        <v/>
      </c>
    </row>
    <row r="999" spans="1:35" ht="15.75" customHeight="1" x14ac:dyDescent="0.3">
      <c r="A999" s="85" t="str">
        <f t="shared" si="658"/>
        <v/>
      </c>
      <c r="C999" s="87"/>
      <c r="E999" s="87"/>
      <c r="H999" s="87"/>
      <c r="I999" s="87"/>
      <c r="O999" s="90" t="str">
        <f t="shared" si="653"/>
        <v/>
      </c>
      <c r="Q999" s="91" t="str">
        <f t="shared" si="654"/>
        <v/>
      </c>
      <c r="R999" s="91" t="str">
        <f t="shared" si="657"/>
        <v/>
      </c>
      <c r="S999" s="92" t="str">
        <f t="shared" si="655"/>
        <v/>
      </c>
      <c r="T999" s="93"/>
      <c r="U999" s="94" t="str">
        <f t="shared" si="659"/>
        <v/>
      </c>
      <c r="X999" s="96"/>
      <c r="Y999" s="97" t="str">
        <f t="shared" ref="Y999:Y1062" si="661">IF(M999="","",M999)</f>
        <v/>
      </c>
      <c r="Z999" s="98" t="str">
        <f>SUBSTITUTE('Digitas UK Task 26'!$O999, "Complet", "Not Requir")</f>
        <v/>
      </c>
      <c r="AA999" s="98" t="str">
        <f t="shared" si="660"/>
        <v/>
      </c>
      <c r="AB999" s="99"/>
      <c r="AF999" s="84" t="str">
        <f t="shared" si="656"/>
        <v/>
      </c>
      <c r="AH999" s="84" t="str">
        <f t="shared" si="651"/>
        <v/>
      </c>
      <c r="AI999" s="84" t="str">
        <f t="shared" si="652"/>
        <v/>
      </c>
    </row>
    <row r="1000" spans="1:35" ht="15.75" customHeight="1" x14ac:dyDescent="0.3">
      <c r="A1000" s="85" t="str">
        <f t="shared" si="658"/>
        <v/>
      </c>
      <c r="C1000" s="87"/>
      <c r="E1000" s="87"/>
      <c r="H1000" s="87"/>
      <c r="I1000" s="87"/>
      <c r="O1000" s="90" t="str">
        <f t="shared" si="653"/>
        <v/>
      </c>
      <c r="Q1000" s="91" t="str">
        <f t="shared" si="654"/>
        <v/>
      </c>
      <c r="R1000" s="91" t="str">
        <f t="shared" si="657"/>
        <v/>
      </c>
      <c r="S1000" s="92" t="str">
        <f t="shared" si="655"/>
        <v/>
      </c>
      <c r="T1000" s="93"/>
      <c r="U1000" s="94" t="str">
        <f t="shared" si="659"/>
        <v/>
      </c>
      <c r="X1000" s="96"/>
      <c r="Y1000" s="97" t="str">
        <f t="shared" si="661"/>
        <v/>
      </c>
      <c r="Z1000" s="98" t="str">
        <f>SUBSTITUTE('Digitas UK Task 26'!$O1000, "Complet", "Not Requir")</f>
        <v/>
      </c>
      <c r="AA1000" s="98" t="str">
        <f t="shared" si="660"/>
        <v/>
      </c>
      <c r="AB1000" s="99"/>
      <c r="AF1000" s="84" t="str">
        <f t="shared" si="656"/>
        <v/>
      </c>
      <c r="AH1000" s="84" t="str">
        <f t="shared" si="651"/>
        <v/>
      </c>
      <c r="AI1000" s="84" t="str">
        <f t="shared" si="652"/>
        <v/>
      </c>
    </row>
    <row r="1001" spans="1:35" ht="15.75" customHeight="1" x14ac:dyDescent="0.3">
      <c r="A1001" s="85" t="str">
        <f t="shared" si="658"/>
        <v/>
      </c>
      <c r="C1001" s="87"/>
      <c r="E1001" s="87"/>
      <c r="H1001" s="87"/>
      <c r="I1001" s="87"/>
      <c r="O1001" s="90" t="str">
        <f t="shared" si="653"/>
        <v/>
      </c>
      <c r="Q1001" s="91" t="str">
        <f t="shared" si="654"/>
        <v/>
      </c>
      <c r="R1001" s="91" t="str">
        <f t="shared" si="657"/>
        <v/>
      </c>
      <c r="S1001" s="92" t="str">
        <f t="shared" si="655"/>
        <v/>
      </c>
      <c r="T1001" s="93"/>
      <c r="U1001" s="94" t="str">
        <f t="shared" si="659"/>
        <v/>
      </c>
      <c r="X1001" s="96"/>
      <c r="Y1001" s="97" t="str">
        <f t="shared" si="661"/>
        <v/>
      </c>
      <c r="Z1001" s="98" t="str">
        <f>SUBSTITUTE('Digitas UK Task 26'!$O1001, "Complet", "Not Requir")</f>
        <v/>
      </c>
      <c r="AA1001" s="98" t="str">
        <f t="shared" si="660"/>
        <v/>
      </c>
      <c r="AB1001" s="99"/>
      <c r="AF1001" s="84" t="str">
        <f t="shared" si="656"/>
        <v/>
      </c>
      <c r="AH1001" s="84" t="str">
        <f t="shared" si="651"/>
        <v/>
      </c>
      <c r="AI1001" s="84" t="str">
        <f t="shared" si="652"/>
        <v/>
      </c>
    </row>
    <row r="1002" spans="1:35" ht="15.75" customHeight="1" x14ac:dyDescent="0.3">
      <c r="A1002" s="85" t="str">
        <f t="shared" si="658"/>
        <v/>
      </c>
      <c r="C1002" s="87"/>
      <c r="E1002" s="87"/>
      <c r="H1002" s="87"/>
      <c r="I1002" s="87"/>
      <c r="O1002" s="90" t="str">
        <f t="shared" si="653"/>
        <v/>
      </c>
      <c r="Q1002" s="91" t="str">
        <f t="shared" si="654"/>
        <v/>
      </c>
      <c r="R1002" s="91" t="str">
        <f t="shared" si="657"/>
        <v/>
      </c>
      <c r="S1002" s="92" t="str">
        <f t="shared" si="655"/>
        <v/>
      </c>
      <c r="T1002" s="93"/>
      <c r="U1002" s="94" t="str">
        <f t="shared" si="659"/>
        <v/>
      </c>
      <c r="X1002" s="96"/>
      <c r="Y1002" s="97" t="str">
        <f t="shared" si="661"/>
        <v/>
      </c>
      <c r="Z1002" s="98" t="str">
        <f>SUBSTITUTE('Digitas UK Task 26'!$O1002, "Complet", "Not Requir")</f>
        <v/>
      </c>
      <c r="AA1002" s="98" t="str">
        <f t="shared" si="660"/>
        <v/>
      </c>
      <c r="AB1002" s="99"/>
      <c r="AF1002" s="84" t="str">
        <f t="shared" si="656"/>
        <v/>
      </c>
      <c r="AH1002" s="84" t="str">
        <f t="shared" si="651"/>
        <v/>
      </c>
      <c r="AI1002" s="84" t="str">
        <f t="shared" si="652"/>
        <v/>
      </c>
    </row>
    <row r="1003" spans="1:35" ht="15.75" customHeight="1" x14ac:dyDescent="0.3">
      <c r="A1003" s="85" t="str">
        <f t="shared" si="658"/>
        <v/>
      </c>
      <c r="C1003" s="87"/>
      <c r="E1003" s="87"/>
      <c r="H1003" s="87"/>
      <c r="I1003" s="87"/>
      <c r="O1003" s="90" t="str">
        <f t="shared" si="653"/>
        <v/>
      </c>
      <c r="Q1003" s="91" t="str">
        <f t="shared" si="654"/>
        <v/>
      </c>
      <c r="R1003" s="91" t="str">
        <f t="shared" si="657"/>
        <v/>
      </c>
      <c r="S1003" s="92" t="str">
        <f t="shared" si="655"/>
        <v/>
      </c>
      <c r="T1003" s="93"/>
      <c r="U1003" s="94" t="str">
        <f t="shared" si="659"/>
        <v/>
      </c>
      <c r="X1003" s="96"/>
      <c r="Y1003" s="97" t="str">
        <f t="shared" si="661"/>
        <v/>
      </c>
      <c r="Z1003" s="98" t="str">
        <f>SUBSTITUTE('Digitas UK Task 26'!$O1003, "Complet", "Not Requir")</f>
        <v/>
      </c>
      <c r="AA1003" s="98" t="str">
        <f t="shared" si="660"/>
        <v/>
      </c>
      <c r="AB1003" s="99"/>
      <c r="AF1003" s="84" t="str">
        <f t="shared" si="656"/>
        <v/>
      </c>
      <c r="AH1003" s="84" t="str">
        <f t="shared" si="651"/>
        <v/>
      </c>
      <c r="AI1003" s="84" t="str">
        <f t="shared" si="652"/>
        <v/>
      </c>
    </row>
    <row r="1004" spans="1:35" ht="15.75" customHeight="1" x14ac:dyDescent="0.3">
      <c r="A1004" s="85" t="str">
        <f t="shared" si="658"/>
        <v/>
      </c>
      <c r="C1004" s="87"/>
      <c r="E1004" s="87"/>
      <c r="H1004" s="87"/>
      <c r="I1004" s="87"/>
      <c r="O1004" s="90" t="str">
        <f t="shared" si="653"/>
        <v/>
      </c>
      <c r="Q1004" s="91" t="str">
        <f t="shared" si="654"/>
        <v/>
      </c>
      <c r="R1004" s="91" t="str">
        <f t="shared" si="657"/>
        <v/>
      </c>
      <c r="S1004" s="92" t="str">
        <f t="shared" si="655"/>
        <v/>
      </c>
      <c r="T1004" s="93"/>
      <c r="U1004" s="94" t="str">
        <f t="shared" si="659"/>
        <v/>
      </c>
      <c r="X1004" s="96"/>
      <c r="Y1004" s="97" t="str">
        <f t="shared" si="661"/>
        <v/>
      </c>
      <c r="Z1004" s="98" t="str">
        <f>SUBSTITUTE('Digitas UK Task 26'!$O1004, "Complet", "Not Requir")</f>
        <v/>
      </c>
      <c r="AA1004" s="98" t="str">
        <f t="shared" si="660"/>
        <v/>
      </c>
      <c r="AB1004" s="99"/>
      <c r="AF1004" s="84" t="str">
        <f t="shared" si="656"/>
        <v/>
      </c>
      <c r="AH1004" s="84" t="str">
        <f t="shared" si="651"/>
        <v/>
      </c>
      <c r="AI1004" s="84" t="str">
        <f t="shared" si="652"/>
        <v/>
      </c>
    </row>
    <row r="1005" spans="1:35" ht="15.75" customHeight="1" x14ac:dyDescent="0.3">
      <c r="A1005" s="85" t="str">
        <f t="shared" si="658"/>
        <v/>
      </c>
      <c r="C1005" s="87"/>
      <c r="E1005" s="87"/>
      <c r="H1005" s="87"/>
      <c r="I1005" s="87"/>
      <c r="O1005" s="90" t="str">
        <f t="shared" si="653"/>
        <v/>
      </c>
      <c r="Q1005" s="91" t="str">
        <f t="shared" si="654"/>
        <v/>
      </c>
      <c r="R1005" s="91" t="str">
        <f t="shared" si="657"/>
        <v/>
      </c>
      <c r="S1005" s="92" t="str">
        <f t="shared" si="655"/>
        <v/>
      </c>
      <c r="T1005" s="93"/>
      <c r="U1005" s="94" t="str">
        <f t="shared" si="659"/>
        <v/>
      </c>
      <c r="X1005" s="96"/>
      <c r="Y1005" s="97" t="str">
        <f t="shared" si="661"/>
        <v/>
      </c>
      <c r="Z1005" s="98" t="str">
        <f>SUBSTITUTE('Digitas UK Task 26'!$O1005, "Complet", "Not Requir")</f>
        <v/>
      </c>
      <c r="AA1005" s="98" t="str">
        <f t="shared" si="660"/>
        <v/>
      </c>
      <c r="AB1005" s="99"/>
      <c r="AF1005" s="84" t="str">
        <f t="shared" si="656"/>
        <v/>
      </c>
      <c r="AH1005" s="84" t="str">
        <f t="shared" si="651"/>
        <v/>
      </c>
      <c r="AI1005" s="84" t="str">
        <f t="shared" si="652"/>
        <v/>
      </c>
    </row>
    <row r="1006" spans="1:35" ht="15.75" customHeight="1" x14ac:dyDescent="0.3">
      <c r="A1006" s="85" t="str">
        <f t="shared" si="658"/>
        <v/>
      </c>
      <c r="C1006" s="87"/>
      <c r="E1006" s="87"/>
      <c r="H1006" s="87"/>
      <c r="I1006" s="87"/>
      <c r="O1006" s="90" t="str">
        <f t="shared" si="653"/>
        <v/>
      </c>
      <c r="Q1006" s="91" t="str">
        <f t="shared" si="654"/>
        <v/>
      </c>
      <c r="R1006" s="91" t="str">
        <f t="shared" si="657"/>
        <v/>
      </c>
      <c r="S1006" s="92" t="str">
        <f t="shared" si="655"/>
        <v/>
      </c>
      <c r="T1006" s="93"/>
      <c r="U1006" s="94" t="str">
        <f t="shared" si="659"/>
        <v/>
      </c>
      <c r="X1006" s="96"/>
      <c r="Y1006" s="97" t="str">
        <f t="shared" si="661"/>
        <v/>
      </c>
      <c r="Z1006" s="98" t="str">
        <f>SUBSTITUTE('Digitas UK Task 26'!$O1006, "Complet", "Not Requir")</f>
        <v/>
      </c>
      <c r="AA1006" s="98" t="str">
        <f t="shared" si="660"/>
        <v/>
      </c>
      <c r="AB1006" s="99"/>
      <c r="AF1006" s="84" t="str">
        <f t="shared" si="656"/>
        <v/>
      </c>
      <c r="AH1006" s="84" t="str">
        <f t="shared" si="651"/>
        <v/>
      </c>
      <c r="AI1006" s="84" t="str">
        <f t="shared" si="652"/>
        <v/>
      </c>
    </row>
    <row r="1007" spans="1:35" ht="15.75" customHeight="1" x14ac:dyDescent="0.3">
      <c r="A1007" s="85" t="str">
        <f t="shared" si="658"/>
        <v/>
      </c>
      <c r="C1007" s="87"/>
      <c r="E1007" s="87"/>
      <c r="H1007" s="87"/>
      <c r="I1007" s="87"/>
      <c r="O1007" s="90" t="str">
        <f t="shared" si="653"/>
        <v/>
      </c>
      <c r="Q1007" s="91" t="str">
        <f t="shared" si="654"/>
        <v/>
      </c>
      <c r="R1007" s="91" t="str">
        <f t="shared" si="657"/>
        <v/>
      </c>
      <c r="S1007" s="92" t="str">
        <f t="shared" si="655"/>
        <v/>
      </c>
      <c r="T1007" s="93"/>
      <c r="U1007" s="94" t="str">
        <f t="shared" si="659"/>
        <v/>
      </c>
      <c r="X1007" s="96"/>
      <c r="Y1007" s="97" t="str">
        <f t="shared" si="661"/>
        <v/>
      </c>
      <c r="Z1007" s="98" t="str">
        <f>SUBSTITUTE('Digitas UK Task 26'!$O1007, "Complet", "Not Requir")</f>
        <v/>
      </c>
      <c r="AA1007" s="98" t="str">
        <f t="shared" si="660"/>
        <v/>
      </c>
      <c r="AB1007" s="99"/>
      <c r="AF1007" s="84" t="str">
        <f t="shared" si="656"/>
        <v/>
      </c>
      <c r="AH1007" s="84" t="str">
        <f t="shared" ref="AH1007:AH1033" si="662">IF(B1007="","",_xlfn.CONCAT("PL_",J1007,"_CR_",K1007,"_AD_",L1007,"_Jira_",IF(AND(C1007="P&amp;G",ISNUMBER(SEARCH("TAAGPNG-",G1007))),MID(G1007,SEARCH("TAAGPNG-",G1007)+8,LEN(G1007)-SEARCH("TAAGPNG-",G1007)-7),"0"),"_"))</f>
        <v/>
      </c>
      <c r="AI1007" s="84" t="str">
        <f t="shared" si="652"/>
        <v/>
      </c>
    </row>
    <row r="1008" spans="1:35" ht="15.75" customHeight="1" x14ac:dyDescent="0.3">
      <c r="A1008" s="85" t="str">
        <f t="shared" si="658"/>
        <v/>
      </c>
      <c r="C1008" s="87"/>
      <c r="E1008" s="87"/>
      <c r="H1008" s="87"/>
      <c r="I1008" s="87"/>
      <c r="O1008" s="90" t="str">
        <f t="shared" si="653"/>
        <v/>
      </c>
      <c r="Q1008" s="91" t="str">
        <f t="shared" si="654"/>
        <v/>
      </c>
      <c r="R1008" s="91" t="str">
        <f t="shared" si="657"/>
        <v/>
      </c>
      <c r="S1008" s="92" t="str">
        <f t="shared" si="655"/>
        <v/>
      </c>
      <c r="T1008" s="93"/>
      <c r="U1008" s="94" t="str">
        <f t="shared" si="659"/>
        <v/>
      </c>
      <c r="X1008" s="96"/>
      <c r="Y1008" s="97" t="str">
        <f t="shared" si="661"/>
        <v/>
      </c>
      <c r="Z1008" s="98" t="str">
        <f>SUBSTITUTE('Digitas UK Task 26'!$O1008, "Complet", "Not Requir")</f>
        <v/>
      </c>
      <c r="AA1008" s="98" t="str">
        <f t="shared" si="660"/>
        <v/>
      </c>
      <c r="AB1008" s="99"/>
      <c r="AF1008" s="84" t="str">
        <f t="shared" si="656"/>
        <v/>
      </c>
      <c r="AH1008" s="84" t="str">
        <f t="shared" si="662"/>
        <v/>
      </c>
      <c r="AI1008" s="84" t="str">
        <f t="shared" si="652"/>
        <v/>
      </c>
    </row>
    <row r="1009" spans="1:35" ht="15.75" customHeight="1" x14ac:dyDescent="0.3">
      <c r="A1009" s="85" t="str">
        <f t="shared" si="658"/>
        <v/>
      </c>
      <c r="C1009" s="87"/>
      <c r="E1009" s="87"/>
      <c r="H1009" s="87"/>
      <c r="I1009" s="87"/>
      <c r="O1009" s="90" t="str">
        <f t="shared" si="653"/>
        <v/>
      </c>
      <c r="Q1009" s="91" t="str">
        <f t="shared" si="654"/>
        <v/>
      </c>
      <c r="R1009" s="91" t="str">
        <f t="shared" si="657"/>
        <v/>
      </c>
      <c r="S1009" s="92" t="str">
        <f t="shared" si="655"/>
        <v/>
      </c>
      <c r="T1009" s="93"/>
      <c r="U1009" s="94" t="str">
        <f t="shared" si="659"/>
        <v/>
      </c>
      <c r="X1009" s="96"/>
      <c r="Y1009" s="97" t="str">
        <f t="shared" si="661"/>
        <v/>
      </c>
      <c r="Z1009" s="98" t="str">
        <f>SUBSTITUTE('Digitas UK Task 26'!$O1009, "Complet", "Not Requir")</f>
        <v/>
      </c>
      <c r="AA1009" s="98" t="str">
        <f t="shared" si="660"/>
        <v/>
      </c>
      <c r="AB1009" s="99"/>
      <c r="AF1009" s="84" t="str">
        <f t="shared" si="656"/>
        <v/>
      </c>
      <c r="AH1009" s="84" t="str">
        <f t="shared" si="662"/>
        <v/>
      </c>
      <c r="AI1009" s="84" t="str">
        <f t="shared" si="652"/>
        <v/>
      </c>
    </row>
    <row r="1010" spans="1:35" ht="15.75" customHeight="1" x14ac:dyDescent="0.3">
      <c r="A1010" s="85" t="str">
        <f t="shared" si="658"/>
        <v/>
      </c>
      <c r="C1010" s="87"/>
      <c r="E1010" s="87"/>
      <c r="H1010" s="87"/>
      <c r="I1010" s="87"/>
      <c r="O1010" s="90" t="str">
        <f t="shared" si="653"/>
        <v/>
      </c>
      <c r="Q1010" s="91" t="str">
        <f t="shared" si="654"/>
        <v/>
      </c>
      <c r="R1010" s="91" t="str">
        <f t="shared" si="657"/>
        <v/>
      </c>
      <c r="S1010" s="92" t="str">
        <f t="shared" si="655"/>
        <v/>
      </c>
      <c r="T1010" s="93"/>
      <c r="U1010" s="94" t="str">
        <f t="shared" si="659"/>
        <v/>
      </c>
      <c r="X1010" s="96"/>
      <c r="Y1010" s="97" t="str">
        <f t="shared" si="661"/>
        <v/>
      </c>
      <c r="Z1010" s="98" t="str">
        <f>SUBSTITUTE('Digitas UK Task 26'!$O1010, "Complet", "Not Requir")</f>
        <v/>
      </c>
      <c r="AA1010" s="98" t="str">
        <f t="shared" si="660"/>
        <v/>
      </c>
      <c r="AB1010" s="99"/>
      <c r="AF1010" s="84" t="str">
        <f t="shared" si="656"/>
        <v/>
      </c>
      <c r="AH1010" s="84" t="str">
        <f t="shared" si="662"/>
        <v/>
      </c>
      <c r="AI1010" s="84" t="str">
        <f t="shared" si="652"/>
        <v/>
      </c>
    </row>
    <row r="1011" spans="1:35" ht="15.75" customHeight="1" x14ac:dyDescent="0.3">
      <c r="A1011" s="85" t="str">
        <f t="shared" si="658"/>
        <v/>
      </c>
      <c r="C1011" s="87"/>
      <c r="E1011" s="87"/>
      <c r="H1011" s="87"/>
      <c r="I1011" s="87"/>
      <c r="O1011" s="90" t="str">
        <f t="shared" si="653"/>
        <v/>
      </c>
      <c r="Q1011" s="91" t="str">
        <f t="shared" si="654"/>
        <v/>
      </c>
      <c r="R1011" s="91" t="str">
        <f t="shared" si="657"/>
        <v/>
      </c>
      <c r="S1011" s="92" t="str">
        <f t="shared" si="655"/>
        <v/>
      </c>
      <c r="T1011" s="93"/>
      <c r="U1011" s="94" t="str">
        <f t="shared" si="659"/>
        <v/>
      </c>
      <c r="X1011" s="96"/>
      <c r="Y1011" s="97" t="str">
        <f t="shared" si="661"/>
        <v/>
      </c>
      <c r="Z1011" s="98" t="str">
        <f>SUBSTITUTE('Digitas UK Task 26'!$O1011, "Complet", "Not Requir")</f>
        <v/>
      </c>
      <c r="AA1011" s="98" t="str">
        <f t="shared" si="660"/>
        <v/>
      </c>
      <c r="AB1011" s="99"/>
      <c r="AF1011" s="84" t="str">
        <f t="shared" si="656"/>
        <v/>
      </c>
      <c r="AH1011" s="84" t="str">
        <f t="shared" si="662"/>
        <v/>
      </c>
      <c r="AI1011" s="84" t="str">
        <f t="shared" si="652"/>
        <v/>
      </c>
    </row>
    <row r="1012" spans="1:35" ht="15.75" customHeight="1" x14ac:dyDescent="0.3">
      <c r="A1012" s="85" t="str">
        <f t="shared" si="658"/>
        <v/>
      </c>
      <c r="C1012" s="87"/>
      <c r="E1012" s="87"/>
      <c r="H1012" s="87"/>
      <c r="I1012" s="87"/>
      <c r="O1012" s="90" t="str">
        <f t="shared" si="653"/>
        <v/>
      </c>
      <c r="Q1012" s="91" t="str">
        <f t="shared" si="654"/>
        <v/>
      </c>
      <c r="R1012" s="91" t="str">
        <f t="shared" si="657"/>
        <v/>
      </c>
      <c r="S1012" s="92" t="str">
        <f t="shared" si="655"/>
        <v/>
      </c>
      <c r="T1012" s="93"/>
      <c r="U1012" s="94" t="str">
        <f t="shared" si="659"/>
        <v/>
      </c>
      <c r="X1012" s="96"/>
      <c r="Y1012" s="97" t="str">
        <f t="shared" si="661"/>
        <v/>
      </c>
      <c r="Z1012" s="98" t="str">
        <f>SUBSTITUTE('Digitas UK Task 26'!$O1012, "Complet", "Not Requir")</f>
        <v/>
      </c>
      <c r="AA1012" s="98" t="str">
        <f t="shared" si="660"/>
        <v/>
      </c>
      <c r="AB1012" s="99"/>
      <c r="AF1012" s="84" t="str">
        <f t="shared" si="656"/>
        <v/>
      </c>
      <c r="AH1012" s="84" t="str">
        <f t="shared" si="662"/>
        <v/>
      </c>
      <c r="AI1012" s="84" t="str">
        <f t="shared" si="652"/>
        <v/>
      </c>
    </row>
    <row r="1013" spans="1:35" ht="15.75" customHeight="1" x14ac:dyDescent="0.3">
      <c r="A1013" s="85" t="str">
        <f t="shared" si="658"/>
        <v/>
      </c>
      <c r="C1013" s="87"/>
      <c r="E1013" s="87"/>
      <c r="H1013" s="87"/>
      <c r="I1013" s="87"/>
      <c r="O1013" s="90" t="str">
        <f t="shared" si="653"/>
        <v/>
      </c>
      <c r="Q1013" s="91" t="str">
        <f t="shared" si="654"/>
        <v/>
      </c>
      <c r="R1013" s="91" t="str">
        <f t="shared" si="657"/>
        <v/>
      </c>
      <c r="S1013" s="92" t="str">
        <f t="shared" si="655"/>
        <v/>
      </c>
      <c r="T1013" s="93"/>
      <c r="U1013" s="94" t="str">
        <f t="shared" si="659"/>
        <v/>
      </c>
      <c r="X1013" s="96"/>
      <c r="Y1013" s="97" t="str">
        <f t="shared" si="661"/>
        <v/>
      </c>
      <c r="Z1013" s="98" t="str">
        <f>SUBSTITUTE('Digitas UK Task 26'!$O1013, "Complet", "Not Requir")</f>
        <v/>
      </c>
      <c r="AA1013" s="98" t="str">
        <f t="shared" si="660"/>
        <v/>
      </c>
      <c r="AB1013" s="99"/>
      <c r="AF1013" s="84" t="str">
        <f t="shared" si="656"/>
        <v/>
      </c>
      <c r="AH1013" s="84" t="str">
        <f t="shared" si="662"/>
        <v/>
      </c>
      <c r="AI1013" s="84" t="str">
        <f t="shared" ref="AI1013:AI1033" si="663">IF(U1013&lt;&gt;"Done","",_xlfn.CONCAT("PL_",J1013,"_CR_",K1013,"_AD_",L1013,"_Jira_",IF(AND(C1013="P&amp;G",ISNUMBER(SEARCH("TAAGPNG-",G1013))),MID(G1013,SEARCH("TAAGPNG-",G1013)+8,LEN(G1013)-SEARCH("TAAGPNG-",G1013)-7),"0"),"_"))</f>
        <v/>
      </c>
    </row>
    <row r="1014" spans="1:35" ht="15.75" customHeight="1" x14ac:dyDescent="0.3">
      <c r="A1014" s="85" t="str">
        <f t="shared" si="658"/>
        <v/>
      </c>
      <c r="C1014" s="87"/>
      <c r="E1014" s="87"/>
      <c r="H1014" s="87"/>
      <c r="I1014" s="87"/>
      <c r="O1014" s="90" t="str">
        <f t="shared" si="653"/>
        <v/>
      </c>
      <c r="Q1014" s="91" t="str">
        <f t="shared" si="654"/>
        <v/>
      </c>
      <c r="R1014" s="91" t="str">
        <f t="shared" si="657"/>
        <v/>
      </c>
      <c r="S1014" s="92" t="str">
        <f t="shared" si="655"/>
        <v/>
      </c>
      <c r="T1014" s="93"/>
      <c r="U1014" s="94" t="str">
        <f t="shared" si="659"/>
        <v/>
      </c>
      <c r="X1014" s="96"/>
      <c r="Y1014" s="97" t="str">
        <f t="shared" si="661"/>
        <v/>
      </c>
      <c r="Z1014" s="98" t="str">
        <f>SUBSTITUTE('Digitas UK Task 26'!$O1014, "Complet", "Not Requir")</f>
        <v/>
      </c>
      <c r="AA1014" s="98" t="str">
        <f t="shared" si="660"/>
        <v/>
      </c>
      <c r="AB1014" s="99"/>
      <c r="AF1014" s="84" t="str">
        <f t="shared" si="656"/>
        <v/>
      </c>
      <c r="AH1014" s="84" t="str">
        <f t="shared" si="662"/>
        <v/>
      </c>
      <c r="AI1014" s="84" t="str">
        <f t="shared" si="663"/>
        <v/>
      </c>
    </row>
    <row r="1015" spans="1:35" ht="15.75" customHeight="1" x14ac:dyDescent="0.3">
      <c r="A1015" s="85" t="str">
        <f t="shared" si="658"/>
        <v/>
      </c>
      <c r="C1015" s="87"/>
      <c r="E1015" s="87"/>
      <c r="H1015" s="87"/>
      <c r="I1015" s="87"/>
      <c r="O1015" s="90" t="str">
        <f t="shared" ref="O1015:O1078" si="664">IF(F1015="","","In-process")</f>
        <v/>
      </c>
      <c r="Q1015" s="91" t="str">
        <f t="shared" si="654"/>
        <v/>
      </c>
      <c r="R1015" s="91" t="str">
        <f t="shared" si="657"/>
        <v/>
      </c>
      <c r="S1015" s="92" t="str">
        <f t="shared" si="655"/>
        <v/>
      </c>
      <c r="T1015" s="93"/>
      <c r="U1015" s="94" t="str">
        <f t="shared" si="659"/>
        <v/>
      </c>
      <c r="X1015" s="96"/>
      <c r="Y1015" s="97" t="str">
        <f t="shared" si="661"/>
        <v/>
      </c>
      <c r="Z1015" s="98" t="str">
        <f>SUBSTITUTE('Digitas UK Task 26'!$O1015, "Complet", "Not Requir")</f>
        <v/>
      </c>
      <c r="AA1015" s="98" t="str">
        <f t="shared" si="660"/>
        <v/>
      </c>
      <c r="AB1015" s="99"/>
      <c r="AF1015" s="84" t="str">
        <f t="shared" si="656"/>
        <v/>
      </c>
      <c r="AH1015" s="84" t="str">
        <f t="shared" si="662"/>
        <v/>
      </c>
      <c r="AI1015" s="84" t="str">
        <f t="shared" si="663"/>
        <v/>
      </c>
    </row>
    <row r="1016" spans="1:35" ht="15.75" customHeight="1" x14ac:dyDescent="0.3">
      <c r="A1016" s="85" t="str">
        <f t="shared" si="658"/>
        <v/>
      </c>
      <c r="C1016" s="87"/>
      <c r="E1016" s="87"/>
      <c r="H1016" s="87"/>
      <c r="I1016" s="87"/>
      <c r="O1016" s="90" t="str">
        <f t="shared" si="664"/>
        <v/>
      </c>
      <c r="Q1016" s="91" t="str">
        <f t="shared" si="654"/>
        <v/>
      </c>
      <c r="R1016" s="91" t="str">
        <f t="shared" si="657"/>
        <v/>
      </c>
      <c r="S1016" s="92" t="str">
        <f t="shared" si="655"/>
        <v/>
      </c>
      <c r="T1016" s="93"/>
      <c r="U1016" s="94" t="str">
        <f t="shared" si="659"/>
        <v/>
      </c>
      <c r="X1016" s="96"/>
      <c r="Y1016" s="97" t="str">
        <f t="shared" si="661"/>
        <v/>
      </c>
      <c r="Z1016" s="98" t="str">
        <f>SUBSTITUTE('Digitas UK Task 26'!$O1016, "Complet", "Not Requir")</f>
        <v/>
      </c>
      <c r="AA1016" s="98" t="str">
        <f t="shared" si="660"/>
        <v/>
      </c>
      <c r="AB1016" s="99"/>
      <c r="AF1016" s="84" t="str">
        <f t="shared" si="656"/>
        <v/>
      </c>
      <c r="AH1016" s="84" t="str">
        <f t="shared" si="662"/>
        <v/>
      </c>
      <c r="AI1016" s="84" t="str">
        <f t="shared" si="663"/>
        <v/>
      </c>
    </row>
    <row r="1017" spans="1:35" ht="15.75" customHeight="1" x14ac:dyDescent="0.3">
      <c r="A1017" s="85" t="str">
        <f t="shared" si="658"/>
        <v/>
      </c>
      <c r="C1017" s="87"/>
      <c r="E1017" s="87"/>
      <c r="H1017" s="87"/>
      <c r="I1017" s="87"/>
      <c r="O1017" s="90" t="str">
        <f t="shared" si="664"/>
        <v/>
      </c>
      <c r="Q1017" s="91" t="str">
        <f t="shared" si="654"/>
        <v/>
      </c>
      <c r="R1017" s="91" t="str">
        <f t="shared" si="657"/>
        <v/>
      </c>
      <c r="S1017" s="92" t="str">
        <f t="shared" si="655"/>
        <v/>
      </c>
      <c r="T1017" s="93"/>
      <c r="U1017" s="94" t="str">
        <f t="shared" si="659"/>
        <v/>
      </c>
      <c r="X1017" s="96"/>
      <c r="Y1017" s="97" t="str">
        <f t="shared" si="661"/>
        <v/>
      </c>
      <c r="Z1017" s="98" t="str">
        <f>SUBSTITUTE('Digitas UK Task 26'!$O1017, "Complet", "Not Requir")</f>
        <v/>
      </c>
      <c r="AA1017" s="98" t="str">
        <f t="shared" si="660"/>
        <v/>
      </c>
      <c r="AB1017" s="99"/>
      <c r="AF1017" s="84" t="str">
        <f t="shared" si="656"/>
        <v/>
      </c>
      <c r="AH1017" s="84" t="str">
        <f t="shared" si="662"/>
        <v/>
      </c>
      <c r="AI1017" s="84" t="str">
        <f t="shared" si="663"/>
        <v/>
      </c>
    </row>
    <row r="1018" spans="1:35" ht="15.75" customHeight="1" x14ac:dyDescent="0.3">
      <c r="A1018" s="85" t="str">
        <f t="shared" si="658"/>
        <v/>
      </c>
      <c r="C1018" s="87"/>
      <c r="E1018" s="87"/>
      <c r="H1018" s="87"/>
      <c r="I1018" s="87"/>
      <c r="O1018" s="90" t="str">
        <f t="shared" si="664"/>
        <v/>
      </c>
      <c r="Q1018" s="91" t="str">
        <f t="shared" si="654"/>
        <v/>
      </c>
      <c r="R1018" s="91" t="str">
        <f t="shared" si="657"/>
        <v/>
      </c>
      <c r="S1018" s="92" t="str">
        <f t="shared" si="655"/>
        <v/>
      </c>
      <c r="T1018" s="93"/>
      <c r="U1018" s="94" t="str">
        <f t="shared" si="659"/>
        <v/>
      </c>
      <c r="X1018" s="96"/>
      <c r="Y1018" s="97" t="str">
        <f t="shared" si="661"/>
        <v/>
      </c>
      <c r="Z1018" s="98" t="str">
        <f>SUBSTITUTE('Digitas UK Task 26'!$O1018, "Complet", "Not Requir")</f>
        <v/>
      </c>
      <c r="AA1018" s="98" t="str">
        <f t="shared" si="660"/>
        <v/>
      </c>
      <c r="AB1018" s="99"/>
      <c r="AF1018" s="84" t="str">
        <f t="shared" si="656"/>
        <v/>
      </c>
      <c r="AH1018" s="84" t="str">
        <f t="shared" si="662"/>
        <v/>
      </c>
      <c r="AI1018" s="84" t="str">
        <f t="shared" si="663"/>
        <v/>
      </c>
    </row>
    <row r="1019" spans="1:35" ht="15.75" customHeight="1" x14ac:dyDescent="0.3">
      <c r="A1019" s="85" t="str">
        <f t="shared" si="658"/>
        <v/>
      </c>
      <c r="C1019" s="87"/>
      <c r="E1019" s="87"/>
      <c r="H1019" s="87"/>
      <c r="I1019" s="87"/>
      <c r="O1019" s="90" t="str">
        <f t="shared" si="664"/>
        <v/>
      </c>
      <c r="Q1019" s="91" t="str">
        <f t="shared" si="654"/>
        <v/>
      </c>
      <c r="R1019" s="91" t="str">
        <f t="shared" si="657"/>
        <v/>
      </c>
      <c r="S1019" s="92" t="str">
        <f t="shared" si="655"/>
        <v/>
      </c>
      <c r="T1019" s="93"/>
      <c r="U1019" s="94" t="str">
        <f t="shared" si="659"/>
        <v/>
      </c>
      <c r="X1019" s="96"/>
      <c r="Y1019" s="97" t="str">
        <f t="shared" si="661"/>
        <v/>
      </c>
      <c r="Z1019" s="98" t="str">
        <f>SUBSTITUTE('Digitas UK Task 26'!$O1019, "Complet", "Not Requir")</f>
        <v/>
      </c>
      <c r="AA1019" s="98" t="str">
        <f t="shared" si="660"/>
        <v/>
      </c>
      <c r="AB1019" s="99"/>
      <c r="AF1019" s="84" t="str">
        <f t="shared" si="656"/>
        <v/>
      </c>
      <c r="AH1019" s="84" t="str">
        <f t="shared" si="662"/>
        <v/>
      </c>
      <c r="AI1019" s="84" t="str">
        <f t="shared" si="663"/>
        <v/>
      </c>
    </row>
    <row r="1020" spans="1:35" ht="15.75" customHeight="1" x14ac:dyDescent="0.3">
      <c r="A1020" s="85" t="str">
        <f t="shared" si="658"/>
        <v/>
      </c>
      <c r="C1020" s="87"/>
      <c r="E1020" s="87"/>
      <c r="H1020" s="87"/>
      <c r="I1020" s="87"/>
      <c r="O1020" s="90" t="str">
        <f t="shared" si="664"/>
        <v/>
      </c>
      <c r="Q1020" s="91" t="str">
        <f t="shared" si="654"/>
        <v/>
      </c>
      <c r="R1020" s="91" t="str">
        <f t="shared" si="657"/>
        <v/>
      </c>
      <c r="S1020" s="92" t="str">
        <f t="shared" si="655"/>
        <v/>
      </c>
      <c r="T1020" s="93"/>
      <c r="U1020" s="94" t="str">
        <f t="shared" si="659"/>
        <v/>
      </c>
      <c r="X1020" s="96"/>
      <c r="Y1020" s="97" t="str">
        <f t="shared" si="661"/>
        <v/>
      </c>
      <c r="Z1020" s="98" t="str">
        <f>SUBSTITUTE('Digitas UK Task 26'!$O1020, "Complet", "Not Requir")</f>
        <v/>
      </c>
      <c r="AA1020" s="98" t="str">
        <f t="shared" si="660"/>
        <v/>
      </c>
      <c r="AB1020" s="99"/>
      <c r="AF1020" s="84" t="str">
        <f t="shared" si="656"/>
        <v/>
      </c>
      <c r="AH1020" s="84" t="str">
        <f t="shared" si="662"/>
        <v/>
      </c>
      <c r="AI1020" s="84" t="str">
        <f t="shared" si="663"/>
        <v/>
      </c>
    </row>
    <row r="1021" spans="1:35" ht="15.75" customHeight="1" x14ac:dyDescent="0.3">
      <c r="A1021" s="85" t="str">
        <f t="shared" si="658"/>
        <v/>
      </c>
      <c r="C1021" s="87"/>
      <c r="E1021" s="87"/>
      <c r="H1021" s="87"/>
      <c r="I1021" s="87"/>
      <c r="O1021" s="90" t="str">
        <f t="shared" si="664"/>
        <v/>
      </c>
      <c r="Q1021" s="91" t="str">
        <f t="shared" si="654"/>
        <v/>
      </c>
      <c r="R1021" s="91" t="str">
        <f t="shared" si="657"/>
        <v/>
      </c>
      <c r="S1021" s="92" t="str">
        <f t="shared" si="655"/>
        <v/>
      </c>
      <c r="T1021" s="93"/>
      <c r="U1021" s="94" t="str">
        <f t="shared" si="659"/>
        <v/>
      </c>
      <c r="X1021" s="96"/>
      <c r="Y1021" s="97" t="str">
        <f t="shared" si="661"/>
        <v/>
      </c>
      <c r="Z1021" s="98" t="str">
        <f>SUBSTITUTE('Digitas UK Task 26'!$O1021, "Complet", "Not Requir")</f>
        <v/>
      </c>
      <c r="AA1021" s="98" t="str">
        <f t="shared" si="660"/>
        <v/>
      </c>
      <c r="AB1021" s="99"/>
      <c r="AF1021" s="84" t="str">
        <f t="shared" si="656"/>
        <v/>
      </c>
      <c r="AH1021" s="84" t="str">
        <f t="shared" si="662"/>
        <v/>
      </c>
      <c r="AI1021" s="84" t="str">
        <f t="shared" si="663"/>
        <v/>
      </c>
    </row>
    <row r="1022" spans="1:35" ht="15.75" customHeight="1" x14ac:dyDescent="0.3">
      <c r="A1022" s="85" t="str">
        <f t="shared" si="658"/>
        <v/>
      </c>
      <c r="C1022" s="87"/>
      <c r="E1022" s="87"/>
      <c r="H1022" s="87"/>
      <c r="I1022" s="87"/>
      <c r="O1022" s="90" t="str">
        <f t="shared" si="664"/>
        <v/>
      </c>
      <c r="Q1022" s="91" t="str">
        <f t="shared" si="654"/>
        <v/>
      </c>
      <c r="R1022" s="91" t="str">
        <f t="shared" si="657"/>
        <v/>
      </c>
      <c r="S1022" s="92" t="str">
        <f t="shared" si="655"/>
        <v/>
      </c>
      <c r="T1022" s="93"/>
      <c r="U1022" s="94" t="str">
        <f t="shared" si="659"/>
        <v/>
      </c>
      <c r="X1022" s="96"/>
      <c r="Y1022" s="97" t="str">
        <f t="shared" si="661"/>
        <v/>
      </c>
      <c r="Z1022" s="98" t="str">
        <f>SUBSTITUTE('Digitas UK Task 26'!$O1022, "Complet", "Not Requir")</f>
        <v/>
      </c>
      <c r="AA1022" s="98" t="str">
        <f t="shared" si="660"/>
        <v/>
      </c>
      <c r="AB1022" s="99"/>
      <c r="AF1022" s="84" t="str">
        <f t="shared" si="656"/>
        <v/>
      </c>
      <c r="AH1022" s="84" t="str">
        <f t="shared" si="662"/>
        <v/>
      </c>
      <c r="AI1022" s="84" t="str">
        <f t="shared" si="663"/>
        <v/>
      </c>
    </row>
    <row r="1023" spans="1:35" ht="15.75" customHeight="1" x14ac:dyDescent="0.3">
      <c r="A1023" s="85" t="str">
        <f t="shared" si="658"/>
        <v/>
      </c>
      <c r="C1023" s="87"/>
      <c r="E1023" s="87"/>
      <c r="H1023" s="87"/>
      <c r="I1023" s="87"/>
      <c r="O1023" s="90" t="str">
        <f t="shared" si="664"/>
        <v/>
      </c>
      <c r="Q1023" s="91" t="str">
        <f t="shared" ref="Q1023:Q1038" si="665">IF(B1023="","",WEEKNUM(B1023))</f>
        <v/>
      </c>
      <c r="R1023" s="91" t="str">
        <f t="shared" si="657"/>
        <v/>
      </c>
      <c r="S1023" s="92" t="str">
        <f t="shared" si="655"/>
        <v/>
      </c>
      <c r="T1023" s="93"/>
      <c r="U1023" s="94" t="str">
        <f t="shared" si="659"/>
        <v/>
      </c>
      <c r="X1023" s="96"/>
      <c r="Y1023" s="97" t="str">
        <f t="shared" si="661"/>
        <v/>
      </c>
      <c r="Z1023" s="98" t="str">
        <f>SUBSTITUTE('Digitas UK Task 26'!$O1023, "Complet", "Not Requir")</f>
        <v/>
      </c>
      <c r="AA1023" s="98" t="str">
        <f t="shared" si="660"/>
        <v/>
      </c>
      <c r="AB1023" s="99"/>
      <c r="AF1023" s="84" t="str">
        <f t="shared" si="656"/>
        <v/>
      </c>
      <c r="AH1023" s="84" t="str">
        <f t="shared" si="662"/>
        <v/>
      </c>
      <c r="AI1023" s="84" t="str">
        <f t="shared" si="663"/>
        <v/>
      </c>
    </row>
    <row r="1024" spans="1:35" ht="15.75" customHeight="1" x14ac:dyDescent="0.3">
      <c r="A1024" s="85" t="str">
        <f t="shared" si="658"/>
        <v/>
      </c>
      <c r="C1024" s="87"/>
      <c r="E1024" s="87"/>
      <c r="H1024" s="87"/>
      <c r="I1024" s="87"/>
      <c r="O1024" s="90" t="str">
        <f t="shared" si="664"/>
        <v/>
      </c>
      <c r="Q1024" s="91" t="str">
        <f t="shared" si="665"/>
        <v/>
      </c>
      <c r="R1024" s="91" t="str">
        <f t="shared" si="657"/>
        <v/>
      </c>
      <c r="S1024" s="92" t="str">
        <f t="shared" si="655"/>
        <v/>
      </c>
      <c r="T1024" s="93"/>
      <c r="U1024" s="94" t="str">
        <f t="shared" si="659"/>
        <v/>
      </c>
      <c r="X1024" s="96"/>
      <c r="Y1024" s="97" t="str">
        <f t="shared" si="661"/>
        <v/>
      </c>
      <c r="Z1024" s="98" t="str">
        <f>SUBSTITUTE('Digitas UK Task 26'!$O1024, "Complet", "Not Requir")</f>
        <v/>
      </c>
      <c r="AA1024" s="98" t="str">
        <f t="shared" si="660"/>
        <v/>
      </c>
      <c r="AB1024" s="99"/>
      <c r="AF1024" s="84" t="str">
        <f t="shared" si="656"/>
        <v/>
      </c>
      <c r="AH1024" s="84" t="str">
        <f t="shared" si="662"/>
        <v/>
      </c>
      <c r="AI1024" s="84" t="str">
        <f t="shared" si="663"/>
        <v/>
      </c>
    </row>
    <row r="1025" spans="1:35" ht="15.75" customHeight="1" x14ac:dyDescent="0.3">
      <c r="A1025" s="85" t="str">
        <f t="shared" si="658"/>
        <v/>
      </c>
      <c r="C1025" s="87"/>
      <c r="E1025" s="87"/>
      <c r="H1025" s="87"/>
      <c r="I1025" s="87"/>
      <c r="O1025" s="90" t="str">
        <f t="shared" si="664"/>
        <v/>
      </c>
      <c r="Q1025" s="91" t="str">
        <f t="shared" si="665"/>
        <v/>
      </c>
      <c r="R1025" s="91" t="str">
        <f t="shared" si="657"/>
        <v/>
      </c>
      <c r="S1025" s="92" t="str">
        <f t="shared" si="655"/>
        <v/>
      </c>
      <c r="T1025" s="93"/>
      <c r="U1025" s="94" t="str">
        <f t="shared" si="659"/>
        <v/>
      </c>
      <c r="X1025" s="96"/>
      <c r="Y1025" s="97" t="str">
        <f t="shared" si="661"/>
        <v/>
      </c>
      <c r="Z1025" s="98" t="str">
        <f>SUBSTITUTE('Digitas UK Task 26'!$O1025, "Complet", "Not Requir")</f>
        <v/>
      </c>
      <c r="AA1025" s="98" t="str">
        <f t="shared" si="660"/>
        <v/>
      </c>
      <c r="AB1025" s="99"/>
      <c r="AF1025" s="84" t="str">
        <f t="shared" si="656"/>
        <v/>
      </c>
      <c r="AH1025" s="84" t="str">
        <f t="shared" si="662"/>
        <v/>
      </c>
      <c r="AI1025" s="84" t="str">
        <f t="shared" si="663"/>
        <v/>
      </c>
    </row>
    <row r="1026" spans="1:35" ht="15.75" customHeight="1" x14ac:dyDescent="0.3">
      <c r="A1026" s="85" t="str">
        <f t="shared" si="658"/>
        <v/>
      </c>
      <c r="C1026" s="87"/>
      <c r="E1026" s="87"/>
      <c r="H1026" s="87"/>
      <c r="I1026" s="87"/>
      <c r="O1026" s="90" t="str">
        <f t="shared" si="664"/>
        <v/>
      </c>
      <c r="Q1026" s="91" t="str">
        <f t="shared" si="665"/>
        <v/>
      </c>
      <c r="R1026" s="91" t="str">
        <f t="shared" si="657"/>
        <v/>
      </c>
      <c r="S1026" s="92" t="str">
        <f t="shared" si="655"/>
        <v/>
      </c>
      <c r="T1026" s="93"/>
      <c r="U1026" s="94" t="str">
        <f t="shared" si="659"/>
        <v/>
      </c>
      <c r="X1026" s="96"/>
      <c r="Y1026" s="97" t="str">
        <f t="shared" si="661"/>
        <v/>
      </c>
      <c r="Z1026" s="98" t="str">
        <f>SUBSTITUTE('Digitas UK Task 26'!$O1026, "Complet", "Not Requir")</f>
        <v/>
      </c>
      <c r="AA1026" s="98" t="str">
        <f t="shared" si="660"/>
        <v/>
      </c>
      <c r="AB1026" s="99"/>
      <c r="AF1026" s="84" t="str">
        <f t="shared" si="656"/>
        <v/>
      </c>
      <c r="AH1026" s="84" t="str">
        <f t="shared" si="662"/>
        <v/>
      </c>
      <c r="AI1026" s="84" t="str">
        <f t="shared" si="663"/>
        <v/>
      </c>
    </row>
    <row r="1027" spans="1:35" ht="15.75" customHeight="1" x14ac:dyDescent="0.3">
      <c r="A1027" s="85" t="str">
        <f t="shared" si="658"/>
        <v/>
      </c>
      <c r="C1027" s="87"/>
      <c r="E1027" s="87"/>
      <c r="H1027" s="87"/>
      <c r="I1027" s="87"/>
      <c r="O1027" s="90" t="str">
        <f t="shared" si="664"/>
        <v/>
      </c>
      <c r="Q1027" s="91" t="str">
        <f t="shared" si="665"/>
        <v/>
      </c>
      <c r="R1027" s="91" t="str">
        <f t="shared" si="657"/>
        <v/>
      </c>
      <c r="S1027" s="92" t="str">
        <f t="shared" si="655"/>
        <v/>
      </c>
      <c r="T1027" s="93"/>
      <c r="U1027" s="94" t="str">
        <f t="shared" si="659"/>
        <v/>
      </c>
      <c r="X1027" s="96"/>
      <c r="Y1027" s="97" t="str">
        <f t="shared" si="661"/>
        <v/>
      </c>
      <c r="Z1027" s="98" t="str">
        <f>SUBSTITUTE('Digitas UK Task 26'!$O1027, "Complet", "Not Requir")</f>
        <v/>
      </c>
      <c r="AA1027" s="98" t="str">
        <f t="shared" si="660"/>
        <v/>
      </c>
      <c r="AB1027" s="99"/>
      <c r="AF1027" s="84" t="str">
        <f t="shared" si="656"/>
        <v/>
      </c>
      <c r="AH1027" s="84" t="str">
        <f t="shared" si="662"/>
        <v/>
      </c>
      <c r="AI1027" s="84" t="str">
        <f t="shared" si="663"/>
        <v/>
      </c>
    </row>
    <row r="1028" spans="1:35" ht="15.75" customHeight="1" x14ac:dyDescent="0.3">
      <c r="A1028" s="85" t="str">
        <f t="shared" si="658"/>
        <v/>
      </c>
      <c r="C1028" s="87"/>
      <c r="E1028" s="87"/>
      <c r="H1028" s="87"/>
      <c r="I1028" s="87"/>
      <c r="O1028" s="90" t="str">
        <f t="shared" si="664"/>
        <v/>
      </c>
      <c r="Q1028" s="91" t="str">
        <f t="shared" si="665"/>
        <v/>
      </c>
      <c r="R1028" s="91" t="str">
        <f t="shared" si="657"/>
        <v/>
      </c>
      <c r="S1028" s="92" t="str">
        <f t="shared" si="655"/>
        <v/>
      </c>
      <c r="T1028" s="93"/>
      <c r="U1028" s="94" t="str">
        <f t="shared" si="659"/>
        <v/>
      </c>
      <c r="X1028" s="96"/>
      <c r="Y1028" s="97" t="str">
        <f t="shared" si="661"/>
        <v/>
      </c>
      <c r="Z1028" s="98" t="str">
        <f>SUBSTITUTE('Digitas UK Task 26'!$O1028, "Complet", "Not Requir")</f>
        <v/>
      </c>
      <c r="AA1028" s="98" t="str">
        <f t="shared" si="660"/>
        <v/>
      </c>
      <c r="AB1028" s="99"/>
      <c r="AF1028" s="84" t="str">
        <f t="shared" si="656"/>
        <v/>
      </c>
      <c r="AH1028" s="84" t="str">
        <f t="shared" si="662"/>
        <v/>
      </c>
      <c r="AI1028" s="84" t="str">
        <f t="shared" si="663"/>
        <v/>
      </c>
    </row>
    <row r="1029" spans="1:35" ht="15.75" customHeight="1" x14ac:dyDescent="0.3">
      <c r="A1029" s="85" t="str">
        <f t="shared" si="658"/>
        <v/>
      </c>
      <c r="C1029" s="87"/>
      <c r="E1029" s="87"/>
      <c r="H1029" s="87"/>
      <c r="I1029" s="87"/>
      <c r="O1029" s="90" t="str">
        <f t="shared" si="664"/>
        <v/>
      </c>
      <c r="Q1029" s="91" t="str">
        <f t="shared" si="665"/>
        <v/>
      </c>
      <c r="R1029" s="91" t="str">
        <f t="shared" si="657"/>
        <v/>
      </c>
      <c r="S1029" s="92" t="str">
        <f t="shared" si="655"/>
        <v/>
      </c>
      <c r="T1029" s="93"/>
      <c r="U1029" s="94" t="str">
        <f t="shared" si="659"/>
        <v/>
      </c>
      <c r="X1029" s="96"/>
      <c r="Y1029" s="97" t="str">
        <f t="shared" si="661"/>
        <v/>
      </c>
      <c r="Z1029" s="98" t="str">
        <f>SUBSTITUTE('Digitas UK Task 26'!$O1029, "Complet", "Not Requir")</f>
        <v/>
      </c>
      <c r="AA1029" s="98" t="str">
        <f t="shared" si="660"/>
        <v/>
      </c>
      <c r="AB1029" s="99"/>
      <c r="AF1029" s="84" t="str">
        <f t="shared" si="656"/>
        <v/>
      </c>
      <c r="AH1029" s="84" t="str">
        <f t="shared" si="662"/>
        <v/>
      </c>
      <c r="AI1029" s="84" t="str">
        <f t="shared" si="663"/>
        <v/>
      </c>
    </row>
    <row r="1030" spans="1:35" ht="15.75" customHeight="1" x14ac:dyDescent="0.3">
      <c r="A1030" s="85" t="str">
        <f t="shared" si="658"/>
        <v/>
      </c>
      <c r="C1030" s="87"/>
      <c r="E1030" s="87"/>
      <c r="H1030" s="87"/>
      <c r="I1030" s="87"/>
      <c r="O1030" s="90" t="str">
        <f t="shared" si="664"/>
        <v/>
      </c>
      <c r="Q1030" s="91" t="str">
        <f t="shared" si="665"/>
        <v/>
      </c>
      <c r="R1030" s="91" t="str">
        <f t="shared" si="657"/>
        <v/>
      </c>
      <c r="S1030" s="92" t="str">
        <f t="shared" si="655"/>
        <v/>
      </c>
      <c r="T1030" s="93"/>
      <c r="U1030" s="94" t="str">
        <f t="shared" si="659"/>
        <v/>
      </c>
      <c r="X1030" s="96"/>
      <c r="Y1030" s="97" t="str">
        <f t="shared" si="661"/>
        <v/>
      </c>
      <c r="Z1030" s="98" t="str">
        <f>SUBSTITUTE('Digitas UK Task 26'!$O1030, "Complet", "Not Requir")</f>
        <v/>
      </c>
      <c r="AA1030" s="98" t="str">
        <f t="shared" si="660"/>
        <v/>
      </c>
      <c r="AB1030" s="99"/>
      <c r="AF1030" s="84" t="str">
        <f t="shared" si="656"/>
        <v/>
      </c>
      <c r="AH1030" s="84" t="str">
        <f t="shared" si="662"/>
        <v/>
      </c>
      <c r="AI1030" s="84" t="str">
        <f t="shared" si="663"/>
        <v/>
      </c>
    </row>
    <row r="1031" spans="1:35" ht="15.75" customHeight="1" x14ac:dyDescent="0.3">
      <c r="A1031" s="85" t="str">
        <f t="shared" si="658"/>
        <v/>
      </c>
      <c r="C1031" s="87"/>
      <c r="E1031" s="87"/>
      <c r="H1031" s="87"/>
      <c r="I1031" s="87"/>
      <c r="O1031" s="90" t="str">
        <f t="shared" si="664"/>
        <v/>
      </c>
      <c r="Q1031" s="91" t="str">
        <f t="shared" si="665"/>
        <v/>
      </c>
      <c r="R1031" s="91" t="str">
        <f t="shared" si="657"/>
        <v/>
      </c>
      <c r="S1031" s="92" t="str">
        <f t="shared" si="655"/>
        <v/>
      </c>
      <c r="T1031" s="93"/>
      <c r="U1031" s="94" t="str">
        <f t="shared" si="659"/>
        <v/>
      </c>
      <c r="X1031" s="96"/>
      <c r="Y1031" s="97" t="str">
        <f t="shared" si="661"/>
        <v/>
      </c>
      <c r="Z1031" s="98" t="str">
        <f>SUBSTITUTE('Digitas UK Task 26'!$O1031, "Complet", "Not Requir")</f>
        <v/>
      </c>
      <c r="AA1031" s="98" t="str">
        <f t="shared" si="660"/>
        <v/>
      </c>
      <c r="AB1031" s="99"/>
      <c r="AF1031" s="84" t="str">
        <f t="shared" si="656"/>
        <v/>
      </c>
      <c r="AH1031" s="84" t="str">
        <f t="shared" si="662"/>
        <v/>
      </c>
      <c r="AI1031" s="84" t="str">
        <f t="shared" si="663"/>
        <v/>
      </c>
    </row>
    <row r="1032" spans="1:35" ht="15.75" customHeight="1" x14ac:dyDescent="0.3">
      <c r="A1032" s="85" t="str">
        <f t="shared" si="658"/>
        <v/>
      </c>
      <c r="C1032" s="87"/>
      <c r="E1032" s="87"/>
      <c r="H1032" s="87"/>
      <c r="I1032" s="87"/>
      <c r="O1032" s="90" t="str">
        <f t="shared" si="664"/>
        <v/>
      </c>
      <c r="Q1032" s="91" t="str">
        <f t="shared" si="665"/>
        <v/>
      </c>
      <c r="R1032" s="91" t="str">
        <f t="shared" si="657"/>
        <v/>
      </c>
      <c r="S1032" s="92" t="str">
        <f t="shared" si="655"/>
        <v/>
      </c>
      <c r="T1032" s="93"/>
      <c r="U1032" s="94" t="str">
        <f t="shared" si="659"/>
        <v/>
      </c>
      <c r="X1032" s="96"/>
      <c r="Y1032" s="97" t="str">
        <f t="shared" si="661"/>
        <v/>
      </c>
      <c r="Z1032" s="98" t="str">
        <f>SUBSTITUTE('Digitas UK Task 26'!$O1032, "Complet", "Not Requir")</f>
        <v/>
      </c>
      <c r="AA1032" s="98" t="str">
        <f t="shared" si="660"/>
        <v/>
      </c>
      <c r="AB1032" s="99"/>
      <c r="AF1032" s="84" t="str">
        <f t="shared" si="656"/>
        <v/>
      </c>
      <c r="AH1032" s="84" t="str">
        <f t="shared" si="662"/>
        <v/>
      </c>
      <c r="AI1032" s="84" t="str">
        <f t="shared" si="663"/>
        <v/>
      </c>
    </row>
    <row r="1033" spans="1:35" ht="15.75" customHeight="1" x14ac:dyDescent="0.3">
      <c r="A1033" s="85" t="str">
        <f t="shared" si="658"/>
        <v/>
      </c>
      <c r="C1033" s="87"/>
      <c r="E1033" s="87"/>
      <c r="H1033" s="87"/>
      <c r="I1033" s="87"/>
      <c r="O1033" s="90" t="str">
        <f t="shared" si="664"/>
        <v/>
      </c>
      <c r="Q1033" s="91" t="str">
        <f t="shared" si="665"/>
        <v/>
      </c>
      <c r="R1033" s="91" t="str">
        <f t="shared" si="657"/>
        <v/>
      </c>
      <c r="S1033" s="92" t="str">
        <f t="shared" si="655"/>
        <v/>
      </c>
      <c r="T1033" s="93"/>
      <c r="U1033" s="94" t="str">
        <f t="shared" si="659"/>
        <v/>
      </c>
      <c r="X1033" s="96"/>
      <c r="Y1033" s="97" t="str">
        <f t="shared" si="661"/>
        <v/>
      </c>
      <c r="Z1033" s="98" t="str">
        <f>SUBSTITUTE('Digitas UK Task 26'!$O1033, "Complet", "Not Requir")</f>
        <v/>
      </c>
      <c r="AA1033" s="98" t="str">
        <f t="shared" si="660"/>
        <v/>
      </c>
      <c r="AB1033" s="99"/>
      <c r="AF1033" s="84" t="str">
        <f t="shared" si="656"/>
        <v/>
      </c>
      <c r="AH1033" s="84" t="str">
        <f t="shared" si="662"/>
        <v/>
      </c>
      <c r="AI1033" s="84" t="str">
        <f t="shared" si="663"/>
        <v/>
      </c>
    </row>
    <row r="1034" spans="1:35" ht="15.75" customHeight="1" x14ac:dyDescent="0.3">
      <c r="A1034" s="85" t="str">
        <f t="shared" si="658"/>
        <v/>
      </c>
      <c r="C1034" s="87"/>
      <c r="E1034" s="87"/>
      <c r="H1034" s="87"/>
      <c r="I1034" s="87"/>
      <c r="O1034" s="90" t="str">
        <f t="shared" si="664"/>
        <v/>
      </c>
      <c r="Q1034" s="91" t="str">
        <f t="shared" si="665"/>
        <v/>
      </c>
      <c r="R1034" s="91" t="str">
        <f t="shared" si="657"/>
        <v/>
      </c>
      <c r="S1034" s="92" t="str">
        <f t="shared" si="655"/>
        <v/>
      </c>
      <c r="T1034" s="93"/>
      <c r="U1034" s="94" t="str">
        <f t="shared" si="659"/>
        <v/>
      </c>
      <c r="X1034" s="96"/>
      <c r="Y1034" s="97" t="str">
        <f t="shared" si="661"/>
        <v/>
      </c>
      <c r="Z1034" s="98" t="str">
        <f>SUBSTITUTE('Digitas UK Task 26'!$O1034, "Complet", "Not Requir")</f>
        <v/>
      </c>
      <c r="AA1034" s="98" t="str">
        <f t="shared" si="660"/>
        <v/>
      </c>
      <c r="AB1034" s="99"/>
      <c r="AF1034" s="84" t="str">
        <f t="shared" si="656"/>
        <v/>
      </c>
    </row>
    <row r="1035" spans="1:35" ht="15.75" customHeight="1" x14ac:dyDescent="0.3">
      <c r="A1035" s="85" t="str">
        <f t="shared" si="658"/>
        <v/>
      </c>
      <c r="C1035" s="87"/>
      <c r="E1035" s="87"/>
      <c r="H1035" s="87"/>
      <c r="I1035" s="87"/>
      <c r="O1035" s="90" t="str">
        <f t="shared" si="664"/>
        <v/>
      </c>
      <c r="Q1035" s="91" t="str">
        <f t="shared" si="665"/>
        <v/>
      </c>
      <c r="R1035" s="91" t="str">
        <f t="shared" si="657"/>
        <v/>
      </c>
      <c r="S1035" s="92" t="str">
        <f t="shared" si="655"/>
        <v/>
      </c>
      <c r="T1035" s="93"/>
      <c r="U1035" s="94" t="str">
        <f t="shared" si="659"/>
        <v/>
      </c>
      <c r="X1035" s="96"/>
      <c r="Y1035" s="97" t="str">
        <f t="shared" si="661"/>
        <v/>
      </c>
      <c r="Z1035" s="98" t="str">
        <f>SUBSTITUTE('Digitas UK Task 26'!$O1035, "Complet", "Not Requir")</f>
        <v/>
      </c>
      <c r="AA1035" s="98" t="str">
        <f t="shared" si="660"/>
        <v/>
      </c>
      <c r="AB1035" s="99"/>
      <c r="AF1035" s="84" t="str">
        <f t="shared" si="656"/>
        <v/>
      </c>
    </row>
    <row r="1036" spans="1:35" ht="15.75" customHeight="1" x14ac:dyDescent="0.3">
      <c r="A1036" s="85" t="str">
        <f t="shared" si="658"/>
        <v/>
      </c>
      <c r="C1036" s="87"/>
      <c r="E1036" s="87"/>
      <c r="H1036" s="87"/>
      <c r="I1036" s="87"/>
      <c r="O1036" s="90" t="str">
        <f t="shared" si="664"/>
        <v/>
      </c>
      <c r="Q1036" s="91" t="str">
        <f t="shared" si="665"/>
        <v/>
      </c>
      <c r="R1036" s="91" t="str">
        <f t="shared" si="657"/>
        <v/>
      </c>
      <c r="S1036" s="92" t="str">
        <f t="shared" si="655"/>
        <v/>
      </c>
      <c r="T1036" s="93"/>
      <c r="U1036" s="94" t="str">
        <f t="shared" si="659"/>
        <v/>
      </c>
      <c r="X1036" s="96"/>
      <c r="Y1036" s="97" t="str">
        <f t="shared" si="661"/>
        <v/>
      </c>
      <c r="Z1036" s="98" t="str">
        <f>SUBSTITUTE('Digitas UK Task 26'!$O1036, "Complet", "Not Requir")</f>
        <v/>
      </c>
      <c r="AA1036" s="98" t="str">
        <f t="shared" si="660"/>
        <v/>
      </c>
      <c r="AB1036" s="99"/>
      <c r="AF1036" s="84" t="str">
        <f t="shared" si="656"/>
        <v/>
      </c>
    </row>
    <row r="1037" spans="1:35" ht="15.75" customHeight="1" x14ac:dyDescent="0.3">
      <c r="A1037" s="85" t="str">
        <f t="shared" si="658"/>
        <v/>
      </c>
      <c r="C1037" s="87"/>
      <c r="E1037" s="87"/>
      <c r="H1037" s="87"/>
      <c r="I1037" s="87"/>
      <c r="O1037" s="90" t="str">
        <f t="shared" si="664"/>
        <v/>
      </c>
      <c r="Q1037" s="91" t="str">
        <f t="shared" si="665"/>
        <v/>
      </c>
      <c r="R1037" s="91" t="str">
        <f t="shared" si="657"/>
        <v/>
      </c>
      <c r="S1037" s="92" t="str">
        <f t="shared" si="655"/>
        <v/>
      </c>
      <c r="T1037" s="93"/>
      <c r="U1037" s="94" t="str">
        <f t="shared" si="659"/>
        <v/>
      </c>
      <c r="X1037" s="96"/>
      <c r="Y1037" s="97" t="str">
        <f t="shared" si="661"/>
        <v/>
      </c>
      <c r="Z1037" s="98" t="str">
        <f>SUBSTITUTE('Digitas UK Task 26'!$O1037, "Complet", "Not Requir")</f>
        <v/>
      </c>
      <c r="AA1037" s="98" t="str">
        <f t="shared" si="660"/>
        <v/>
      </c>
      <c r="AB1037" s="99"/>
      <c r="AF1037" s="84" t="str">
        <f t="shared" si="656"/>
        <v/>
      </c>
    </row>
    <row r="1038" spans="1:35" ht="15.75" customHeight="1" x14ac:dyDescent="0.3">
      <c r="A1038" s="85" t="str">
        <f t="shared" si="658"/>
        <v/>
      </c>
      <c r="C1038" s="87"/>
      <c r="E1038" s="87"/>
      <c r="H1038" s="87"/>
      <c r="I1038" s="87"/>
      <c r="O1038" s="90" t="str">
        <f t="shared" si="664"/>
        <v/>
      </c>
      <c r="Q1038" s="91" t="str">
        <f t="shared" si="665"/>
        <v/>
      </c>
      <c r="R1038" s="91" t="str">
        <f t="shared" si="657"/>
        <v/>
      </c>
      <c r="S1038" s="92" t="str">
        <f t="shared" si="655"/>
        <v/>
      </c>
      <c r="T1038" s="93"/>
      <c r="U1038" s="94" t="str">
        <f t="shared" si="659"/>
        <v/>
      </c>
      <c r="X1038" s="96"/>
      <c r="Y1038" s="97" t="str">
        <f t="shared" si="661"/>
        <v/>
      </c>
      <c r="Z1038" s="98" t="str">
        <f>SUBSTITUTE('Digitas UK Task 26'!$O1038, "Complet", "Not Requir")</f>
        <v/>
      </c>
      <c r="AA1038" s="98" t="str">
        <f t="shared" si="660"/>
        <v/>
      </c>
      <c r="AB1038" s="99"/>
      <c r="AF1038" s="84" t="str">
        <f t="shared" si="656"/>
        <v/>
      </c>
    </row>
    <row r="1039" spans="1:35" ht="15.75" customHeight="1" x14ac:dyDescent="0.3">
      <c r="A1039" s="85" t="str">
        <f t="shared" si="658"/>
        <v/>
      </c>
      <c r="C1039" s="87"/>
      <c r="E1039" s="87"/>
      <c r="H1039" s="87"/>
      <c r="I1039" s="87"/>
      <c r="O1039" s="90" t="str">
        <f t="shared" si="664"/>
        <v/>
      </c>
      <c r="Q1039" s="91" t="str">
        <f t="shared" ref="Q1039:Q1102" si="666">IF(B1039="","",WEEKNUM(B1039))</f>
        <v/>
      </c>
      <c r="R1039" s="91" t="str">
        <f t="shared" si="657"/>
        <v/>
      </c>
      <c r="S1039" s="92" t="str">
        <f t="shared" ref="S1039:S1102" si="667">IF(B1039="","",TEXT(B1039,"DDDD"))</f>
        <v/>
      </c>
      <c r="T1039" s="93"/>
      <c r="U1039" s="94" t="str">
        <f t="shared" si="659"/>
        <v/>
      </c>
      <c r="X1039" s="96"/>
      <c r="Y1039" s="97" t="str">
        <f t="shared" si="661"/>
        <v/>
      </c>
      <c r="Z1039" s="98" t="str">
        <f>SUBSTITUTE('Digitas UK Task 26'!$O1039, "Complet", "Not Requir")</f>
        <v/>
      </c>
      <c r="AA1039" s="98" t="str">
        <f t="shared" si="660"/>
        <v/>
      </c>
      <c r="AB1039" s="99"/>
      <c r="AF1039" s="84" t="str">
        <f t="shared" si="656"/>
        <v/>
      </c>
    </row>
    <row r="1040" spans="1:35" ht="15.75" customHeight="1" x14ac:dyDescent="0.3">
      <c r="A1040" s="85" t="str">
        <f t="shared" si="658"/>
        <v/>
      </c>
      <c r="C1040" s="87"/>
      <c r="E1040" s="87"/>
      <c r="H1040" s="87"/>
      <c r="I1040" s="87"/>
      <c r="O1040" s="90" t="str">
        <f t="shared" si="664"/>
        <v/>
      </c>
      <c r="Q1040" s="91" t="str">
        <f t="shared" si="666"/>
        <v/>
      </c>
      <c r="R1040" s="91" t="str">
        <f t="shared" si="657"/>
        <v/>
      </c>
      <c r="S1040" s="92" t="str">
        <f t="shared" si="667"/>
        <v/>
      </c>
      <c r="T1040" s="93"/>
      <c r="U1040" s="94" t="str">
        <f t="shared" si="659"/>
        <v/>
      </c>
      <c r="X1040" s="96"/>
      <c r="Y1040" s="97" t="str">
        <f t="shared" si="661"/>
        <v/>
      </c>
      <c r="Z1040" s="98" t="str">
        <f>SUBSTITUTE('Digitas UK Task 26'!$O1040, "Complet", "Not Requir")</f>
        <v/>
      </c>
      <c r="AA1040" s="98" t="str">
        <f t="shared" si="660"/>
        <v/>
      </c>
      <c r="AB1040" s="99"/>
      <c r="AF1040" s="84" t="str">
        <f t="shared" si="656"/>
        <v/>
      </c>
    </row>
    <row r="1041" spans="1:32" ht="15.75" customHeight="1" x14ac:dyDescent="0.3">
      <c r="A1041" s="85" t="str">
        <f t="shared" si="658"/>
        <v/>
      </c>
      <c r="C1041" s="87"/>
      <c r="E1041" s="87"/>
      <c r="H1041" s="87"/>
      <c r="I1041" s="87"/>
      <c r="O1041" s="90" t="str">
        <f t="shared" si="664"/>
        <v/>
      </c>
      <c r="Q1041" s="91" t="str">
        <f t="shared" si="666"/>
        <v/>
      </c>
      <c r="R1041" s="91" t="str">
        <f t="shared" si="657"/>
        <v/>
      </c>
      <c r="S1041" s="92" t="str">
        <f t="shared" si="667"/>
        <v/>
      </c>
      <c r="T1041" s="93"/>
      <c r="U1041" s="94" t="str">
        <f t="shared" si="659"/>
        <v/>
      </c>
      <c r="X1041" s="96"/>
      <c r="Y1041" s="97" t="str">
        <f t="shared" si="661"/>
        <v/>
      </c>
      <c r="Z1041" s="98" t="str">
        <f>SUBSTITUTE('Digitas UK Task 26'!$O1041, "Complet", "Not Requir")</f>
        <v/>
      </c>
      <c r="AA1041" s="98" t="str">
        <f t="shared" si="660"/>
        <v/>
      </c>
      <c r="AB1041" s="99"/>
      <c r="AF1041" s="84" t="str">
        <f t="shared" si="656"/>
        <v/>
      </c>
    </row>
    <row r="1042" spans="1:32" ht="15.75" customHeight="1" x14ac:dyDescent="0.3">
      <c r="A1042" s="85" t="str">
        <f t="shared" si="658"/>
        <v/>
      </c>
      <c r="C1042" s="87"/>
      <c r="E1042" s="87"/>
      <c r="H1042" s="87"/>
      <c r="I1042" s="87"/>
      <c r="O1042" s="90" t="str">
        <f t="shared" si="664"/>
        <v/>
      </c>
      <c r="Q1042" s="91" t="str">
        <f t="shared" si="666"/>
        <v/>
      </c>
      <c r="R1042" s="91" t="str">
        <f t="shared" si="657"/>
        <v/>
      </c>
      <c r="S1042" s="92" t="str">
        <f t="shared" si="667"/>
        <v/>
      </c>
      <c r="T1042" s="93"/>
      <c r="U1042" s="94" t="str">
        <f t="shared" si="659"/>
        <v/>
      </c>
      <c r="X1042" s="96"/>
      <c r="Y1042" s="97" t="str">
        <f t="shared" si="661"/>
        <v/>
      </c>
      <c r="Z1042" s="98" t="str">
        <f>SUBSTITUTE('Digitas UK Task 26'!$O1042, "Complet", "Not Requir")</f>
        <v/>
      </c>
      <c r="AA1042" s="98" t="str">
        <f t="shared" si="660"/>
        <v/>
      </c>
      <c r="AB1042" s="99"/>
      <c r="AF1042" s="84" t="str">
        <f t="shared" si="656"/>
        <v/>
      </c>
    </row>
    <row r="1043" spans="1:32" ht="15.75" customHeight="1" x14ac:dyDescent="0.3">
      <c r="A1043" s="85" t="str">
        <f t="shared" si="658"/>
        <v/>
      </c>
      <c r="C1043" s="87"/>
      <c r="E1043" s="87"/>
      <c r="H1043" s="87"/>
      <c r="I1043" s="87"/>
      <c r="O1043" s="90" t="str">
        <f t="shared" si="664"/>
        <v/>
      </c>
      <c r="Q1043" s="91" t="str">
        <f t="shared" si="666"/>
        <v/>
      </c>
      <c r="R1043" s="91" t="str">
        <f t="shared" si="657"/>
        <v/>
      </c>
      <c r="S1043" s="92" t="str">
        <f t="shared" si="667"/>
        <v/>
      </c>
      <c r="T1043" s="93"/>
      <c r="U1043" s="94" t="str">
        <f t="shared" si="659"/>
        <v/>
      </c>
      <c r="X1043" s="96"/>
      <c r="Y1043" s="97" t="str">
        <f t="shared" si="661"/>
        <v/>
      </c>
      <c r="Z1043" s="98" t="str">
        <f>SUBSTITUTE('Digitas UK Task 26'!$O1043, "Complet", "Not Requir")</f>
        <v/>
      </c>
      <c r="AA1043" s="98" t="str">
        <f t="shared" si="660"/>
        <v/>
      </c>
      <c r="AB1043" s="99"/>
      <c r="AF1043" s="84" t="str">
        <f t="shared" si="656"/>
        <v/>
      </c>
    </row>
    <row r="1044" spans="1:32" ht="15.75" customHeight="1" x14ac:dyDescent="0.3">
      <c r="A1044" s="85" t="str">
        <f t="shared" si="658"/>
        <v/>
      </c>
      <c r="C1044" s="87"/>
      <c r="E1044" s="87"/>
      <c r="H1044" s="87"/>
      <c r="I1044" s="87"/>
      <c r="O1044" s="90" t="str">
        <f t="shared" si="664"/>
        <v/>
      </c>
      <c r="Q1044" s="91" t="str">
        <f t="shared" si="666"/>
        <v/>
      </c>
      <c r="R1044" s="91" t="str">
        <f t="shared" si="657"/>
        <v/>
      </c>
      <c r="S1044" s="92" t="str">
        <f t="shared" si="667"/>
        <v/>
      </c>
      <c r="T1044" s="93"/>
      <c r="U1044" s="94" t="str">
        <f t="shared" si="659"/>
        <v/>
      </c>
      <c r="X1044" s="96"/>
      <c r="Y1044" s="97" t="str">
        <f t="shared" si="661"/>
        <v/>
      </c>
      <c r="Z1044" s="98" t="str">
        <f>SUBSTITUTE('Digitas UK Task 26'!$O1044, "Complet", "Not Requir")</f>
        <v/>
      </c>
      <c r="AA1044" s="98" t="str">
        <f t="shared" si="660"/>
        <v/>
      </c>
      <c r="AB1044" s="99"/>
      <c r="AF1044" s="84" t="str">
        <f t="shared" si="656"/>
        <v/>
      </c>
    </row>
    <row r="1045" spans="1:32" ht="15.75" customHeight="1" x14ac:dyDescent="0.3">
      <c r="A1045" s="85" t="str">
        <f t="shared" si="658"/>
        <v/>
      </c>
      <c r="C1045" s="87"/>
      <c r="E1045" s="87"/>
      <c r="H1045" s="87"/>
      <c r="I1045" s="87"/>
      <c r="O1045" s="90" t="str">
        <f t="shared" si="664"/>
        <v/>
      </c>
      <c r="Q1045" s="91" t="str">
        <f t="shared" si="666"/>
        <v/>
      </c>
      <c r="R1045" s="91" t="str">
        <f t="shared" si="657"/>
        <v/>
      </c>
      <c r="S1045" s="92" t="str">
        <f t="shared" si="667"/>
        <v/>
      </c>
      <c r="T1045" s="93"/>
      <c r="U1045" s="94" t="str">
        <f t="shared" si="659"/>
        <v/>
      </c>
      <c r="X1045" s="96"/>
      <c r="Y1045" s="97" t="str">
        <f t="shared" si="661"/>
        <v/>
      </c>
      <c r="Z1045" s="98" t="str">
        <f>SUBSTITUTE('Digitas UK Task 26'!$O1045, "Complet", "Not Requir")</f>
        <v/>
      </c>
      <c r="AA1045" s="98" t="str">
        <f t="shared" si="660"/>
        <v/>
      </c>
      <c r="AB1045" s="99"/>
      <c r="AF1045" s="84" t="str">
        <f t="shared" ref="AF1045:AF1108" si="668">IF(AD1045="","",WEEKNUM(AD1045))</f>
        <v/>
      </c>
    </row>
    <row r="1046" spans="1:32" ht="15.75" customHeight="1" x14ac:dyDescent="0.3">
      <c r="A1046" s="85" t="str">
        <f t="shared" si="658"/>
        <v/>
      </c>
      <c r="C1046" s="87"/>
      <c r="E1046" s="87"/>
      <c r="H1046" s="87"/>
      <c r="I1046" s="87"/>
      <c r="O1046" s="90" t="str">
        <f t="shared" si="664"/>
        <v/>
      </c>
      <c r="Q1046" s="91" t="str">
        <f t="shared" si="666"/>
        <v/>
      </c>
      <c r="R1046" s="91" t="str">
        <f t="shared" ref="R1046:R1109" si="669">IF(B1046="","",TEXT(B1046,"MMM"))</f>
        <v/>
      </c>
      <c r="S1046" s="92" t="str">
        <f t="shared" si="667"/>
        <v/>
      </c>
      <c r="T1046" s="93"/>
      <c r="U1046" s="94" t="str">
        <f t="shared" si="659"/>
        <v/>
      </c>
      <c r="X1046" s="96"/>
      <c r="Y1046" s="97" t="str">
        <f t="shared" si="661"/>
        <v/>
      </c>
      <c r="Z1046" s="98" t="str">
        <f>SUBSTITUTE('Digitas UK Task 26'!$O1046, "Complet", "Not Requir")</f>
        <v/>
      </c>
      <c r="AA1046" s="98" t="str">
        <f t="shared" si="660"/>
        <v/>
      </c>
      <c r="AB1046" s="99"/>
      <c r="AF1046" s="84" t="str">
        <f t="shared" si="668"/>
        <v/>
      </c>
    </row>
    <row r="1047" spans="1:32" ht="15.75" customHeight="1" x14ac:dyDescent="0.3">
      <c r="A1047" s="85" t="str">
        <f t="shared" si="658"/>
        <v/>
      </c>
      <c r="C1047" s="87"/>
      <c r="E1047" s="87"/>
      <c r="H1047" s="87"/>
      <c r="I1047" s="87"/>
      <c r="O1047" s="90" t="str">
        <f t="shared" si="664"/>
        <v/>
      </c>
      <c r="Q1047" s="91" t="str">
        <f t="shared" si="666"/>
        <v/>
      </c>
      <c r="R1047" s="91" t="str">
        <f t="shared" si="669"/>
        <v/>
      </c>
      <c r="S1047" s="92" t="str">
        <f t="shared" si="667"/>
        <v/>
      </c>
      <c r="T1047" s="93"/>
      <c r="U1047" s="94" t="str">
        <f t="shared" si="659"/>
        <v/>
      </c>
      <c r="X1047" s="96"/>
      <c r="Y1047" s="97" t="str">
        <f t="shared" si="661"/>
        <v/>
      </c>
      <c r="Z1047" s="98" t="str">
        <f>SUBSTITUTE('Digitas UK Task 26'!$O1047, "Complet", "Not Requir")</f>
        <v/>
      </c>
      <c r="AA1047" s="98" t="str">
        <f t="shared" si="660"/>
        <v/>
      </c>
      <c r="AB1047" s="99"/>
      <c r="AF1047" s="84" t="str">
        <f t="shared" si="668"/>
        <v/>
      </c>
    </row>
    <row r="1048" spans="1:32" ht="15.75" customHeight="1" x14ac:dyDescent="0.3">
      <c r="A1048" s="85" t="str">
        <f t="shared" si="658"/>
        <v/>
      </c>
      <c r="C1048" s="87"/>
      <c r="E1048" s="87"/>
      <c r="H1048" s="87"/>
      <c r="I1048" s="87"/>
      <c r="O1048" s="90" t="str">
        <f t="shared" si="664"/>
        <v/>
      </c>
      <c r="Q1048" s="91" t="str">
        <f t="shared" si="666"/>
        <v/>
      </c>
      <c r="R1048" s="91" t="str">
        <f t="shared" si="669"/>
        <v/>
      </c>
      <c r="S1048" s="92" t="str">
        <f t="shared" si="667"/>
        <v/>
      </c>
      <c r="T1048" s="93"/>
      <c r="U1048" s="94" t="str">
        <f t="shared" si="659"/>
        <v/>
      </c>
      <c r="X1048" s="96"/>
      <c r="Y1048" s="97" t="str">
        <f t="shared" si="661"/>
        <v/>
      </c>
      <c r="Z1048" s="98" t="str">
        <f>SUBSTITUTE('Digitas UK Task 26'!$O1048, "Complet", "Not Requir")</f>
        <v/>
      </c>
      <c r="AA1048" s="98" t="str">
        <f t="shared" si="660"/>
        <v/>
      </c>
      <c r="AB1048" s="99"/>
      <c r="AF1048" s="84" t="str">
        <f t="shared" si="668"/>
        <v/>
      </c>
    </row>
    <row r="1049" spans="1:32" ht="15.75" customHeight="1" x14ac:dyDescent="0.3">
      <c r="A1049" s="85" t="str">
        <f t="shared" si="658"/>
        <v/>
      </c>
      <c r="C1049" s="87"/>
      <c r="E1049" s="87"/>
      <c r="H1049" s="87"/>
      <c r="I1049" s="87"/>
      <c r="O1049" s="90" t="str">
        <f t="shared" si="664"/>
        <v/>
      </c>
      <c r="Q1049" s="91" t="str">
        <f t="shared" si="666"/>
        <v/>
      </c>
      <c r="R1049" s="91" t="str">
        <f t="shared" si="669"/>
        <v/>
      </c>
      <c r="S1049" s="92" t="str">
        <f t="shared" si="667"/>
        <v/>
      </c>
      <c r="T1049" s="93"/>
      <c r="U1049" s="94" t="str">
        <f t="shared" si="659"/>
        <v/>
      </c>
      <c r="X1049" s="96"/>
      <c r="Y1049" s="97" t="str">
        <f t="shared" si="661"/>
        <v/>
      </c>
      <c r="Z1049" s="98" t="str">
        <f>SUBSTITUTE('Digitas UK Task 26'!$O1049, "Complet", "Not Requir")</f>
        <v/>
      </c>
      <c r="AA1049" s="98" t="str">
        <f t="shared" si="660"/>
        <v/>
      </c>
      <c r="AB1049" s="99"/>
      <c r="AF1049" s="84" t="str">
        <f t="shared" si="668"/>
        <v/>
      </c>
    </row>
    <row r="1050" spans="1:32" ht="15.75" customHeight="1" x14ac:dyDescent="0.3">
      <c r="A1050" s="85" t="str">
        <f t="shared" si="658"/>
        <v/>
      </c>
      <c r="C1050" s="87"/>
      <c r="E1050" s="87"/>
      <c r="H1050" s="87"/>
      <c r="I1050" s="87"/>
      <c r="O1050" s="90" t="str">
        <f t="shared" si="664"/>
        <v/>
      </c>
      <c r="Q1050" s="91" t="str">
        <f t="shared" si="666"/>
        <v/>
      </c>
      <c r="R1050" s="91" t="str">
        <f t="shared" si="669"/>
        <v/>
      </c>
      <c r="S1050" s="92" t="str">
        <f t="shared" si="667"/>
        <v/>
      </c>
      <c r="T1050" s="93"/>
      <c r="U1050" s="94" t="str">
        <f t="shared" si="659"/>
        <v/>
      </c>
      <c r="X1050" s="96"/>
      <c r="Y1050" s="97" t="str">
        <f t="shared" si="661"/>
        <v/>
      </c>
      <c r="Z1050" s="98" t="str">
        <f>SUBSTITUTE('Digitas UK Task 26'!$O1050, "Complet", "Not Requir")</f>
        <v/>
      </c>
      <c r="AA1050" s="98" t="str">
        <f t="shared" si="660"/>
        <v/>
      </c>
      <c r="AB1050" s="99"/>
      <c r="AF1050" s="84" t="str">
        <f t="shared" si="668"/>
        <v/>
      </c>
    </row>
    <row r="1051" spans="1:32" ht="15.75" customHeight="1" x14ac:dyDescent="0.3">
      <c r="A1051" s="85" t="str">
        <f t="shared" si="658"/>
        <v/>
      </c>
      <c r="C1051" s="87"/>
      <c r="E1051" s="87"/>
      <c r="H1051" s="87"/>
      <c r="I1051" s="87"/>
      <c r="O1051" s="90" t="str">
        <f t="shared" si="664"/>
        <v/>
      </c>
      <c r="Q1051" s="91" t="str">
        <f t="shared" si="666"/>
        <v/>
      </c>
      <c r="R1051" s="91" t="str">
        <f t="shared" si="669"/>
        <v/>
      </c>
      <c r="S1051" s="92" t="str">
        <f t="shared" si="667"/>
        <v/>
      </c>
      <c r="T1051" s="93"/>
      <c r="U1051" s="94" t="str">
        <f t="shared" si="659"/>
        <v/>
      </c>
      <c r="X1051" s="96"/>
      <c r="Y1051" s="97" t="str">
        <f t="shared" si="661"/>
        <v/>
      </c>
      <c r="Z1051" s="98" t="str">
        <f>SUBSTITUTE('Digitas UK Task 26'!$O1051, "Complet", "Not Requir")</f>
        <v/>
      </c>
      <c r="AA1051" s="98" t="str">
        <f t="shared" si="660"/>
        <v/>
      </c>
      <c r="AB1051" s="99"/>
      <c r="AF1051" s="84" t="str">
        <f t="shared" si="668"/>
        <v/>
      </c>
    </row>
    <row r="1052" spans="1:32" ht="15.75" customHeight="1" x14ac:dyDescent="0.3">
      <c r="A1052" s="85" t="str">
        <f t="shared" si="658"/>
        <v/>
      </c>
      <c r="C1052" s="87"/>
      <c r="E1052" s="87"/>
      <c r="H1052" s="87"/>
      <c r="I1052" s="87"/>
      <c r="O1052" s="90" t="str">
        <f t="shared" si="664"/>
        <v/>
      </c>
      <c r="Q1052" s="91" t="str">
        <f t="shared" si="666"/>
        <v/>
      </c>
      <c r="R1052" s="91" t="str">
        <f t="shared" si="669"/>
        <v/>
      </c>
      <c r="S1052" s="92" t="str">
        <f t="shared" si="667"/>
        <v/>
      </c>
      <c r="T1052" s="93"/>
      <c r="U1052" s="94" t="str">
        <f t="shared" si="659"/>
        <v/>
      </c>
      <c r="X1052" s="96"/>
      <c r="Y1052" s="97" t="str">
        <f t="shared" si="661"/>
        <v/>
      </c>
      <c r="Z1052" s="98" t="str">
        <f>SUBSTITUTE('Digitas UK Task 26'!$O1052, "Complet", "Not Requir")</f>
        <v/>
      </c>
      <c r="AA1052" s="98" t="str">
        <f t="shared" si="660"/>
        <v/>
      </c>
      <c r="AB1052" s="99"/>
      <c r="AF1052" s="84" t="str">
        <f t="shared" si="668"/>
        <v/>
      </c>
    </row>
    <row r="1053" spans="1:32" ht="15.75" customHeight="1" x14ac:dyDescent="0.3">
      <c r="A1053" s="85" t="str">
        <f t="shared" si="658"/>
        <v/>
      </c>
      <c r="C1053" s="87"/>
      <c r="E1053" s="87"/>
      <c r="H1053" s="87"/>
      <c r="I1053" s="87"/>
      <c r="O1053" s="90" t="str">
        <f t="shared" si="664"/>
        <v/>
      </c>
      <c r="Q1053" s="91" t="str">
        <f t="shared" si="666"/>
        <v/>
      </c>
      <c r="R1053" s="91" t="str">
        <f t="shared" si="669"/>
        <v/>
      </c>
      <c r="S1053" s="92" t="str">
        <f t="shared" si="667"/>
        <v/>
      </c>
      <c r="T1053" s="93"/>
      <c r="U1053" s="94" t="str">
        <f t="shared" si="659"/>
        <v/>
      </c>
      <c r="X1053" s="96"/>
      <c r="Y1053" s="97" t="str">
        <f t="shared" si="661"/>
        <v/>
      </c>
      <c r="Z1053" s="98" t="str">
        <f>SUBSTITUTE('Digitas UK Task 26'!$O1053, "Complet", "Not Requir")</f>
        <v/>
      </c>
      <c r="AA1053" s="98" t="str">
        <f t="shared" si="660"/>
        <v/>
      </c>
      <c r="AB1053" s="99"/>
      <c r="AF1053" s="84" t="str">
        <f t="shared" si="668"/>
        <v/>
      </c>
    </row>
    <row r="1054" spans="1:32" ht="15.75" customHeight="1" x14ac:dyDescent="0.3">
      <c r="A1054" s="85" t="str">
        <f t="shared" si="658"/>
        <v/>
      </c>
      <c r="C1054" s="87"/>
      <c r="E1054" s="87"/>
      <c r="H1054" s="87"/>
      <c r="I1054" s="87"/>
      <c r="O1054" s="90" t="str">
        <f t="shared" si="664"/>
        <v/>
      </c>
      <c r="Q1054" s="91" t="str">
        <f t="shared" si="666"/>
        <v/>
      </c>
      <c r="R1054" s="91" t="str">
        <f t="shared" si="669"/>
        <v/>
      </c>
      <c r="S1054" s="92" t="str">
        <f t="shared" si="667"/>
        <v/>
      </c>
      <c r="T1054" s="93"/>
      <c r="U1054" s="94" t="str">
        <f t="shared" si="659"/>
        <v/>
      </c>
      <c r="X1054" s="96"/>
      <c r="Y1054" s="97" t="str">
        <f t="shared" si="661"/>
        <v/>
      </c>
      <c r="Z1054" s="98" t="str">
        <f>SUBSTITUTE('Digitas UK Task 26'!$O1054, "Complet", "Not Requir")</f>
        <v/>
      </c>
      <c r="AA1054" s="98" t="str">
        <f t="shared" si="660"/>
        <v/>
      </c>
      <c r="AB1054" s="99"/>
      <c r="AF1054" s="84" t="str">
        <f t="shared" si="668"/>
        <v/>
      </c>
    </row>
    <row r="1055" spans="1:32" ht="15.75" customHeight="1" x14ac:dyDescent="0.3">
      <c r="A1055" s="85" t="str">
        <f t="shared" si="658"/>
        <v/>
      </c>
      <c r="C1055" s="87"/>
      <c r="E1055" s="87"/>
      <c r="H1055" s="87"/>
      <c r="I1055" s="87"/>
      <c r="O1055" s="90" t="str">
        <f t="shared" si="664"/>
        <v/>
      </c>
      <c r="Q1055" s="91" t="str">
        <f t="shared" si="666"/>
        <v/>
      </c>
      <c r="R1055" s="91" t="str">
        <f t="shared" si="669"/>
        <v/>
      </c>
      <c r="S1055" s="92" t="str">
        <f t="shared" si="667"/>
        <v/>
      </c>
      <c r="T1055" s="93"/>
      <c r="U1055" s="94" t="str">
        <f t="shared" si="659"/>
        <v/>
      </c>
      <c r="X1055" s="96"/>
      <c r="Y1055" s="97" t="str">
        <f t="shared" si="661"/>
        <v/>
      </c>
      <c r="Z1055" s="98" t="str">
        <f>SUBSTITUTE('Digitas UK Task 26'!$O1055, "Complet", "Not Requir")</f>
        <v/>
      </c>
      <c r="AA1055" s="98" t="str">
        <f t="shared" si="660"/>
        <v/>
      </c>
      <c r="AB1055" s="99"/>
      <c r="AF1055" s="84" t="str">
        <f t="shared" si="668"/>
        <v/>
      </c>
    </row>
    <row r="1056" spans="1:32" ht="15.75" customHeight="1" x14ac:dyDescent="0.3">
      <c r="A1056" s="85" t="str">
        <f t="shared" si="658"/>
        <v/>
      </c>
      <c r="C1056" s="87"/>
      <c r="E1056" s="87"/>
      <c r="H1056" s="87"/>
      <c r="I1056" s="87"/>
      <c r="O1056" s="90" t="str">
        <f t="shared" si="664"/>
        <v/>
      </c>
      <c r="Q1056" s="91" t="str">
        <f t="shared" si="666"/>
        <v/>
      </c>
      <c r="R1056" s="91" t="str">
        <f t="shared" si="669"/>
        <v/>
      </c>
      <c r="S1056" s="92" t="str">
        <f t="shared" si="667"/>
        <v/>
      </c>
      <c r="T1056" s="93"/>
      <c r="U1056" s="94" t="str">
        <f t="shared" si="659"/>
        <v/>
      </c>
      <c r="X1056" s="96"/>
      <c r="Y1056" s="97" t="str">
        <f t="shared" si="661"/>
        <v/>
      </c>
      <c r="Z1056" s="98" t="str">
        <f>SUBSTITUTE('Digitas UK Task 26'!$O1056, "Complet", "Not Requir")</f>
        <v/>
      </c>
      <c r="AA1056" s="98" t="str">
        <f t="shared" si="660"/>
        <v/>
      </c>
      <c r="AB1056" s="99"/>
      <c r="AF1056" s="84" t="str">
        <f t="shared" si="668"/>
        <v/>
      </c>
    </row>
    <row r="1057" spans="1:32" ht="15.75" customHeight="1" x14ac:dyDescent="0.3">
      <c r="A1057" s="85" t="str">
        <f t="shared" ref="A1057:A1120" si="670">IF(B1057="","",TEXT(B1057,"MMM : DDDD"))</f>
        <v/>
      </c>
      <c r="C1057" s="87"/>
      <c r="E1057" s="87"/>
      <c r="H1057" s="87"/>
      <c r="I1057" s="87"/>
      <c r="O1057" s="90" t="str">
        <f t="shared" si="664"/>
        <v/>
      </c>
      <c r="Q1057" s="91" t="str">
        <f t="shared" si="666"/>
        <v/>
      </c>
      <c r="R1057" s="91" t="str">
        <f t="shared" si="669"/>
        <v/>
      </c>
      <c r="S1057" s="92" t="str">
        <f t="shared" si="667"/>
        <v/>
      </c>
      <c r="T1057" s="93"/>
      <c r="U1057" s="94" t="str">
        <f t="shared" ref="U1057:U1120" si="671">IF(O1057="Completed","Pending","")</f>
        <v/>
      </c>
      <c r="X1057" s="96"/>
      <c r="Y1057" s="97" t="str">
        <f t="shared" si="661"/>
        <v/>
      </c>
      <c r="Z1057" s="98" t="str">
        <f>SUBSTITUTE('Digitas UK Task 26'!$O1057, "Complet", "Not Requir")</f>
        <v/>
      </c>
      <c r="AA1057" s="98" t="str">
        <f t="shared" ref="AA1057:AA1120" si="672">IF(G1057="","",G1057)</f>
        <v/>
      </c>
      <c r="AB1057" s="99"/>
      <c r="AF1057" s="84" t="str">
        <f t="shared" si="668"/>
        <v/>
      </c>
    </row>
    <row r="1058" spans="1:32" ht="15.75" customHeight="1" x14ac:dyDescent="0.3">
      <c r="A1058" s="85" t="str">
        <f t="shared" si="670"/>
        <v/>
      </c>
      <c r="C1058" s="87"/>
      <c r="E1058" s="87"/>
      <c r="H1058" s="87"/>
      <c r="I1058" s="87"/>
      <c r="O1058" s="90" t="str">
        <f t="shared" si="664"/>
        <v/>
      </c>
      <c r="Q1058" s="91" t="str">
        <f t="shared" si="666"/>
        <v/>
      </c>
      <c r="R1058" s="91" t="str">
        <f t="shared" si="669"/>
        <v/>
      </c>
      <c r="S1058" s="92" t="str">
        <f t="shared" si="667"/>
        <v/>
      </c>
      <c r="T1058" s="93"/>
      <c r="U1058" s="94" t="str">
        <f t="shared" si="671"/>
        <v/>
      </c>
      <c r="X1058" s="96"/>
      <c r="Y1058" s="97" t="str">
        <f t="shared" si="661"/>
        <v/>
      </c>
      <c r="Z1058" s="98" t="str">
        <f>SUBSTITUTE('Digitas UK Task 26'!$O1058, "Complet", "Not Requir")</f>
        <v/>
      </c>
      <c r="AA1058" s="98" t="str">
        <f t="shared" si="672"/>
        <v/>
      </c>
      <c r="AB1058" s="99"/>
      <c r="AF1058" s="84" t="str">
        <f t="shared" si="668"/>
        <v/>
      </c>
    </row>
    <row r="1059" spans="1:32" ht="15.75" customHeight="1" x14ac:dyDescent="0.3">
      <c r="A1059" s="85" t="str">
        <f t="shared" si="670"/>
        <v/>
      </c>
      <c r="C1059" s="87"/>
      <c r="E1059" s="87"/>
      <c r="H1059" s="87"/>
      <c r="I1059" s="87"/>
      <c r="O1059" s="90" t="str">
        <f t="shared" si="664"/>
        <v/>
      </c>
      <c r="Q1059" s="91" t="str">
        <f t="shared" si="666"/>
        <v/>
      </c>
      <c r="R1059" s="91" t="str">
        <f t="shared" si="669"/>
        <v/>
      </c>
      <c r="S1059" s="92" t="str">
        <f t="shared" si="667"/>
        <v/>
      </c>
      <c r="T1059" s="93"/>
      <c r="U1059" s="94" t="str">
        <f t="shared" si="671"/>
        <v/>
      </c>
      <c r="X1059" s="96"/>
      <c r="Y1059" s="97" t="str">
        <f t="shared" si="661"/>
        <v/>
      </c>
      <c r="Z1059" s="98" t="str">
        <f>SUBSTITUTE('Digitas UK Task 26'!$O1059, "Complet", "Not Requir")</f>
        <v/>
      </c>
      <c r="AA1059" s="98" t="str">
        <f t="shared" si="672"/>
        <v/>
      </c>
      <c r="AB1059" s="99"/>
      <c r="AF1059" s="84" t="str">
        <f t="shared" si="668"/>
        <v/>
      </c>
    </row>
    <row r="1060" spans="1:32" ht="15.75" customHeight="1" x14ac:dyDescent="0.3">
      <c r="A1060" s="85" t="str">
        <f t="shared" si="670"/>
        <v/>
      </c>
      <c r="C1060" s="87"/>
      <c r="E1060" s="87"/>
      <c r="H1060" s="87"/>
      <c r="I1060" s="87"/>
      <c r="O1060" s="90" t="str">
        <f t="shared" si="664"/>
        <v/>
      </c>
      <c r="Q1060" s="91" t="str">
        <f t="shared" si="666"/>
        <v/>
      </c>
      <c r="R1060" s="91" t="str">
        <f t="shared" si="669"/>
        <v/>
      </c>
      <c r="S1060" s="92" t="str">
        <f t="shared" si="667"/>
        <v/>
      </c>
      <c r="T1060" s="93"/>
      <c r="U1060" s="94" t="str">
        <f t="shared" si="671"/>
        <v/>
      </c>
      <c r="X1060" s="96"/>
      <c r="Y1060" s="97" t="str">
        <f t="shared" si="661"/>
        <v/>
      </c>
      <c r="Z1060" s="98" t="str">
        <f>SUBSTITUTE('Digitas UK Task 26'!$O1060, "Complet", "Not Requir")</f>
        <v/>
      </c>
      <c r="AA1060" s="98" t="str">
        <f t="shared" si="672"/>
        <v/>
      </c>
      <c r="AB1060" s="99"/>
      <c r="AF1060" s="84" t="str">
        <f t="shared" si="668"/>
        <v/>
      </c>
    </row>
    <row r="1061" spans="1:32" ht="15.75" customHeight="1" x14ac:dyDescent="0.3">
      <c r="A1061" s="85" t="str">
        <f t="shared" si="670"/>
        <v/>
      </c>
      <c r="C1061" s="87"/>
      <c r="E1061" s="87"/>
      <c r="H1061" s="87"/>
      <c r="I1061" s="87"/>
      <c r="O1061" s="90" t="str">
        <f t="shared" si="664"/>
        <v/>
      </c>
      <c r="Q1061" s="91" t="str">
        <f t="shared" si="666"/>
        <v/>
      </c>
      <c r="R1061" s="91" t="str">
        <f t="shared" si="669"/>
        <v/>
      </c>
      <c r="S1061" s="92" t="str">
        <f t="shared" si="667"/>
        <v/>
      </c>
      <c r="T1061" s="93"/>
      <c r="U1061" s="94" t="str">
        <f t="shared" si="671"/>
        <v/>
      </c>
      <c r="X1061" s="96"/>
      <c r="Y1061" s="97" t="str">
        <f t="shared" si="661"/>
        <v/>
      </c>
      <c r="Z1061" s="98" t="str">
        <f>SUBSTITUTE('Digitas UK Task 26'!$O1061, "Complet", "Not Requir")</f>
        <v/>
      </c>
      <c r="AA1061" s="98" t="str">
        <f t="shared" si="672"/>
        <v/>
      </c>
      <c r="AB1061" s="99"/>
      <c r="AF1061" s="84" t="str">
        <f t="shared" si="668"/>
        <v/>
      </c>
    </row>
    <row r="1062" spans="1:32" ht="15.75" customHeight="1" x14ac:dyDescent="0.3">
      <c r="A1062" s="85" t="str">
        <f t="shared" si="670"/>
        <v/>
      </c>
      <c r="C1062" s="87"/>
      <c r="E1062" s="87"/>
      <c r="H1062" s="87"/>
      <c r="I1062" s="87"/>
      <c r="O1062" s="90" t="str">
        <f t="shared" si="664"/>
        <v/>
      </c>
      <c r="Q1062" s="91" t="str">
        <f t="shared" si="666"/>
        <v/>
      </c>
      <c r="R1062" s="91" t="str">
        <f t="shared" si="669"/>
        <v/>
      </c>
      <c r="S1062" s="92" t="str">
        <f t="shared" si="667"/>
        <v/>
      </c>
      <c r="T1062" s="93"/>
      <c r="U1062" s="94" t="str">
        <f t="shared" si="671"/>
        <v/>
      </c>
      <c r="X1062" s="96"/>
      <c r="Y1062" s="97" t="str">
        <f t="shared" si="661"/>
        <v/>
      </c>
      <c r="Z1062" s="98" t="str">
        <f>SUBSTITUTE('Digitas UK Task 26'!$O1062, "Complet", "Not Requir")</f>
        <v/>
      </c>
      <c r="AA1062" s="98" t="str">
        <f t="shared" si="672"/>
        <v/>
      </c>
      <c r="AB1062" s="99"/>
      <c r="AF1062" s="84" t="str">
        <f t="shared" si="668"/>
        <v/>
      </c>
    </row>
    <row r="1063" spans="1:32" ht="15.75" customHeight="1" x14ac:dyDescent="0.3">
      <c r="A1063" s="85" t="str">
        <f t="shared" si="670"/>
        <v/>
      </c>
      <c r="C1063" s="87"/>
      <c r="E1063" s="87"/>
      <c r="H1063" s="87"/>
      <c r="I1063" s="87"/>
      <c r="O1063" s="90" t="str">
        <f t="shared" si="664"/>
        <v/>
      </c>
      <c r="Q1063" s="91" t="str">
        <f t="shared" si="666"/>
        <v/>
      </c>
      <c r="R1063" s="91" t="str">
        <f t="shared" si="669"/>
        <v/>
      </c>
      <c r="S1063" s="92" t="str">
        <f t="shared" si="667"/>
        <v/>
      </c>
      <c r="T1063" s="93"/>
      <c r="U1063" s="94" t="str">
        <f t="shared" si="671"/>
        <v/>
      </c>
      <c r="X1063" s="96"/>
      <c r="Y1063" s="97" t="str">
        <f t="shared" ref="Y1063:Y1126" si="673">IF(M1063="","",M1063)</f>
        <v/>
      </c>
      <c r="Z1063" s="98" t="str">
        <f>SUBSTITUTE('Digitas UK Task 26'!$O1063, "Complet", "Not Requir")</f>
        <v/>
      </c>
      <c r="AA1063" s="98" t="str">
        <f t="shared" si="672"/>
        <v/>
      </c>
      <c r="AB1063" s="99"/>
      <c r="AF1063" s="84" t="str">
        <f t="shared" si="668"/>
        <v/>
      </c>
    </row>
    <row r="1064" spans="1:32" ht="15.75" customHeight="1" x14ac:dyDescent="0.3">
      <c r="A1064" s="85" t="str">
        <f t="shared" si="670"/>
        <v/>
      </c>
      <c r="C1064" s="87"/>
      <c r="E1064" s="87"/>
      <c r="H1064" s="87"/>
      <c r="I1064" s="87"/>
      <c r="O1064" s="90" t="str">
        <f t="shared" si="664"/>
        <v/>
      </c>
      <c r="Q1064" s="91" t="str">
        <f t="shared" si="666"/>
        <v/>
      </c>
      <c r="R1064" s="91" t="str">
        <f t="shared" si="669"/>
        <v/>
      </c>
      <c r="S1064" s="92" t="str">
        <f t="shared" si="667"/>
        <v/>
      </c>
      <c r="T1064" s="93"/>
      <c r="U1064" s="94" t="str">
        <f t="shared" si="671"/>
        <v/>
      </c>
      <c r="X1064" s="96"/>
      <c r="Y1064" s="97" t="str">
        <f t="shared" si="673"/>
        <v/>
      </c>
      <c r="Z1064" s="98" t="str">
        <f>SUBSTITUTE('Digitas UK Task 26'!$O1064, "Complet", "Not Requir")</f>
        <v/>
      </c>
      <c r="AA1064" s="98" t="str">
        <f t="shared" si="672"/>
        <v/>
      </c>
      <c r="AB1064" s="99"/>
      <c r="AF1064" s="84" t="str">
        <f t="shared" si="668"/>
        <v/>
      </c>
    </row>
    <row r="1065" spans="1:32" ht="15.75" customHeight="1" x14ac:dyDescent="0.3">
      <c r="A1065" s="85" t="str">
        <f t="shared" si="670"/>
        <v/>
      </c>
      <c r="C1065" s="87"/>
      <c r="E1065" s="87"/>
      <c r="H1065" s="87"/>
      <c r="I1065" s="87"/>
      <c r="O1065" s="90" t="str">
        <f t="shared" si="664"/>
        <v/>
      </c>
      <c r="Q1065" s="91" t="str">
        <f t="shared" si="666"/>
        <v/>
      </c>
      <c r="R1065" s="91" t="str">
        <f t="shared" si="669"/>
        <v/>
      </c>
      <c r="S1065" s="92" t="str">
        <f t="shared" si="667"/>
        <v/>
      </c>
      <c r="T1065" s="93"/>
      <c r="U1065" s="94" t="str">
        <f t="shared" si="671"/>
        <v/>
      </c>
      <c r="X1065" s="96"/>
      <c r="Y1065" s="97" t="str">
        <f t="shared" si="673"/>
        <v/>
      </c>
      <c r="Z1065" s="98" t="str">
        <f>SUBSTITUTE('Digitas UK Task 26'!$O1065, "Complet", "Not Requir")</f>
        <v/>
      </c>
      <c r="AA1065" s="98" t="str">
        <f t="shared" si="672"/>
        <v/>
      </c>
      <c r="AB1065" s="99"/>
      <c r="AF1065" s="84" t="str">
        <f t="shared" si="668"/>
        <v/>
      </c>
    </row>
    <row r="1066" spans="1:32" ht="15.75" customHeight="1" x14ac:dyDescent="0.3">
      <c r="A1066" s="85" t="str">
        <f t="shared" si="670"/>
        <v/>
      </c>
      <c r="C1066" s="87"/>
      <c r="E1066" s="87"/>
      <c r="H1066" s="87"/>
      <c r="I1066" s="87"/>
      <c r="O1066" s="90" t="str">
        <f t="shared" si="664"/>
        <v/>
      </c>
      <c r="Q1066" s="91" t="str">
        <f t="shared" si="666"/>
        <v/>
      </c>
      <c r="R1066" s="91" t="str">
        <f t="shared" si="669"/>
        <v/>
      </c>
      <c r="S1066" s="92" t="str">
        <f t="shared" si="667"/>
        <v/>
      </c>
      <c r="T1066" s="93"/>
      <c r="U1066" s="94" t="str">
        <f t="shared" si="671"/>
        <v/>
      </c>
      <c r="X1066" s="96"/>
      <c r="Y1066" s="97" t="str">
        <f t="shared" si="673"/>
        <v/>
      </c>
      <c r="Z1066" s="98" t="str">
        <f>SUBSTITUTE('Digitas UK Task 26'!$O1066, "Complet", "Not Requir")</f>
        <v/>
      </c>
      <c r="AA1066" s="98" t="str">
        <f t="shared" si="672"/>
        <v/>
      </c>
      <c r="AB1066" s="99"/>
      <c r="AF1066" s="84" t="str">
        <f t="shared" si="668"/>
        <v/>
      </c>
    </row>
    <row r="1067" spans="1:32" ht="15.75" customHeight="1" x14ac:dyDescent="0.3">
      <c r="A1067" s="85" t="str">
        <f t="shared" si="670"/>
        <v/>
      </c>
      <c r="C1067" s="87"/>
      <c r="E1067" s="87"/>
      <c r="H1067" s="87"/>
      <c r="I1067" s="87"/>
      <c r="O1067" s="90" t="str">
        <f t="shared" si="664"/>
        <v/>
      </c>
      <c r="Q1067" s="91" t="str">
        <f t="shared" si="666"/>
        <v/>
      </c>
      <c r="R1067" s="91" t="str">
        <f t="shared" si="669"/>
        <v/>
      </c>
      <c r="S1067" s="92" t="str">
        <f t="shared" si="667"/>
        <v/>
      </c>
      <c r="T1067" s="93"/>
      <c r="U1067" s="94" t="str">
        <f t="shared" si="671"/>
        <v/>
      </c>
      <c r="X1067" s="96"/>
      <c r="Y1067" s="97" t="str">
        <f t="shared" si="673"/>
        <v/>
      </c>
      <c r="Z1067" s="98" t="str">
        <f>SUBSTITUTE('Digitas UK Task 26'!$O1067, "Complet", "Not Requir")</f>
        <v/>
      </c>
      <c r="AA1067" s="98" t="str">
        <f t="shared" si="672"/>
        <v/>
      </c>
      <c r="AB1067" s="99"/>
      <c r="AF1067" s="84" t="str">
        <f t="shared" si="668"/>
        <v/>
      </c>
    </row>
    <row r="1068" spans="1:32" ht="15.75" customHeight="1" x14ac:dyDescent="0.3">
      <c r="A1068" s="85" t="str">
        <f t="shared" si="670"/>
        <v/>
      </c>
      <c r="C1068" s="87"/>
      <c r="E1068" s="87"/>
      <c r="H1068" s="87"/>
      <c r="I1068" s="87"/>
      <c r="O1068" s="90" t="str">
        <f t="shared" si="664"/>
        <v/>
      </c>
      <c r="Q1068" s="91" t="str">
        <f t="shared" si="666"/>
        <v/>
      </c>
      <c r="R1068" s="91" t="str">
        <f t="shared" si="669"/>
        <v/>
      </c>
      <c r="S1068" s="92" t="str">
        <f t="shared" si="667"/>
        <v/>
      </c>
      <c r="T1068" s="93"/>
      <c r="U1068" s="94" t="str">
        <f t="shared" si="671"/>
        <v/>
      </c>
      <c r="X1068" s="96"/>
      <c r="Y1068" s="97" t="str">
        <f t="shared" si="673"/>
        <v/>
      </c>
      <c r="Z1068" s="98" t="str">
        <f>SUBSTITUTE('Digitas UK Task 26'!$O1068, "Complet", "Not Requir")</f>
        <v/>
      </c>
      <c r="AA1068" s="98" t="str">
        <f t="shared" si="672"/>
        <v/>
      </c>
      <c r="AB1068" s="99"/>
      <c r="AF1068" s="84" t="str">
        <f t="shared" si="668"/>
        <v/>
      </c>
    </row>
    <row r="1069" spans="1:32" ht="15.75" customHeight="1" x14ac:dyDescent="0.3">
      <c r="A1069" s="85" t="str">
        <f t="shared" si="670"/>
        <v/>
      </c>
      <c r="C1069" s="87"/>
      <c r="E1069" s="87"/>
      <c r="H1069" s="87"/>
      <c r="I1069" s="87"/>
      <c r="O1069" s="90" t="str">
        <f t="shared" si="664"/>
        <v/>
      </c>
      <c r="Q1069" s="91" t="str">
        <f t="shared" si="666"/>
        <v/>
      </c>
      <c r="R1069" s="91" t="str">
        <f t="shared" si="669"/>
        <v/>
      </c>
      <c r="S1069" s="92" t="str">
        <f t="shared" si="667"/>
        <v/>
      </c>
      <c r="T1069" s="93"/>
      <c r="U1069" s="94" t="str">
        <f t="shared" si="671"/>
        <v/>
      </c>
      <c r="X1069" s="96"/>
      <c r="Y1069" s="97" t="str">
        <f t="shared" si="673"/>
        <v/>
      </c>
      <c r="Z1069" s="98" t="str">
        <f>SUBSTITUTE('Digitas UK Task 26'!$O1069, "Complet", "Not Requir")</f>
        <v/>
      </c>
      <c r="AA1069" s="98" t="str">
        <f t="shared" si="672"/>
        <v/>
      </c>
      <c r="AB1069" s="99"/>
      <c r="AF1069" s="84" t="str">
        <f t="shared" si="668"/>
        <v/>
      </c>
    </row>
    <row r="1070" spans="1:32" ht="15.75" customHeight="1" x14ac:dyDescent="0.3">
      <c r="A1070" s="85" t="str">
        <f t="shared" si="670"/>
        <v/>
      </c>
      <c r="C1070" s="87"/>
      <c r="E1070" s="87"/>
      <c r="H1070" s="87"/>
      <c r="I1070" s="87"/>
      <c r="O1070" s="90" t="str">
        <f t="shared" si="664"/>
        <v/>
      </c>
      <c r="Q1070" s="91" t="str">
        <f t="shared" si="666"/>
        <v/>
      </c>
      <c r="R1070" s="91" t="str">
        <f t="shared" si="669"/>
        <v/>
      </c>
      <c r="S1070" s="92" t="str">
        <f t="shared" si="667"/>
        <v/>
      </c>
      <c r="T1070" s="93"/>
      <c r="U1070" s="94" t="str">
        <f t="shared" si="671"/>
        <v/>
      </c>
      <c r="X1070" s="96"/>
      <c r="Y1070" s="97" t="str">
        <f t="shared" si="673"/>
        <v/>
      </c>
      <c r="Z1070" s="98" t="str">
        <f>SUBSTITUTE('Digitas UK Task 26'!$O1070, "Complet", "Not Requir")</f>
        <v/>
      </c>
      <c r="AA1070" s="98" t="str">
        <f t="shared" si="672"/>
        <v/>
      </c>
      <c r="AB1070" s="99"/>
      <c r="AF1070" s="84" t="str">
        <f t="shared" si="668"/>
        <v/>
      </c>
    </row>
    <row r="1071" spans="1:32" ht="15.75" customHeight="1" x14ac:dyDescent="0.3">
      <c r="A1071" s="85" t="str">
        <f t="shared" si="670"/>
        <v/>
      </c>
      <c r="C1071" s="87"/>
      <c r="E1071" s="87"/>
      <c r="H1071" s="87"/>
      <c r="I1071" s="87"/>
      <c r="O1071" s="90" t="str">
        <f t="shared" si="664"/>
        <v/>
      </c>
      <c r="Q1071" s="91" t="str">
        <f t="shared" si="666"/>
        <v/>
      </c>
      <c r="R1071" s="91" t="str">
        <f t="shared" si="669"/>
        <v/>
      </c>
      <c r="S1071" s="92" t="str">
        <f t="shared" si="667"/>
        <v/>
      </c>
      <c r="T1071" s="93"/>
      <c r="U1071" s="94" t="str">
        <f t="shared" si="671"/>
        <v/>
      </c>
      <c r="X1071" s="96"/>
      <c r="Y1071" s="97" t="str">
        <f t="shared" si="673"/>
        <v/>
      </c>
      <c r="Z1071" s="98" t="str">
        <f>SUBSTITUTE('Digitas UK Task 26'!$O1071, "Complet", "Not Requir")</f>
        <v/>
      </c>
      <c r="AA1071" s="98" t="str">
        <f t="shared" si="672"/>
        <v/>
      </c>
      <c r="AB1071" s="99"/>
      <c r="AF1071" s="84" t="str">
        <f t="shared" si="668"/>
        <v/>
      </c>
    </row>
    <row r="1072" spans="1:32" ht="15.75" customHeight="1" x14ac:dyDescent="0.3">
      <c r="A1072" s="85" t="str">
        <f t="shared" si="670"/>
        <v/>
      </c>
      <c r="C1072" s="87"/>
      <c r="E1072" s="87"/>
      <c r="H1072" s="87"/>
      <c r="I1072" s="87"/>
      <c r="O1072" s="90" t="str">
        <f t="shared" si="664"/>
        <v/>
      </c>
      <c r="Q1072" s="91" t="str">
        <f t="shared" si="666"/>
        <v/>
      </c>
      <c r="R1072" s="91" t="str">
        <f t="shared" si="669"/>
        <v/>
      </c>
      <c r="S1072" s="92" t="str">
        <f t="shared" si="667"/>
        <v/>
      </c>
      <c r="T1072" s="93"/>
      <c r="U1072" s="94" t="str">
        <f t="shared" si="671"/>
        <v/>
      </c>
      <c r="X1072" s="96"/>
      <c r="Y1072" s="97" t="str">
        <f t="shared" si="673"/>
        <v/>
      </c>
      <c r="Z1072" s="98" t="str">
        <f>SUBSTITUTE('Digitas UK Task 26'!$O1072, "Complet", "Not Requir")</f>
        <v/>
      </c>
      <c r="AA1072" s="98" t="str">
        <f t="shared" si="672"/>
        <v/>
      </c>
      <c r="AB1072" s="99"/>
      <c r="AF1072" s="84" t="str">
        <f t="shared" si="668"/>
        <v/>
      </c>
    </row>
    <row r="1073" spans="1:32" ht="15.75" customHeight="1" x14ac:dyDescent="0.3">
      <c r="A1073" s="85" t="str">
        <f t="shared" si="670"/>
        <v/>
      </c>
      <c r="C1073" s="87"/>
      <c r="E1073" s="87"/>
      <c r="H1073" s="87"/>
      <c r="I1073" s="87"/>
      <c r="O1073" s="90" t="str">
        <f t="shared" si="664"/>
        <v/>
      </c>
      <c r="Q1073" s="91" t="str">
        <f t="shared" si="666"/>
        <v/>
      </c>
      <c r="R1073" s="91" t="str">
        <f t="shared" si="669"/>
        <v/>
      </c>
      <c r="S1073" s="92" t="str">
        <f t="shared" si="667"/>
        <v/>
      </c>
      <c r="T1073" s="93"/>
      <c r="U1073" s="94" t="str">
        <f t="shared" si="671"/>
        <v/>
      </c>
      <c r="X1073" s="96"/>
      <c r="Y1073" s="97" t="str">
        <f t="shared" si="673"/>
        <v/>
      </c>
      <c r="Z1073" s="98" t="str">
        <f>SUBSTITUTE('Digitas UK Task 26'!$O1073, "Complet", "Not Requir")</f>
        <v/>
      </c>
      <c r="AA1073" s="98" t="str">
        <f t="shared" si="672"/>
        <v/>
      </c>
      <c r="AB1073" s="99"/>
      <c r="AF1073" s="84" t="str">
        <f t="shared" si="668"/>
        <v/>
      </c>
    </row>
    <row r="1074" spans="1:32" ht="15.75" customHeight="1" x14ac:dyDescent="0.3">
      <c r="A1074" s="85" t="str">
        <f t="shared" si="670"/>
        <v/>
      </c>
      <c r="C1074" s="87"/>
      <c r="E1074" s="87"/>
      <c r="H1074" s="87"/>
      <c r="I1074" s="87"/>
      <c r="O1074" s="90" t="str">
        <f t="shared" si="664"/>
        <v/>
      </c>
      <c r="Q1074" s="91" t="str">
        <f t="shared" si="666"/>
        <v/>
      </c>
      <c r="R1074" s="91" t="str">
        <f t="shared" si="669"/>
        <v/>
      </c>
      <c r="S1074" s="92" t="str">
        <f t="shared" si="667"/>
        <v/>
      </c>
      <c r="T1074" s="93"/>
      <c r="U1074" s="94" t="str">
        <f t="shared" si="671"/>
        <v/>
      </c>
      <c r="X1074" s="96"/>
      <c r="Y1074" s="97" t="str">
        <f t="shared" si="673"/>
        <v/>
      </c>
      <c r="Z1074" s="98" t="str">
        <f>SUBSTITUTE('Digitas UK Task 26'!$O1074, "Complet", "Not Requir")</f>
        <v/>
      </c>
      <c r="AA1074" s="98" t="str">
        <f t="shared" si="672"/>
        <v/>
      </c>
      <c r="AB1074" s="99"/>
      <c r="AF1074" s="84" t="str">
        <f t="shared" si="668"/>
        <v/>
      </c>
    </row>
    <row r="1075" spans="1:32" ht="15.75" customHeight="1" x14ac:dyDescent="0.3">
      <c r="A1075" s="85" t="str">
        <f t="shared" si="670"/>
        <v/>
      </c>
      <c r="C1075" s="87"/>
      <c r="E1075" s="87"/>
      <c r="H1075" s="87"/>
      <c r="I1075" s="87"/>
      <c r="O1075" s="90" t="str">
        <f t="shared" si="664"/>
        <v/>
      </c>
      <c r="Q1075" s="91" t="str">
        <f t="shared" si="666"/>
        <v/>
      </c>
      <c r="R1075" s="91" t="str">
        <f t="shared" si="669"/>
        <v/>
      </c>
      <c r="S1075" s="92" t="str">
        <f t="shared" si="667"/>
        <v/>
      </c>
      <c r="T1075" s="93"/>
      <c r="U1075" s="94" t="str">
        <f t="shared" si="671"/>
        <v/>
      </c>
      <c r="X1075" s="96"/>
      <c r="Y1075" s="97" t="str">
        <f t="shared" si="673"/>
        <v/>
      </c>
      <c r="Z1075" s="98" t="str">
        <f>SUBSTITUTE('Digitas UK Task 26'!$O1075, "Complet", "Not Requir")</f>
        <v/>
      </c>
      <c r="AA1075" s="98" t="str">
        <f t="shared" si="672"/>
        <v/>
      </c>
      <c r="AB1075" s="99"/>
      <c r="AF1075" s="84" t="str">
        <f t="shared" si="668"/>
        <v/>
      </c>
    </row>
    <row r="1076" spans="1:32" ht="15.75" customHeight="1" x14ac:dyDescent="0.3">
      <c r="A1076" s="85" t="str">
        <f t="shared" si="670"/>
        <v/>
      </c>
      <c r="C1076" s="87"/>
      <c r="E1076" s="87"/>
      <c r="H1076" s="87"/>
      <c r="I1076" s="87"/>
      <c r="O1076" s="90" t="str">
        <f t="shared" si="664"/>
        <v/>
      </c>
      <c r="Q1076" s="91" t="str">
        <f t="shared" si="666"/>
        <v/>
      </c>
      <c r="R1076" s="91" t="str">
        <f t="shared" si="669"/>
        <v/>
      </c>
      <c r="S1076" s="92" t="str">
        <f t="shared" si="667"/>
        <v/>
      </c>
      <c r="T1076" s="93"/>
      <c r="U1076" s="94" t="str">
        <f t="shared" si="671"/>
        <v/>
      </c>
      <c r="X1076" s="96"/>
      <c r="Y1076" s="97" t="str">
        <f t="shared" si="673"/>
        <v/>
      </c>
      <c r="Z1076" s="98" t="str">
        <f>SUBSTITUTE('Digitas UK Task 26'!$O1076, "Complet", "Not Requir")</f>
        <v/>
      </c>
      <c r="AA1076" s="98" t="str">
        <f t="shared" si="672"/>
        <v/>
      </c>
      <c r="AB1076" s="99"/>
      <c r="AF1076" s="84" t="str">
        <f t="shared" si="668"/>
        <v/>
      </c>
    </row>
    <row r="1077" spans="1:32" ht="15.75" customHeight="1" x14ac:dyDescent="0.3">
      <c r="A1077" s="85" t="str">
        <f t="shared" si="670"/>
        <v/>
      </c>
      <c r="C1077" s="87"/>
      <c r="E1077" s="87"/>
      <c r="H1077" s="87"/>
      <c r="I1077" s="87"/>
      <c r="O1077" s="90" t="str">
        <f t="shared" si="664"/>
        <v/>
      </c>
      <c r="Q1077" s="91" t="str">
        <f t="shared" si="666"/>
        <v/>
      </c>
      <c r="R1077" s="91" t="str">
        <f t="shared" si="669"/>
        <v/>
      </c>
      <c r="S1077" s="92" t="str">
        <f t="shared" si="667"/>
        <v/>
      </c>
      <c r="T1077" s="93"/>
      <c r="U1077" s="94" t="str">
        <f t="shared" si="671"/>
        <v/>
      </c>
      <c r="X1077" s="96"/>
      <c r="Y1077" s="97" t="str">
        <f t="shared" si="673"/>
        <v/>
      </c>
      <c r="Z1077" s="98" t="str">
        <f>SUBSTITUTE('Digitas UK Task 26'!$O1077, "Complet", "Not Requir")</f>
        <v/>
      </c>
      <c r="AA1077" s="98" t="str">
        <f t="shared" si="672"/>
        <v/>
      </c>
      <c r="AB1077" s="99"/>
      <c r="AF1077" s="84" t="str">
        <f t="shared" si="668"/>
        <v/>
      </c>
    </row>
    <row r="1078" spans="1:32" ht="15.75" customHeight="1" x14ac:dyDescent="0.3">
      <c r="A1078" s="85" t="str">
        <f t="shared" si="670"/>
        <v/>
      </c>
      <c r="C1078" s="87"/>
      <c r="E1078" s="87"/>
      <c r="H1078" s="87"/>
      <c r="I1078" s="87"/>
      <c r="O1078" s="90" t="str">
        <f t="shared" si="664"/>
        <v/>
      </c>
      <c r="Q1078" s="91" t="str">
        <f t="shared" si="666"/>
        <v/>
      </c>
      <c r="R1078" s="91" t="str">
        <f t="shared" si="669"/>
        <v/>
      </c>
      <c r="S1078" s="92" t="str">
        <f t="shared" si="667"/>
        <v/>
      </c>
      <c r="T1078" s="93"/>
      <c r="U1078" s="94" t="str">
        <f t="shared" si="671"/>
        <v/>
      </c>
      <c r="X1078" s="96"/>
      <c r="Y1078" s="97" t="str">
        <f t="shared" si="673"/>
        <v/>
      </c>
      <c r="Z1078" s="98" t="str">
        <f>SUBSTITUTE('Digitas UK Task 26'!$O1078, "Complet", "Not Requir")</f>
        <v/>
      </c>
      <c r="AA1078" s="98" t="str">
        <f t="shared" si="672"/>
        <v/>
      </c>
      <c r="AB1078" s="99"/>
      <c r="AF1078" s="84" t="str">
        <f t="shared" si="668"/>
        <v/>
      </c>
    </row>
    <row r="1079" spans="1:32" ht="15.75" customHeight="1" x14ac:dyDescent="0.3">
      <c r="A1079" s="85" t="str">
        <f t="shared" si="670"/>
        <v/>
      </c>
      <c r="C1079" s="87"/>
      <c r="E1079" s="87"/>
      <c r="H1079" s="87"/>
      <c r="I1079" s="87"/>
      <c r="O1079" s="90" t="str">
        <f t="shared" ref="O1079:O1142" si="674">IF(F1079="","","In-process")</f>
        <v/>
      </c>
      <c r="Q1079" s="91" t="str">
        <f t="shared" si="666"/>
        <v/>
      </c>
      <c r="R1079" s="91" t="str">
        <f t="shared" si="669"/>
        <v/>
      </c>
      <c r="S1079" s="92" t="str">
        <f t="shared" si="667"/>
        <v/>
      </c>
      <c r="T1079" s="93"/>
      <c r="U1079" s="94" t="str">
        <f t="shared" si="671"/>
        <v/>
      </c>
      <c r="X1079" s="96"/>
      <c r="Y1079" s="97" t="str">
        <f t="shared" si="673"/>
        <v/>
      </c>
      <c r="Z1079" s="98" t="str">
        <f>SUBSTITUTE('Digitas UK Task 26'!$O1079, "Complet", "Not Requir")</f>
        <v/>
      </c>
      <c r="AA1079" s="98" t="str">
        <f t="shared" si="672"/>
        <v/>
      </c>
      <c r="AB1079" s="99"/>
      <c r="AF1079" s="84" t="str">
        <f t="shared" si="668"/>
        <v/>
      </c>
    </row>
    <row r="1080" spans="1:32" ht="15.75" customHeight="1" x14ac:dyDescent="0.3">
      <c r="A1080" s="85" t="str">
        <f t="shared" si="670"/>
        <v/>
      </c>
      <c r="C1080" s="87"/>
      <c r="E1080" s="87"/>
      <c r="H1080" s="87"/>
      <c r="I1080" s="87"/>
      <c r="O1080" s="90" t="str">
        <f t="shared" si="674"/>
        <v/>
      </c>
      <c r="Q1080" s="91" t="str">
        <f t="shared" si="666"/>
        <v/>
      </c>
      <c r="R1080" s="91" t="str">
        <f t="shared" si="669"/>
        <v/>
      </c>
      <c r="S1080" s="92" t="str">
        <f t="shared" si="667"/>
        <v/>
      </c>
      <c r="T1080" s="93"/>
      <c r="U1080" s="94" t="str">
        <f t="shared" si="671"/>
        <v/>
      </c>
      <c r="X1080" s="96"/>
      <c r="Y1080" s="97" t="str">
        <f t="shared" si="673"/>
        <v/>
      </c>
      <c r="Z1080" s="98" t="str">
        <f>SUBSTITUTE('Digitas UK Task 26'!$O1080, "Complet", "Not Requir")</f>
        <v/>
      </c>
      <c r="AA1080" s="98" t="str">
        <f t="shared" si="672"/>
        <v/>
      </c>
      <c r="AB1080" s="99"/>
      <c r="AF1080" s="84" t="str">
        <f t="shared" si="668"/>
        <v/>
      </c>
    </row>
    <row r="1081" spans="1:32" ht="15.75" customHeight="1" x14ac:dyDescent="0.3">
      <c r="A1081" s="85" t="str">
        <f t="shared" si="670"/>
        <v/>
      </c>
      <c r="C1081" s="87"/>
      <c r="E1081" s="87"/>
      <c r="H1081" s="87"/>
      <c r="I1081" s="87"/>
      <c r="O1081" s="90" t="str">
        <f t="shared" si="674"/>
        <v/>
      </c>
      <c r="Q1081" s="91" t="str">
        <f t="shared" si="666"/>
        <v/>
      </c>
      <c r="R1081" s="91" t="str">
        <f t="shared" si="669"/>
        <v/>
      </c>
      <c r="S1081" s="92" t="str">
        <f t="shared" si="667"/>
        <v/>
      </c>
      <c r="T1081" s="93"/>
      <c r="U1081" s="94" t="str">
        <f t="shared" si="671"/>
        <v/>
      </c>
      <c r="X1081" s="96"/>
      <c r="Y1081" s="97" t="str">
        <f t="shared" si="673"/>
        <v/>
      </c>
      <c r="Z1081" s="98" t="str">
        <f>SUBSTITUTE('Digitas UK Task 26'!$O1081, "Complet", "Not Requir")</f>
        <v/>
      </c>
      <c r="AA1081" s="98" t="str">
        <f t="shared" si="672"/>
        <v/>
      </c>
      <c r="AB1081" s="99"/>
      <c r="AF1081" s="84" t="str">
        <f t="shared" si="668"/>
        <v/>
      </c>
    </row>
    <row r="1082" spans="1:32" ht="15.75" customHeight="1" x14ac:dyDescent="0.3">
      <c r="A1082" s="85" t="str">
        <f t="shared" si="670"/>
        <v/>
      </c>
      <c r="C1082" s="87"/>
      <c r="E1082" s="87"/>
      <c r="H1082" s="87"/>
      <c r="I1082" s="87"/>
      <c r="O1082" s="90" t="str">
        <f t="shared" si="674"/>
        <v/>
      </c>
      <c r="Q1082" s="91" t="str">
        <f t="shared" si="666"/>
        <v/>
      </c>
      <c r="R1082" s="91" t="str">
        <f t="shared" si="669"/>
        <v/>
      </c>
      <c r="S1082" s="92" t="str">
        <f t="shared" si="667"/>
        <v/>
      </c>
      <c r="T1082" s="93"/>
      <c r="U1082" s="94" t="str">
        <f t="shared" si="671"/>
        <v/>
      </c>
      <c r="X1082" s="96"/>
      <c r="Y1082" s="97" t="str">
        <f t="shared" si="673"/>
        <v/>
      </c>
      <c r="Z1082" s="98" t="str">
        <f>SUBSTITUTE('Digitas UK Task 26'!$O1082, "Complet", "Not Requir")</f>
        <v/>
      </c>
      <c r="AA1082" s="98" t="str">
        <f t="shared" si="672"/>
        <v/>
      </c>
      <c r="AB1082" s="99"/>
      <c r="AF1082" s="84" t="str">
        <f t="shared" si="668"/>
        <v/>
      </c>
    </row>
    <row r="1083" spans="1:32" ht="15.75" customHeight="1" x14ac:dyDescent="0.3">
      <c r="A1083" s="85" t="str">
        <f t="shared" si="670"/>
        <v/>
      </c>
      <c r="C1083" s="87"/>
      <c r="E1083" s="87"/>
      <c r="H1083" s="87"/>
      <c r="I1083" s="87"/>
      <c r="O1083" s="90" t="str">
        <f t="shared" si="674"/>
        <v/>
      </c>
      <c r="Q1083" s="91" t="str">
        <f t="shared" si="666"/>
        <v/>
      </c>
      <c r="R1083" s="91" t="str">
        <f t="shared" si="669"/>
        <v/>
      </c>
      <c r="S1083" s="92" t="str">
        <f t="shared" si="667"/>
        <v/>
      </c>
      <c r="T1083" s="93"/>
      <c r="U1083" s="94" t="str">
        <f t="shared" si="671"/>
        <v/>
      </c>
      <c r="X1083" s="96"/>
      <c r="Y1083" s="97" t="str">
        <f t="shared" si="673"/>
        <v/>
      </c>
      <c r="Z1083" s="98" t="str">
        <f>SUBSTITUTE('Digitas UK Task 26'!$O1083, "Complet", "Not Requir")</f>
        <v/>
      </c>
      <c r="AA1083" s="98" t="str">
        <f t="shared" si="672"/>
        <v/>
      </c>
      <c r="AB1083" s="99"/>
      <c r="AF1083" s="84" t="str">
        <f t="shared" si="668"/>
        <v/>
      </c>
    </row>
    <row r="1084" spans="1:32" ht="15.75" customHeight="1" x14ac:dyDescent="0.3">
      <c r="A1084" s="85" t="str">
        <f t="shared" si="670"/>
        <v/>
      </c>
      <c r="C1084" s="87"/>
      <c r="E1084" s="87"/>
      <c r="H1084" s="87"/>
      <c r="I1084" s="87"/>
      <c r="O1084" s="90" t="str">
        <f t="shared" si="674"/>
        <v/>
      </c>
      <c r="Q1084" s="91" t="str">
        <f t="shared" si="666"/>
        <v/>
      </c>
      <c r="R1084" s="91" t="str">
        <f t="shared" si="669"/>
        <v/>
      </c>
      <c r="S1084" s="92" t="str">
        <f t="shared" si="667"/>
        <v/>
      </c>
      <c r="T1084" s="93"/>
      <c r="U1084" s="94" t="str">
        <f t="shared" si="671"/>
        <v/>
      </c>
      <c r="X1084" s="96"/>
      <c r="Y1084" s="97" t="str">
        <f t="shared" si="673"/>
        <v/>
      </c>
      <c r="Z1084" s="98" t="str">
        <f>SUBSTITUTE('Digitas UK Task 26'!$O1084, "Complet", "Not Requir")</f>
        <v/>
      </c>
      <c r="AA1084" s="98" t="str">
        <f t="shared" si="672"/>
        <v/>
      </c>
      <c r="AB1084" s="99"/>
      <c r="AF1084" s="84" t="str">
        <f t="shared" si="668"/>
        <v/>
      </c>
    </row>
    <row r="1085" spans="1:32" ht="15.75" customHeight="1" x14ac:dyDescent="0.3">
      <c r="A1085" s="85" t="str">
        <f t="shared" si="670"/>
        <v/>
      </c>
      <c r="C1085" s="87"/>
      <c r="E1085" s="87"/>
      <c r="H1085" s="87"/>
      <c r="I1085" s="87"/>
      <c r="O1085" s="90" t="str">
        <f t="shared" si="674"/>
        <v/>
      </c>
      <c r="Q1085" s="91" t="str">
        <f t="shared" si="666"/>
        <v/>
      </c>
      <c r="R1085" s="91" t="str">
        <f t="shared" si="669"/>
        <v/>
      </c>
      <c r="S1085" s="92" t="str">
        <f t="shared" si="667"/>
        <v/>
      </c>
      <c r="T1085" s="93"/>
      <c r="U1085" s="94" t="str">
        <f t="shared" si="671"/>
        <v/>
      </c>
      <c r="X1085" s="96"/>
      <c r="Y1085" s="97" t="str">
        <f t="shared" si="673"/>
        <v/>
      </c>
      <c r="Z1085" s="98" t="str">
        <f>SUBSTITUTE('Digitas UK Task 26'!$O1085, "Complet", "Not Requir")</f>
        <v/>
      </c>
      <c r="AA1085" s="98" t="str">
        <f t="shared" si="672"/>
        <v/>
      </c>
      <c r="AB1085" s="99"/>
      <c r="AF1085" s="84" t="str">
        <f t="shared" si="668"/>
        <v/>
      </c>
    </row>
    <row r="1086" spans="1:32" ht="15.75" customHeight="1" x14ac:dyDescent="0.3">
      <c r="A1086" s="85" t="str">
        <f t="shared" si="670"/>
        <v/>
      </c>
      <c r="C1086" s="87"/>
      <c r="E1086" s="87"/>
      <c r="H1086" s="87"/>
      <c r="I1086" s="87"/>
      <c r="O1086" s="90" t="str">
        <f t="shared" si="674"/>
        <v/>
      </c>
      <c r="Q1086" s="91" t="str">
        <f t="shared" si="666"/>
        <v/>
      </c>
      <c r="R1086" s="91" t="str">
        <f t="shared" si="669"/>
        <v/>
      </c>
      <c r="S1086" s="92" t="str">
        <f t="shared" si="667"/>
        <v/>
      </c>
      <c r="T1086" s="93"/>
      <c r="U1086" s="94" t="str">
        <f t="shared" si="671"/>
        <v/>
      </c>
      <c r="X1086" s="96"/>
      <c r="Y1086" s="97" t="str">
        <f t="shared" si="673"/>
        <v/>
      </c>
      <c r="Z1086" s="98" t="str">
        <f>SUBSTITUTE('Digitas UK Task 26'!$O1086, "Complet", "Not Requir")</f>
        <v/>
      </c>
      <c r="AA1086" s="98" t="str">
        <f t="shared" si="672"/>
        <v/>
      </c>
      <c r="AB1086" s="99"/>
      <c r="AF1086" s="84" t="str">
        <f t="shared" si="668"/>
        <v/>
      </c>
    </row>
    <row r="1087" spans="1:32" ht="15.75" customHeight="1" x14ac:dyDescent="0.3">
      <c r="A1087" s="85" t="str">
        <f t="shared" si="670"/>
        <v/>
      </c>
      <c r="C1087" s="87"/>
      <c r="E1087" s="87"/>
      <c r="H1087" s="87"/>
      <c r="I1087" s="87"/>
      <c r="O1087" s="90" t="str">
        <f t="shared" si="674"/>
        <v/>
      </c>
      <c r="Q1087" s="91" t="str">
        <f t="shared" si="666"/>
        <v/>
      </c>
      <c r="R1087" s="91" t="str">
        <f t="shared" si="669"/>
        <v/>
      </c>
      <c r="S1087" s="92" t="str">
        <f t="shared" si="667"/>
        <v/>
      </c>
      <c r="T1087" s="93"/>
      <c r="U1087" s="94" t="str">
        <f t="shared" si="671"/>
        <v/>
      </c>
      <c r="X1087" s="96"/>
      <c r="Y1087" s="97" t="str">
        <f t="shared" si="673"/>
        <v/>
      </c>
      <c r="Z1087" s="98" t="str">
        <f>SUBSTITUTE('Digitas UK Task 26'!$O1087, "Complet", "Not Requir")</f>
        <v/>
      </c>
      <c r="AA1087" s="98" t="str">
        <f t="shared" si="672"/>
        <v/>
      </c>
      <c r="AB1087" s="99"/>
      <c r="AF1087" s="84" t="str">
        <f t="shared" si="668"/>
        <v/>
      </c>
    </row>
    <row r="1088" spans="1:32" ht="15.75" customHeight="1" x14ac:dyDescent="0.3">
      <c r="A1088" s="85" t="str">
        <f t="shared" si="670"/>
        <v/>
      </c>
      <c r="C1088" s="87"/>
      <c r="E1088" s="87"/>
      <c r="H1088" s="87"/>
      <c r="I1088" s="87"/>
      <c r="O1088" s="90" t="str">
        <f t="shared" si="674"/>
        <v/>
      </c>
      <c r="Q1088" s="91" t="str">
        <f t="shared" si="666"/>
        <v/>
      </c>
      <c r="R1088" s="91" t="str">
        <f t="shared" si="669"/>
        <v/>
      </c>
      <c r="S1088" s="92" t="str">
        <f t="shared" si="667"/>
        <v/>
      </c>
      <c r="T1088" s="93"/>
      <c r="U1088" s="94" t="str">
        <f t="shared" si="671"/>
        <v/>
      </c>
      <c r="X1088" s="96"/>
      <c r="Y1088" s="97" t="str">
        <f t="shared" si="673"/>
        <v/>
      </c>
      <c r="Z1088" s="98" t="str">
        <f>SUBSTITUTE('Digitas UK Task 26'!$O1088, "Complet", "Not Requir")</f>
        <v/>
      </c>
      <c r="AA1088" s="98" t="str">
        <f t="shared" si="672"/>
        <v/>
      </c>
      <c r="AB1088" s="99"/>
      <c r="AF1088" s="84" t="str">
        <f t="shared" si="668"/>
        <v/>
      </c>
    </row>
    <row r="1089" spans="1:32" ht="15.75" customHeight="1" x14ac:dyDescent="0.3">
      <c r="A1089" s="85" t="str">
        <f t="shared" si="670"/>
        <v/>
      </c>
      <c r="C1089" s="87"/>
      <c r="E1089" s="87"/>
      <c r="H1089" s="87"/>
      <c r="I1089" s="87"/>
      <c r="O1089" s="90" t="str">
        <f t="shared" si="674"/>
        <v/>
      </c>
      <c r="Q1089" s="91" t="str">
        <f t="shared" si="666"/>
        <v/>
      </c>
      <c r="R1089" s="91" t="str">
        <f t="shared" si="669"/>
        <v/>
      </c>
      <c r="S1089" s="92" t="str">
        <f t="shared" si="667"/>
        <v/>
      </c>
      <c r="T1089" s="93"/>
      <c r="U1089" s="94" t="str">
        <f t="shared" si="671"/>
        <v/>
      </c>
      <c r="X1089" s="96"/>
      <c r="Y1089" s="97" t="str">
        <f t="shared" si="673"/>
        <v/>
      </c>
      <c r="Z1089" s="98" t="str">
        <f>SUBSTITUTE('Digitas UK Task 26'!$O1089, "Complet", "Not Requir")</f>
        <v/>
      </c>
      <c r="AA1089" s="98" t="str">
        <f t="shared" si="672"/>
        <v/>
      </c>
      <c r="AB1089" s="99"/>
      <c r="AF1089" s="84" t="str">
        <f t="shared" si="668"/>
        <v/>
      </c>
    </row>
    <row r="1090" spans="1:32" ht="15.75" customHeight="1" x14ac:dyDescent="0.3">
      <c r="A1090" s="85" t="str">
        <f t="shared" si="670"/>
        <v/>
      </c>
      <c r="C1090" s="87"/>
      <c r="E1090" s="87"/>
      <c r="H1090" s="87"/>
      <c r="I1090" s="87"/>
      <c r="O1090" s="90" t="str">
        <f t="shared" si="674"/>
        <v/>
      </c>
      <c r="Q1090" s="91" t="str">
        <f t="shared" si="666"/>
        <v/>
      </c>
      <c r="R1090" s="91" t="str">
        <f t="shared" si="669"/>
        <v/>
      </c>
      <c r="S1090" s="92" t="str">
        <f t="shared" si="667"/>
        <v/>
      </c>
      <c r="T1090" s="93"/>
      <c r="U1090" s="94" t="str">
        <f t="shared" si="671"/>
        <v/>
      </c>
      <c r="X1090" s="96"/>
      <c r="Y1090" s="97" t="str">
        <f t="shared" si="673"/>
        <v/>
      </c>
      <c r="Z1090" s="98" t="str">
        <f>SUBSTITUTE('Digitas UK Task 26'!$O1090, "Complet", "Not Requir")</f>
        <v/>
      </c>
      <c r="AA1090" s="98" t="str">
        <f t="shared" si="672"/>
        <v/>
      </c>
      <c r="AB1090" s="99"/>
      <c r="AF1090" s="84" t="str">
        <f t="shared" si="668"/>
        <v/>
      </c>
    </row>
    <row r="1091" spans="1:32" ht="15.75" customHeight="1" x14ac:dyDescent="0.3">
      <c r="A1091" s="85" t="str">
        <f t="shared" si="670"/>
        <v/>
      </c>
      <c r="C1091" s="87"/>
      <c r="E1091" s="87"/>
      <c r="H1091" s="87"/>
      <c r="I1091" s="87"/>
      <c r="O1091" s="90" t="str">
        <f t="shared" si="674"/>
        <v/>
      </c>
      <c r="Q1091" s="91" t="str">
        <f t="shared" si="666"/>
        <v/>
      </c>
      <c r="R1091" s="91" t="str">
        <f t="shared" si="669"/>
        <v/>
      </c>
      <c r="S1091" s="92" t="str">
        <f t="shared" si="667"/>
        <v/>
      </c>
      <c r="T1091" s="93"/>
      <c r="U1091" s="94" t="str">
        <f t="shared" si="671"/>
        <v/>
      </c>
      <c r="X1091" s="96"/>
      <c r="Y1091" s="97" t="str">
        <f t="shared" si="673"/>
        <v/>
      </c>
      <c r="Z1091" s="98" t="str">
        <f>SUBSTITUTE('Digitas UK Task 26'!$O1091, "Complet", "Not Requir")</f>
        <v/>
      </c>
      <c r="AA1091" s="98" t="str">
        <f t="shared" si="672"/>
        <v/>
      </c>
      <c r="AB1091" s="99"/>
      <c r="AF1091" s="84" t="str">
        <f t="shared" si="668"/>
        <v/>
      </c>
    </row>
    <row r="1092" spans="1:32" ht="15.75" customHeight="1" x14ac:dyDescent="0.3">
      <c r="A1092" s="85" t="str">
        <f t="shared" si="670"/>
        <v/>
      </c>
      <c r="C1092" s="87"/>
      <c r="E1092" s="87"/>
      <c r="H1092" s="87"/>
      <c r="I1092" s="87"/>
      <c r="O1092" s="90" t="str">
        <f t="shared" si="674"/>
        <v/>
      </c>
      <c r="Q1092" s="91" t="str">
        <f t="shared" si="666"/>
        <v/>
      </c>
      <c r="R1092" s="91" t="str">
        <f t="shared" si="669"/>
        <v/>
      </c>
      <c r="S1092" s="92" t="str">
        <f t="shared" si="667"/>
        <v/>
      </c>
      <c r="T1092" s="93"/>
      <c r="U1092" s="94" t="str">
        <f t="shared" si="671"/>
        <v/>
      </c>
      <c r="X1092" s="96"/>
      <c r="Y1092" s="97" t="str">
        <f t="shared" si="673"/>
        <v/>
      </c>
      <c r="Z1092" s="98" t="str">
        <f>SUBSTITUTE('Digitas UK Task 26'!$O1092, "Complet", "Not Requir")</f>
        <v/>
      </c>
      <c r="AA1092" s="98" t="str">
        <f t="shared" si="672"/>
        <v/>
      </c>
      <c r="AB1092" s="99"/>
      <c r="AF1092" s="84" t="str">
        <f t="shared" si="668"/>
        <v/>
      </c>
    </row>
    <row r="1093" spans="1:32" ht="15.75" customHeight="1" x14ac:dyDescent="0.3">
      <c r="A1093" s="85" t="str">
        <f t="shared" si="670"/>
        <v/>
      </c>
      <c r="C1093" s="87"/>
      <c r="E1093" s="87"/>
      <c r="H1093" s="87"/>
      <c r="I1093" s="87"/>
      <c r="O1093" s="90" t="str">
        <f t="shared" si="674"/>
        <v/>
      </c>
      <c r="Q1093" s="91" t="str">
        <f t="shared" si="666"/>
        <v/>
      </c>
      <c r="R1093" s="91" t="str">
        <f t="shared" si="669"/>
        <v/>
      </c>
      <c r="S1093" s="92" t="str">
        <f t="shared" si="667"/>
        <v/>
      </c>
      <c r="T1093" s="93"/>
      <c r="U1093" s="94" t="str">
        <f t="shared" si="671"/>
        <v/>
      </c>
      <c r="X1093" s="96"/>
      <c r="Y1093" s="97" t="str">
        <f t="shared" si="673"/>
        <v/>
      </c>
      <c r="Z1093" s="98" t="str">
        <f>SUBSTITUTE('Digitas UK Task 26'!$O1093, "Complet", "Not Requir")</f>
        <v/>
      </c>
      <c r="AA1093" s="98" t="str">
        <f t="shared" si="672"/>
        <v/>
      </c>
      <c r="AB1093" s="99"/>
      <c r="AF1093" s="84" t="str">
        <f t="shared" si="668"/>
        <v/>
      </c>
    </row>
    <row r="1094" spans="1:32" ht="15.75" customHeight="1" x14ac:dyDescent="0.3">
      <c r="A1094" s="85" t="str">
        <f t="shared" si="670"/>
        <v/>
      </c>
      <c r="C1094" s="87"/>
      <c r="E1094" s="87"/>
      <c r="H1094" s="87"/>
      <c r="I1094" s="87"/>
      <c r="O1094" s="90" t="str">
        <f t="shared" si="674"/>
        <v/>
      </c>
      <c r="Q1094" s="91" t="str">
        <f t="shared" si="666"/>
        <v/>
      </c>
      <c r="R1094" s="91" t="str">
        <f t="shared" si="669"/>
        <v/>
      </c>
      <c r="S1094" s="92" t="str">
        <f t="shared" si="667"/>
        <v/>
      </c>
      <c r="T1094" s="93"/>
      <c r="U1094" s="94" t="str">
        <f t="shared" si="671"/>
        <v/>
      </c>
      <c r="X1094" s="96"/>
      <c r="Y1094" s="97" t="str">
        <f t="shared" si="673"/>
        <v/>
      </c>
      <c r="Z1094" s="98" t="str">
        <f>SUBSTITUTE('Digitas UK Task 26'!$O1094, "Complet", "Not Requir")</f>
        <v/>
      </c>
      <c r="AA1094" s="98" t="str">
        <f t="shared" si="672"/>
        <v/>
      </c>
      <c r="AB1094" s="99"/>
      <c r="AF1094" s="84" t="str">
        <f t="shared" si="668"/>
        <v/>
      </c>
    </row>
    <row r="1095" spans="1:32" ht="15.75" customHeight="1" x14ac:dyDescent="0.3">
      <c r="A1095" s="85" t="str">
        <f t="shared" si="670"/>
        <v/>
      </c>
      <c r="C1095" s="87"/>
      <c r="E1095" s="87"/>
      <c r="H1095" s="87"/>
      <c r="I1095" s="87"/>
      <c r="O1095" s="90" t="str">
        <f t="shared" si="674"/>
        <v/>
      </c>
      <c r="Q1095" s="91" t="str">
        <f t="shared" si="666"/>
        <v/>
      </c>
      <c r="R1095" s="91" t="str">
        <f t="shared" si="669"/>
        <v/>
      </c>
      <c r="S1095" s="92" t="str">
        <f t="shared" si="667"/>
        <v/>
      </c>
      <c r="T1095" s="93"/>
      <c r="U1095" s="94" t="str">
        <f t="shared" si="671"/>
        <v/>
      </c>
      <c r="X1095" s="96"/>
      <c r="Y1095" s="97" t="str">
        <f t="shared" si="673"/>
        <v/>
      </c>
      <c r="Z1095" s="98" t="str">
        <f>SUBSTITUTE('Digitas UK Task 26'!$O1095, "Complet", "Not Requir")</f>
        <v/>
      </c>
      <c r="AA1095" s="98" t="str">
        <f t="shared" si="672"/>
        <v/>
      </c>
      <c r="AB1095" s="99"/>
      <c r="AF1095" s="84" t="str">
        <f t="shared" si="668"/>
        <v/>
      </c>
    </row>
    <row r="1096" spans="1:32" ht="15.75" customHeight="1" x14ac:dyDescent="0.3">
      <c r="A1096" s="85" t="str">
        <f t="shared" si="670"/>
        <v/>
      </c>
      <c r="C1096" s="87"/>
      <c r="E1096" s="87"/>
      <c r="H1096" s="87"/>
      <c r="I1096" s="87"/>
      <c r="O1096" s="90" t="str">
        <f t="shared" si="674"/>
        <v/>
      </c>
      <c r="Q1096" s="91" t="str">
        <f t="shared" si="666"/>
        <v/>
      </c>
      <c r="R1096" s="91" t="str">
        <f t="shared" si="669"/>
        <v/>
      </c>
      <c r="S1096" s="92" t="str">
        <f t="shared" si="667"/>
        <v/>
      </c>
      <c r="T1096" s="93"/>
      <c r="U1096" s="94" t="str">
        <f t="shared" si="671"/>
        <v/>
      </c>
      <c r="X1096" s="96"/>
      <c r="Y1096" s="97" t="str">
        <f t="shared" si="673"/>
        <v/>
      </c>
      <c r="Z1096" s="98" t="str">
        <f>SUBSTITUTE('Digitas UK Task 26'!$O1096, "Complet", "Not Requir")</f>
        <v/>
      </c>
      <c r="AA1096" s="98" t="str">
        <f t="shared" si="672"/>
        <v/>
      </c>
      <c r="AB1096" s="99"/>
      <c r="AF1096" s="84" t="str">
        <f t="shared" si="668"/>
        <v/>
      </c>
    </row>
    <row r="1097" spans="1:32" ht="15.75" customHeight="1" x14ac:dyDescent="0.3">
      <c r="A1097" s="85" t="str">
        <f t="shared" si="670"/>
        <v/>
      </c>
      <c r="C1097" s="87"/>
      <c r="E1097" s="87"/>
      <c r="H1097" s="87"/>
      <c r="I1097" s="87"/>
      <c r="O1097" s="90" t="str">
        <f t="shared" si="674"/>
        <v/>
      </c>
      <c r="Q1097" s="91" t="str">
        <f t="shared" si="666"/>
        <v/>
      </c>
      <c r="R1097" s="91" t="str">
        <f t="shared" si="669"/>
        <v/>
      </c>
      <c r="S1097" s="92" t="str">
        <f t="shared" si="667"/>
        <v/>
      </c>
      <c r="T1097" s="93"/>
      <c r="U1097" s="94" t="str">
        <f t="shared" si="671"/>
        <v/>
      </c>
      <c r="X1097" s="96"/>
      <c r="Y1097" s="97" t="str">
        <f t="shared" si="673"/>
        <v/>
      </c>
      <c r="Z1097" s="98" t="str">
        <f>SUBSTITUTE('Digitas UK Task 26'!$O1097, "Complet", "Not Requir")</f>
        <v/>
      </c>
      <c r="AA1097" s="98" t="str">
        <f t="shared" si="672"/>
        <v/>
      </c>
      <c r="AB1097" s="99"/>
      <c r="AF1097" s="84" t="str">
        <f t="shared" si="668"/>
        <v/>
      </c>
    </row>
    <row r="1098" spans="1:32" ht="15.75" customHeight="1" x14ac:dyDescent="0.3">
      <c r="A1098" s="85" t="str">
        <f t="shared" si="670"/>
        <v/>
      </c>
      <c r="C1098" s="87"/>
      <c r="E1098" s="87"/>
      <c r="H1098" s="87"/>
      <c r="I1098" s="87"/>
      <c r="O1098" s="90" t="str">
        <f t="shared" si="674"/>
        <v/>
      </c>
      <c r="Q1098" s="91" t="str">
        <f t="shared" si="666"/>
        <v/>
      </c>
      <c r="R1098" s="91" t="str">
        <f t="shared" si="669"/>
        <v/>
      </c>
      <c r="S1098" s="92" t="str">
        <f t="shared" si="667"/>
        <v/>
      </c>
      <c r="T1098" s="93"/>
      <c r="U1098" s="94" t="str">
        <f t="shared" si="671"/>
        <v/>
      </c>
      <c r="X1098" s="96"/>
      <c r="Y1098" s="97" t="str">
        <f t="shared" si="673"/>
        <v/>
      </c>
      <c r="Z1098" s="98" t="str">
        <f>SUBSTITUTE('Digitas UK Task 26'!$O1098, "Complet", "Not Requir")</f>
        <v/>
      </c>
      <c r="AA1098" s="98" t="str">
        <f t="shared" si="672"/>
        <v/>
      </c>
      <c r="AB1098" s="99"/>
      <c r="AF1098" s="84" t="str">
        <f t="shared" si="668"/>
        <v/>
      </c>
    </row>
    <row r="1099" spans="1:32" ht="15.75" customHeight="1" x14ac:dyDescent="0.3">
      <c r="A1099" s="85" t="str">
        <f t="shared" si="670"/>
        <v/>
      </c>
      <c r="C1099" s="87"/>
      <c r="E1099" s="87"/>
      <c r="H1099" s="87"/>
      <c r="I1099" s="87"/>
      <c r="O1099" s="90" t="str">
        <f t="shared" si="674"/>
        <v/>
      </c>
      <c r="Q1099" s="91" t="str">
        <f t="shared" si="666"/>
        <v/>
      </c>
      <c r="R1099" s="91" t="str">
        <f t="shared" si="669"/>
        <v/>
      </c>
      <c r="S1099" s="92" t="str">
        <f t="shared" si="667"/>
        <v/>
      </c>
      <c r="T1099" s="93"/>
      <c r="U1099" s="94" t="str">
        <f t="shared" si="671"/>
        <v/>
      </c>
      <c r="X1099" s="96"/>
      <c r="Y1099" s="97" t="str">
        <f t="shared" si="673"/>
        <v/>
      </c>
      <c r="Z1099" s="98" t="str">
        <f>SUBSTITUTE('Digitas UK Task 26'!$O1099, "Complet", "Not Requir")</f>
        <v/>
      </c>
      <c r="AA1099" s="98" t="str">
        <f t="shared" si="672"/>
        <v/>
      </c>
      <c r="AB1099" s="99"/>
      <c r="AF1099" s="84" t="str">
        <f t="shared" si="668"/>
        <v/>
      </c>
    </row>
    <row r="1100" spans="1:32" ht="15.75" customHeight="1" x14ac:dyDescent="0.3">
      <c r="A1100" s="85" t="str">
        <f t="shared" si="670"/>
        <v/>
      </c>
      <c r="C1100" s="87"/>
      <c r="E1100" s="87"/>
      <c r="H1100" s="87"/>
      <c r="I1100" s="87"/>
      <c r="O1100" s="90" t="str">
        <f t="shared" si="674"/>
        <v/>
      </c>
      <c r="Q1100" s="91" t="str">
        <f t="shared" si="666"/>
        <v/>
      </c>
      <c r="R1100" s="91" t="str">
        <f t="shared" si="669"/>
        <v/>
      </c>
      <c r="S1100" s="92" t="str">
        <f t="shared" si="667"/>
        <v/>
      </c>
      <c r="T1100" s="93"/>
      <c r="U1100" s="94" t="str">
        <f t="shared" si="671"/>
        <v/>
      </c>
      <c r="X1100" s="96"/>
      <c r="Y1100" s="97" t="str">
        <f t="shared" si="673"/>
        <v/>
      </c>
      <c r="Z1100" s="98" t="str">
        <f>SUBSTITUTE('Digitas UK Task 26'!$O1100, "Complet", "Not Requir")</f>
        <v/>
      </c>
      <c r="AA1100" s="98" t="str">
        <f t="shared" si="672"/>
        <v/>
      </c>
      <c r="AB1100" s="99"/>
      <c r="AF1100" s="84" t="str">
        <f t="shared" si="668"/>
        <v/>
      </c>
    </row>
    <row r="1101" spans="1:32" ht="15.75" customHeight="1" x14ac:dyDescent="0.3">
      <c r="A1101" s="85" t="str">
        <f t="shared" si="670"/>
        <v/>
      </c>
      <c r="C1101" s="87"/>
      <c r="E1101" s="87"/>
      <c r="H1101" s="87"/>
      <c r="I1101" s="87"/>
      <c r="O1101" s="90" t="str">
        <f t="shared" si="674"/>
        <v/>
      </c>
      <c r="Q1101" s="91" t="str">
        <f t="shared" si="666"/>
        <v/>
      </c>
      <c r="R1101" s="91" t="str">
        <f t="shared" si="669"/>
        <v/>
      </c>
      <c r="S1101" s="92" t="str">
        <f t="shared" si="667"/>
        <v/>
      </c>
      <c r="T1101" s="93"/>
      <c r="U1101" s="94" t="str">
        <f t="shared" si="671"/>
        <v/>
      </c>
      <c r="X1101" s="96"/>
      <c r="Y1101" s="97" t="str">
        <f t="shared" si="673"/>
        <v/>
      </c>
      <c r="Z1101" s="98" t="str">
        <f>SUBSTITUTE('Digitas UK Task 26'!$O1101, "Complet", "Not Requir")</f>
        <v/>
      </c>
      <c r="AA1101" s="98" t="str">
        <f t="shared" si="672"/>
        <v/>
      </c>
      <c r="AB1101" s="99"/>
      <c r="AF1101" s="84" t="str">
        <f t="shared" si="668"/>
        <v/>
      </c>
    </row>
    <row r="1102" spans="1:32" ht="15.75" customHeight="1" x14ac:dyDescent="0.3">
      <c r="A1102" s="85" t="str">
        <f t="shared" si="670"/>
        <v/>
      </c>
      <c r="C1102" s="87"/>
      <c r="E1102" s="87"/>
      <c r="H1102" s="87"/>
      <c r="I1102" s="87"/>
      <c r="O1102" s="90" t="str">
        <f t="shared" si="674"/>
        <v/>
      </c>
      <c r="Q1102" s="91" t="str">
        <f t="shared" si="666"/>
        <v/>
      </c>
      <c r="R1102" s="91" t="str">
        <f t="shared" si="669"/>
        <v/>
      </c>
      <c r="S1102" s="92" t="str">
        <f t="shared" si="667"/>
        <v/>
      </c>
      <c r="T1102" s="93"/>
      <c r="U1102" s="94" t="str">
        <f t="shared" si="671"/>
        <v/>
      </c>
      <c r="X1102" s="96"/>
      <c r="Y1102" s="97" t="str">
        <f t="shared" si="673"/>
        <v/>
      </c>
      <c r="Z1102" s="98" t="str">
        <f>SUBSTITUTE('Digitas UK Task 26'!$O1102, "Complet", "Not Requir")</f>
        <v/>
      </c>
      <c r="AA1102" s="98" t="str">
        <f t="shared" si="672"/>
        <v/>
      </c>
      <c r="AB1102" s="99"/>
      <c r="AF1102" s="84" t="str">
        <f t="shared" si="668"/>
        <v/>
      </c>
    </row>
    <row r="1103" spans="1:32" ht="15.75" customHeight="1" x14ac:dyDescent="0.3">
      <c r="A1103" s="85" t="str">
        <f t="shared" si="670"/>
        <v/>
      </c>
      <c r="C1103" s="87"/>
      <c r="E1103" s="87"/>
      <c r="H1103" s="87"/>
      <c r="I1103" s="87"/>
      <c r="O1103" s="90" t="str">
        <f t="shared" si="674"/>
        <v/>
      </c>
      <c r="Q1103" s="91" t="str">
        <f t="shared" ref="Q1103:Q1166" si="675">IF(B1103="","",WEEKNUM(B1103))</f>
        <v/>
      </c>
      <c r="R1103" s="91" t="str">
        <f t="shared" si="669"/>
        <v/>
      </c>
      <c r="S1103" s="92" t="str">
        <f t="shared" ref="S1103:S1166" si="676">IF(B1103="","",TEXT(B1103,"DDDD"))</f>
        <v/>
      </c>
      <c r="T1103" s="93"/>
      <c r="U1103" s="94" t="str">
        <f t="shared" si="671"/>
        <v/>
      </c>
      <c r="X1103" s="96"/>
      <c r="Y1103" s="97" t="str">
        <f t="shared" si="673"/>
        <v/>
      </c>
      <c r="Z1103" s="98" t="str">
        <f>SUBSTITUTE('Digitas UK Task 26'!$O1103, "Complet", "Not Requir")</f>
        <v/>
      </c>
      <c r="AA1103" s="98" t="str">
        <f t="shared" si="672"/>
        <v/>
      </c>
      <c r="AB1103" s="99"/>
      <c r="AF1103" s="84" t="str">
        <f t="shared" si="668"/>
        <v/>
      </c>
    </row>
    <row r="1104" spans="1:32" ht="15.75" customHeight="1" x14ac:dyDescent="0.3">
      <c r="A1104" s="85" t="str">
        <f t="shared" si="670"/>
        <v/>
      </c>
      <c r="C1104" s="87"/>
      <c r="E1104" s="87"/>
      <c r="H1104" s="87"/>
      <c r="I1104" s="87"/>
      <c r="O1104" s="90" t="str">
        <f t="shared" si="674"/>
        <v/>
      </c>
      <c r="Q1104" s="91" t="str">
        <f t="shared" si="675"/>
        <v/>
      </c>
      <c r="R1104" s="91" t="str">
        <f t="shared" si="669"/>
        <v/>
      </c>
      <c r="S1104" s="92" t="str">
        <f t="shared" si="676"/>
        <v/>
      </c>
      <c r="T1104" s="93"/>
      <c r="U1104" s="94" t="str">
        <f t="shared" si="671"/>
        <v/>
      </c>
      <c r="X1104" s="96"/>
      <c r="Y1104" s="97" t="str">
        <f t="shared" si="673"/>
        <v/>
      </c>
      <c r="Z1104" s="98" t="str">
        <f>SUBSTITUTE('Digitas UK Task 26'!$O1104, "Complet", "Not Requir")</f>
        <v/>
      </c>
      <c r="AA1104" s="98" t="str">
        <f t="shared" si="672"/>
        <v/>
      </c>
      <c r="AB1104" s="99"/>
      <c r="AF1104" s="84" t="str">
        <f t="shared" si="668"/>
        <v/>
      </c>
    </row>
    <row r="1105" spans="1:32" ht="15.75" customHeight="1" x14ac:dyDescent="0.3">
      <c r="A1105" s="85" t="str">
        <f t="shared" si="670"/>
        <v/>
      </c>
      <c r="C1105" s="87"/>
      <c r="E1105" s="87"/>
      <c r="H1105" s="87"/>
      <c r="I1105" s="87"/>
      <c r="O1105" s="90" t="str">
        <f t="shared" si="674"/>
        <v/>
      </c>
      <c r="Q1105" s="91" t="str">
        <f t="shared" si="675"/>
        <v/>
      </c>
      <c r="R1105" s="91" t="str">
        <f t="shared" si="669"/>
        <v/>
      </c>
      <c r="S1105" s="92" t="str">
        <f t="shared" si="676"/>
        <v/>
      </c>
      <c r="T1105" s="93"/>
      <c r="U1105" s="94" t="str">
        <f t="shared" si="671"/>
        <v/>
      </c>
      <c r="X1105" s="96"/>
      <c r="Y1105" s="97" t="str">
        <f t="shared" si="673"/>
        <v/>
      </c>
      <c r="Z1105" s="98" t="str">
        <f>SUBSTITUTE('Digitas UK Task 26'!$O1105, "Complet", "Not Requir")</f>
        <v/>
      </c>
      <c r="AA1105" s="98" t="str">
        <f t="shared" si="672"/>
        <v/>
      </c>
      <c r="AB1105" s="99"/>
      <c r="AF1105" s="84" t="str">
        <f t="shared" si="668"/>
        <v/>
      </c>
    </row>
    <row r="1106" spans="1:32" ht="15.75" customHeight="1" x14ac:dyDescent="0.3">
      <c r="A1106" s="85" t="str">
        <f t="shared" si="670"/>
        <v/>
      </c>
      <c r="C1106" s="87"/>
      <c r="E1106" s="87"/>
      <c r="H1106" s="87"/>
      <c r="I1106" s="87"/>
      <c r="O1106" s="90" t="str">
        <f t="shared" si="674"/>
        <v/>
      </c>
      <c r="Q1106" s="91" t="str">
        <f t="shared" si="675"/>
        <v/>
      </c>
      <c r="R1106" s="91" t="str">
        <f t="shared" si="669"/>
        <v/>
      </c>
      <c r="S1106" s="92" t="str">
        <f t="shared" si="676"/>
        <v/>
      </c>
      <c r="T1106" s="93"/>
      <c r="U1106" s="94" t="str">
        <f t="shared" si="671"/>
        <v/>
      </c>
      <c r="X1106" s="96"/>
      <c r="Y1106" s="97" t="str">
        <f t="shared" si="673"/>
        <v/>
      </c>
      <c r="Z1106" s="98" t="str">
        <f>SUBSTITUTE('Digitas UK Task 26'!$O1106, "Complet", "Not Requir")</f>
        <v/>
      </c>
      <c r="AA1106" s="98" t="str">
        <f t="shared" si="672"/>
        <v/>
      </c>
      <c r="AB1106" s="99"/>
      <c r="AF1106" s="84" t="str">
        <f t="shared" si="668"/>
        <v/>
      </c>
    </row>
    <row r="1107" spans="1:32" ht="15.75" customHeight="1" x14ac:dyDescent="0.3">
      <c r="A1107" s="85" t="str">
        <f t="shared" si="670"/>
        <v/>
      </c>
      <c r="C1107" s="87"/>
      <c r="E1107" s="87"/>
      <c r="H1107" s="87"/>
      <c r="I1107" s="87"/>
      <c r="O1107" s="90" t="str">
        <f t="shared" si="674"/>
        <v/>
      </c>
      <c r="Q1107" s="91" t="str">
        <f t="shared" si="675"/>
        <v/>
      </c>
      <c r="R1107" s="91" t="str">
        <f t="shared" si="669"/>
        <v/>
      </c>
      <c r="S1107" s="92" t="str">
        <f t="shared" si="676"/>
        <v/>
      </c>
      <c r="T1107" s="93"/>
      <c r="U1107" s="94" t="str">
        <f t="shared" si="671"/>
        <v/>
      </c>
      <c r="X1107" s="96"/>
      <c r="Y1107" s="97" t="str">
        <f t="shared" si="673"/>
        <v/>
      </c>
      <c r="Z1107" s="98" t="str">
        <f>SUBSTITUTE('Digitas UK Task 26'!$O1107, "Complet", "Not Requir")</f>
        <v/>
      </c>
      <c r="AA1107" s="98" t="str">
        <f t="shared" si="672"/>
        <v/>
      </c>
      <c r="AB1107" s="99"/>
      <c r="AF1107" s="84" t="str">
        <f t="shared" si="668"/>
        <v/>
      </c>
    </row>
    <row r="1108" spans="1:32" ht="15.75" customHeight="1" x14ac:dyDescent="0.3">
      <c r="A1108" s="85" t="str">
        <f t="shared" si="670"/>
        <v/>
      </c>
      <c r="C1108" s="87"/>
      <c r="E1108" s="87"/>
      <c r="H1108" s="87"/>
      <c r="I1108" s="87"/>
      <c r="O1108" s="90" t="str">
        <f t="shared" si="674"/>
        <v/>
      </c>
      <c r="Q1108" s="91" t="str">
        <f t="shared" si="675"/>
        <v/>
      </c>
      <c r="R1108" s="91" t="str">
        <f t="shared" si="669"/>
        <v/>
      </c>
      <c r="S1108" s="92" t="str">
        <f t="shared" si="676"/>
        <v/>
      </c>
      <c r="T1108" s="93"/>
      <c r="U1108" s="94" t="str">
        <f t="shared" si="671"/>
        <v/>
      </c>
      <c r="X1108" s="96"/>
      <c r="Y1108" s="97" t="str">
        <f t="shared" si="673"/>
        <v/>
      </c>
      <c r="Z1108" s="98" t="str">
        <f>SUBSTITUTE('Digitas UK Task 26'!$O1108, "Complet", "Not Requir")</f>
        <v/>
      </c>
      <c r="AA1108" s="98" t="str">
        <f t="shared" si="672"/>
        <v/>
      </c>
      <c r="AB1108" s="99"/>
      <c r="AF1108" s="84" t="str">
        <f t="shared" si="668"/>
        <v/>
      </c>
    </row>
    <row r="1109" spans="1:32" ht="15.75" customHeight="1" x14ac:dyDescent="0.3">
      <c r="A1109" s="85" t="str">
        <f t="shared" si="670"/>
        <v/>
      </c>
      <c r="C1109" s="87"/>
      <c r="E1109" s="87"/>
      <c r="H1109" s="87"/>
      <c r="I1109" s="87"/>
      <c r="O1109" s="90" t="str">
        <f t="shared" si="674"/>
        <v/>
      </c>
      <c r="Q1109" s="91" t="str">
        <f t="shared" si="675"/>
        <v/>
      </c>
      <c r="R1109" s="91" t="str">
        <f t="shared" si="669"/>
        <v/>
      </c>
      <c r="S1109" s="92" t="str">
        <f t="shared" si="676"/>
        <v/>
      </c>
      <c r="T1109" s="93"/>
      <c r="U1109" s="94" t="str">
        <f t="shared" si="671"/>
        <v/>
      </c>
      <c r="X1109" s="96"/>
      <c r="Y1109" s="97" t="str">
        <f t="shared" si="673"/>
        <v/>
      </c>
      <c r="Z1109" s="98" t="str">
        <f>SUBSTITUTE('Digitas UK Task 26'!$O1109, "Complet", "Not Requir")</f>
        <v/>
      </c>
      <c r="AA1109" s="98" t="str">
        <f t="shared" si="672"/>
        <v/>
      </c>
      <c r="AB1109" s="99"/>
      <c r="AF1109" s="84" t="str">
        <f t="shared" ref="AF1109:AF1172" si="677">IF(AD1109="","",WEEKNUM(AD1109))</f>
        <v/>
      </c>
    </row>
    <row r="1110" spans="1:32" ht="15.75" customHeight="1" x14ac:dyDescent="0.3">
      <c r="A1110" s="85" t="str">
        <f t="shared" si="670"/>
        <v/>
      </c>
      <c r="C1110" s="87"/>
      <c r="E1110" s="87"/>
      <c r="H1110" s="87"/>
      <c r="I1110" s="87"/>
      <c r="O1110" s="90" t="str">
        <f t="shared" si="674"/>
        <v/>
      </c>
      <c r="Q1110" s="91" t="str">
        <f t="shared" si="675"/>
        <v/>
      </c>
      <c r="R1110" s="91" t="str">
        <f t="shared" ref="R1110:R1173" si="678">IF(B1110="","",TEXT(B1110,"MMM"))</f>
        <v/>
      </c>
      <c r="S1110" s="92" t="str">
        <f t="shared" si="676"/>
        <v/>
      </c>
      <c r="T1110" s="93"/>
      <c r="U1110" s="94" t="str">
        <f t="shared" si="671"/>
        <v/>
      </c>
      <c r="X1110" s="96"/>
      <c r="Y1110" s="97" t="str">
        <f t="shared" si="673"/>
        <v/>
      </c>
      <c r="Z1110" s="98" t="str">
        <f>SUBSTITUTE('Digitas UK Task 26'!$O1110, "Complet", "Not Requir")</f>
        <v/>
      </c>
      <c r="AA1110" s="98" t="str">
        <f t="shared" si="672"/>
        <v/>
      </c>
      <c r="AB1110" s="99"/>
      <c r="AF1110" s="84" t="str">
        <f t="shared" si="677"/>
        <v/>
      </c>
    </row>
    <row r="1111" spans="1:32" ht="15.75" customHeight="1" x14ac:dyDescent="0.3">
      <c r="A1111" s="85" t="str">
        <f t="shared" si="670"/>
        <v/>
      </c>
      <c r="C1111" s="87"/>
      <c r="E1111" s="87"/>
      <c r="H1111" s="87"/>
      <c r="I1111" s="87"/>
      <c r="O1111" s="90" t="str">
        <f t="shared" si="674"/>
        <v/>
      </c>
      <c r="Q1111" s="91" t="str">
        <f t="shared" si="675"/>
        <v/>
      </c>
      <c r="R1111" s="91" t="str">
        <f t="shared" si="678"/>
        <v/>
      </c>
      <c r="S1111" s="92" t="str">
        <f t="shared" si="676"/>
        <v/>
      </c>
      <c r="T1111" s="93"/>
      <c r="U1111" s="94" t="str">
        <f t="shared" si="671"/>
        <v/>
      </c>
      <c r="X1111" s="96"/>
      <c r="Y1111" s="97" t="str">
        <f t="shared" si="673"/>
        <v/>
      </c>
      <c r="Z1111" s="98" t="str">
        <f>SUBSTITUTE('Digitas UK Task 26'!$O1111, "Complet", "Not Requir")</f>
        <v/>
      </c>
      <c r="AA1111" s="98" t="str">
        <f t="shared" si="672"/>
        <v/>
      </c>
      <c r="AB1111" s="99"/>
      <c r="AF1111" s="84" t="str">
        <f t="shared" si="677"/>
        <v/>
      </c>
    </row>
    <row r="1112" spans="1:32" ht="15.75" customHeight="1" x14ac:dyDescent="0.3">
      <c r="A1112" s="85" t="str">
        <f t="shared" si="670"/>
        <v/>
      </c>
      <c r="C1112" s="87"/>
      <c r="E1112" s="87"/>
      <c r="H1112" s="87"/>
      <c r="I1112" s="87"/>
      <c r="O1112" s="90" t="str">
        <f t="shared" si="674"/>
        <v/>
      </c>
      <c r="Q1112" s="91" t="str">
        <f t="shared" si="675"/>
        <v/>
      </c>
      <c r="R1112" s="91" t="str">
        <f t="shared" si="678"/>
        <v/>
      </c>
      <c r="S1112" s="92" t="str">
        <f t="shared" si="676"/>
        <v/>
      </c>
      <c r="T1112" s="93"/>
      <c r="U1112" s="94" t="str">
        <f t="shared" si="671"/>
        <v/>
      </c>
      <c r="X1112" s="96"/>
      <c r="Y1112" s="97" t="str">
        <f t="shared" si="673"/>
        <v/>
      </c>
      <c r="Z1112" s="98" t="str">
        <f>SUBSTITUTE('Digitas UK Task 26'!$O1112, "Complet", "Not Requir")</f>
        <v/>
      </c>
      <c r="AA1112" s="98" t="str">
        <f t="shared" si="672"/>
        <v/>
      </c>
      <c r="AB1112" s="99"/>
      <c r="AF1112" s="84" t="str">
        <f t="shared" si="677"/>
        <v/>
      </c>
    </row>
    <row r="1113" spans="1:32" ht="15.75" customHeight="1" x14ac:dyDescent="0.3">
      <c r="A1113" s="85" t="str">
        <f t="shared" si="670"/>
        <v/>
      </c>
      <c r="C1113" s="87"/>
      <c r="E1113" s="87"/>
      <c r="H1113" s="87"/>
      <c r="I1113" s="87"/>
      <c r="O1113" s="90" t="str">
        <f t="shared" si="674"/>
        <v/>
      </c>
      <c r="Q1113" s="91" t="str">
        <f t="shared" si="675"/>
        <v/>
      </c>
      <c r="R1113" s="91" t="str">
        <f t="shared" si="678"/>
        <v/>
      </c>
      <c r="S1113" s="92" t="str">
        <f t="shared" si="676"/>
        <v/>
      </c>
      <c r="T1113" s="93"/>
      <c r="U1113" s="94" t="str">
        <f t="shared" si="671"/>
        <v/>
      </c>
      <c r="X1113" s="96"/>
      <c r="Y1113" s="97" t="str">
        <f t="shared" si="673"/>
        <v/>
      </c>
      <c r="Z1113" s="98" t="str">
        <f>SUBSTITUTE('Digitas UK Task 26'!$O1113, "Complet", "Not Requir")</f>
        <v/>
      </c>
      <c r="AA1113" s="98" t="str">
        <f t="shared" si="672"/>
        <v/>
      </c>
      <c r="AB1113" s="99"/>
      <c r="AF1113" s="84" t="str">
        <f t="shared" si="677"/>
        <v/>
      </c>
    </row>
    <row r="1114" spans="1:32" ht="15.75" customHeight="1" x14ac:dyDescent="0.3">
      <c r="A1114" s="85" t="str">
        <f t="shared" si="670"/>
        <v/>
      </c>
      <c r="C1114" s="87"/>
      <c r="E1114" s="87"/>
      <c r="H1114" s="87"/>
      <c r="I1114" s="87"/>
      <c r="O1114" s="90" t="str">
        <f t="shared" si="674"/>
        <v/>
      </c>
      <c r="Q1114" s="91" t="str">
        <f t="shared" si="675"/>
        <v/>
      </c>
      <c r="R1114" s="91" t="str">
        <f t="shared" si="678"/>
        <v/>
      </c>
      <c r="S1114" s="92" t="str">
        <f t="shared" si="676"/>
        <v/>
      </c>
      <c r="T1114" s="93"/>
      <c r="U1114" s="94" t="str">
        <f t="shared" si="671"/>
        <v/>
      </c>
      <c r="X1114" s="96"/>
      <c r="Y1114" s="97" t="str">
        <f t="shared" si="673"/>
        <v/>
      </c>
      <c r="Z1114" s="98" t="str">
        <f>SUBSTITUTE('Digitas UK Task 26'!$O1114, "Complet", "Not Requir")</f>
        <v/>
      </c>
      <c r="AA1114" s="98" t="str">
        <f t="shared" si="672"/>
        <v/>
      </c>
      <c r="AB1114" s="99"/>
      <c r="AF1114" s="84" t="str">
        <f t="shared" si="677"/>
        <v/>
      </c>
    </row>
    <row r="1115" spans="1:32" ht="15.75" customHeight="1" x14ac:dyDescent="0.3">
      <c r="A1115" s="85" t="str">
        <f t="shared" si="670"/>
        <v/>
      </c>
      <c r="C1115" s="87"/>
      <c r="E1115" s="87"/>
      <c r="H1115" s="87"/>
      <c r="I1115" s="87"/>
      <c r="O1115" s="90" t="str">
        <f t="shared" si="674"/>
        <v/>
      </c>
      <c r="Q1115" s="91" t="str">
        <f t="shared" si="675"/>
        <v/>
      </c>
      <c r="R1115" s="91" t="str">
        <f t="shared" si="678"/>
        <v/>
      </c>
      <c r="S1115" s="92" t="str">
        <f t="shared" si="676"/>
        <v/>
      </c>
      <c r="T1115" s="93"/>
      <c r="U1115" s="94" t="str">
        <f t="shared" si="671"/>
        <v/>
      </c>
      <c r="X1115" s="96"/>
      <c r="Y1115" s="97" t="str">
        <f t="shared" si="673"/>
        <v/>
      </c>
      <c r="Z1115" s="98" t="str">
        <f>SUBSTITUTE('Digitas UK Task 26'!$O1115, "Complet", "Not Requir")</f>
        <v/>
      </c>
      <c r="AA1115" s="98" t="str">
        <f t="shared" si="672"/>
        <v/>
      </c>
      <c r="AB1115" s="99"/>
      <c r="AF1115" s="84" t="str">
        <f t="shared" si="677"/>
        <v/>
      </c>
    </row>
    <row r="1116" spans="1:32" ht="15.75" customHeight="1" x14ac:dyDescent="0.3">
      <c r="A1116" s="85" t="str">
        <f t="shared" si="670"/>
        <v/>
      </c>
      <c r="C1116" s="87"/>
      <c r="E1116" s="87"/>
      <c r="H1116" s="87"/>
      <c r="I1116" s="87"/>
      <c r="O1116" s="90" t="str">
        <f t="shared" si="674"/>
        <v/>
      </c>
      <c r="Q1116" s="91" t="str">
        <f t="shared" si="675"/>
        <v/>
      </c>
      <c r="R1116" s="91" t="str">
        <f t="shared" si="678"/>
        <v/>
      </c>
      <c r="S1116" s="92" t="str">
        <f t="shared" si="676"/>
        <v/>
      </c>
      <c r="T1116" s="93"/>
      <c r="U1116" s="94" t="str">
        <f t="shared" si="671"/>
        <v/>
      </c>
      <c r="X1116" s="96"/>
      <c r="Y1116" s="97" t="str">
        <f t="shared" si="673"/>
        <v/>
      </c>
      <c r="Z1116" s="98" t="str">
        <f>SUBSTITUTE('Digitas UK Task 26'!$O1116, "Complet", "Not Requir")</f>
        <v/>
      </c>
      <c r="AA1116" s="98" t="str">
        <f t="shared" si="672"/>
        <v/>
      </c>
      <c r="AB1116" s="99"/>
      <c r="AF1116" s="84" t="str">
        <f t="shared" si="677"/>
        <v/>
      </c>
    </row>
    <row r="1117" spans="1:32" ht="15.75" customHeight="1" x14ac:dyDescent="0.3">
      <c r="A1117" s="85" t="str">
        <f t="shared" si="670"/>
        <v/>
      </c>
      <c r="C1117" s="87"/>
      <c r="E1117" s="87"/>
      <c r="H1117" s="87"/>
      <c r="I1117" s="87"/>
      <c r="O1117" s="90" t="str">
        <f t="shared" si="674"/>
        <v/>
      </c>
      <c r="Q1117" s="91" t="str">
        <f t="shared" si="675"/>
        <v/>
      </c>
      <c r="R1117" s="91" t="str">
        <f t="shared" si="678"/>
        <v/>
      </c>
      <c r="S1117" s="92" t="str">
        <f t="shared" si="676"/>
        <v/>
      </c>
      <c r="T1117" s="93"/>
      <c r="U1117" s="94" t="str">
        <f t="shared" si="671"/>
        <v/>
      </c>
      <c r="X1117" s="96"/>
      <c r="Y1117" s="97" t="str">
        <f t="shared" si="673"/>
        <v/>
      </c>
      <c r="Z1117" s="98" t="str">
        <f>SUBSTITUTE('Digitas UK Task 26'!$O1117, "Complet", "Not Requir")</f>
        <v/>
      </c>
      <c r="AA1117" s="98" t="str">
        <f t="shared" si="672"/>
        <v/>
      </c>
      <c r="AB1117" s="99"/>
      <c r="AF1117" s="84" t="str">
        <f t="shared" si="677"/>
        <v/>
      </c>
    </row>
    <row r="1118" spans="1:32" ht="15.75" customHeight="1" x14ac:dyDescent="0.3">
      <c r="A1118" s="85" t="str">
        <f t="shared" si="670"/>
        <v/>
      </c>
      <c r="C1118" s="87"/>
      <c r="E1118" s="87"/>
      <c r="H1118" s="87"/>
      <c r="I1118" s="87"/>
      <c r="O1118" s="90" t="str">
        <f t="shared" si="674"/>
        <v/>
      </c>
      <c r="Q1118" s="91" t="str">
        <f t="shared" si="675"/>
        <v/>
      </c>
      <c r="R1118" s="91" t="str">
        <f t="shared" si="678"/>
        <v/>
      </c>
      <c r="S1118" s="92" t="str">
        <f t="shared" si="676"/>
        <v/>
      </c>
      <c r="T1118" s="93"/>
      <c r="U1118" s="94" t="str">
        <f t="shared" si="671"/>
        <v/>
      </c>
      <c r="X1118" s="96"/>
      <c r="Y1118" s="97" t="str">
        <f t="shared" si="673"/>
        <v/>
      </c>
      <c r="Z1118" s="98" t="str">
        <f>SUBSTITUTE('Digitas UK Task 26'!$O1118, "Complet", "Not Requir")</f>
        <v/>
      </c>
      <c r="AA1118" s="98" t="str">
        <f t="shared" si="672"/>
        <v/>
      </c>
      <c r="AB1118" s="99"/>
      <c r="AF1118" s="84" t="str">
        <f t="shared" si="677"/>
        <v/>
      </c>
    </row>
    <row r="1119" spans="1:32" ht="15.75" customHeight="1" x14ac:dyDescent="0.3">
      <c r="A1119" s="85" t="str">
        <f t="shared" si="670"/>
        <v/>
      </c>
      <c r="C1119" s="87"/>
      <c r="E1119" s="87"/>
      <c r="H1119" s="87"/>
      <c r="I1119" s="87"/>
      <c r="O1119" s="90" t="str">
        <f t="shared" si="674"/>
        <v/>
      </c>
      <c r="Q1119" s="91" t="str">
        <f t="shared" si="675"/>
        <v/>
      </c>
      <c r="R1119" s="91" t="str">
        <f t="shared" si="678"/>
        <v/>
      </c>
      <c r="S1119" s="92" t="str">
        <f t="shared" si="676"/>
        <v/>
      </c>
      <c r="T1119" s="93"/>
      <c r="U1119" s="94" t="str">
        <f t="shared" si="671"/>
        <v/>
      </c>
      <c r="X1119" s="96"/>
      <c r="Y1119" s="97" t="str">
        <f t="shared" si="673"/>
        <v/>
      </c>
      <c r="Z1119" s="98" t="str">
        <f>SUBSTITUTE('Digitas UK Task 26'!$O1119, "Complet", "Not Requir")</f>
        <v/>
      </c>
      <c r="AA1119" s="98" t="str">
        <f t="shared" si="672"/>
        <v/>
      </c>
      <c r="AB1119" s="99"/>
      <c r="AF1119" s="84" t="str">
        <f t="shared" si="677"/>
        <v/>
      </c>
    </row>
    <row r="1120" spans="1:32" ht="15.75" customHeight="1" x14ac:dyDescent="0.3">
      <c r="A1120" s="85" t="str">
        <f t="shared" si="670"/>
        <v/>
      </c>
      <c r="C1120" s="87"/>
      <c r="E1120" s="87"/>
      <c r="H1120" s="87"/>
      <c r="I1120" s="87"/>
      <c r="O1120" s="90" t="str">
        <f t="shared" si="674"/>
        <v/>
      </c>
      <c r="Q1120" s="91" t="str">
        <f t="shared" si="675"/>
        <v/>
      </c>
      <c r="R1120" s="91" t="str">
        <f t="shared" si="678"/>
        <v/>
      </c>
      <c r="S1120" s="92" t="str">
        <f t="shared" si="676"/>
        <v/>
      </c>
      <c r="T1120" s="93"/>
      <c r="U1120" s="94" t="str">
        <f t="shared" si="671"/>
        <v/>
      </c>
      <c r="X1120" s="96"/>
      <c r="Y1120" s="97" t="str">
        <f t="shared" si="673"/>
        <v/>
      </c>
      <c r="Z1120" s="98" t="str">
        <f>SUBSTITUTE('Digitas UK Task 26'!$O1120, "Complet", "Not Requir")</f>
        <v/>
      </c>
      <c r="AA1120" s="98" t="str">
        <f t="shared" si="672"/>
        <v/>
      </c>
      <c r="AB1120" s="99"/>
      <c r="AF1120" s="84" t="str">
        <f t="shared" si="677"/>
        <v/>
      </c>
    </row>
    <row r="1121" spans="1:32" ht="15.75" customHeight="1" x14ac:dyDescent="0.3">
      <c r="A1121" s="85" t="str">
        <f t="shared" ref="A1121:A1184" si="679">IF(B1121="","",TEXT(B1121,"MMM : DDDD"))</f>
        <v/>
      </c>
      <c r="C1121" s="87"/>
      <c r="E1121" s="87"/>
      <c r="H1121" s="87"/>
      <c r="I1121" s="87"/>
      <c r="O1121" s="90" t="str">
        <f t="shared" si="674"/>
        <v/>
      </c>
      <c r="Q1121" s="91" t="str">
        <f t="shared" si="675"/>
        <v/>
      </c>
      <c r="R1121" s="91" t="str">
        <f t="shared" si="678"/>
        <v/>
      </c>
      <c r="S1121" s="92" t="str">
        <f t="shared" si="676"/>
        <v/>
      </c>
      <c r="T1121" s="93"/>
      <c r="U1121" s="94" t="str">
        <f t="shared" ref="U1121:U1184" si="680">IF(O1121="Completed","Pending","")</f>
        <v/>
      </c>
      <c r="X1121" s="96"/>
      <c r="Y1121" s="97" t="str">
        <f t="shared" si="673"/>
        <v/>
      </c>
      <c r="Z1121" s="98" t="str">
        <f>SUBSTITUTE('Digitas UK Task 26'!$O1121, "Complet", "Not Requir")</f>
        <v/>
      </c>
      <c r="AA1121" s="98" t="str">
        <f t="shared" ref="AA1121:AA1184" si="681">IF(G1121="","",G1121)</f>
        <v/>
      </c>
      <c r="AB1121" s="99"/>
      <c r="AF1121" s="84" t="str">
        <f t="shared" si="677"/>
        <v/>
      </c>
    </row>
    <row r="1122" spans="1:32" ht="15.75" customHeight="1" x14ac:dyDescent="0.3">
      <c r="A1122" s="85" t="str">
        <f t="shared" si="679"/>
        <v/>
      </c>
      <c r="C1122" s="87"/>
      <c r="E1122" s="87"/>
      <c r="H1122" s="87"/>
      <c r="I1122" s="87"/>
      <c r="O1122" s="90" t="str">
        <f t="shared" si="674"/>
        <v/>
      </c>
      <c r="Q1122" s="91" t="str">
        <f t="shared" si="675"/>
        <v/>
      </c>
      <c r="R1122" s="91" t="str">
        <f t="shared" si="678"/>
        <v/>
      </c>
      <c r="S1122" s="92" t="str">
        <f t="shared" si="676"/>
        <v/>
      </c>
      <c r="T1122" s="93"/>
      <c r="U1122" s="94" t="str">
        <f t="shared" si="680"/>
        <v/>
      </c>
      <c r="X1122" s="96"/>
      <c r="Y1122" s="97" t="str">
        <f t="shared" si="673"/>
        <v/>
      </c>
      <c r="Z1122" s="98" t="str">
        <f>SUBSTITUTE('Digitas UK Task 26'!$O1122, "Complet", "Not Requir")</f>
        <v/>
      </c>
      <c r="AA1122" s="98" t="str">
        <f t="shared" si="681"/>
        <v/>
      </c>
      <c r="AB1122" s="99"/>
      <c r="AF1122" s="84" t="str">
        <f t="shared" si="677"/>
        <v/>
      </c>
    </row>
    <row r="1123" spans="1:32" ht="15.75" customHeight="1" x14ac:dyDescent="0.3">
      <c r="A1123" s="85" t="str">
        <f t="shared" si="679"/>
        <v/>
      </c>
      <c r="C1123" s="87"/>
      <c r="E1123" s="87"/>
      <c r="H1123" s="87"/>
      <c r="I1123" s="87"/>
      <c r="O1123" s="90" t="str">
        <f t="shared" si="674"/>
        <v/>
      </c>
      <c r="Q1123" s="91" t="str">
        <f t="shared" si="675"/>
        <v/>
      </c>
      <c r="R1123" s="91" t="str">
        <f t="shared" si="678"/>
        <v/>
      </c>
      <c r="S1123" s="92" t="str">
        <f t="shared" si="676"/>
        <v/>
      </c>
      <c r="T1123" s="93"/>
      <c r="U1123" s="94" t="str">
        <f t="shared" si="680"/>
        <v/>
      </c>
      <c r="X1123" s="96"/>
      <c r="Y1123" s="97" t="str">
        <f t="shared" si="673"/>
        <v/>
      </c>
      <c r="Z1123" s="98" t="str">
        <f>SUBSTITUTE('Digitas UK Task 26'!$O1123, "Complet", "Not Requir")</f>
        <v/>
      </c>
      <c r="AA1123" s="98" t="str">
        <f t="shared" si="681"/>
        <v/>
      </c>
      <c r="AB1123" s="99"/>
      <c r="AF1123" s="84" t="str">
        <f t="shared" si="677"/>
        <v/>
      </c>
    </row>
    <row r="1124" spans="1:32" ht="15.75" customHeight="1" x14ac:dyDescent="0.3">
      <c r="A1124" s="85" t="str">
        <f t="shared" si="679"/>
        <v/>
      </c>
      <c r="C1124" s="87"/>
      <c r="E1124" s="87"/>
      <c r="H1124" s="87"/>
      <c r="I1124" s="87"/>
      <c r="O1124" s="90" t="str">
        <f t="shared" si="674"/>
        <v/>
      </c>
      <c r="Q1124" s="91" t="str">
        <f t="shared" si="675"/>
        <v/>
      </c>
      <c r="R1124" s="91" t="str">
        <f t="shared" si="678"/>
        <v/>
      </c>
      <c r="S1124" s="92" t="str">
        <f t="shared" si="676"/>
        <v/>
      </c>
      <c r="T1124" s="93"/>
      <c r="U1124" s="94" t="str">
        <f t="shared" si="680"/>
        <v/>
      </c>
      <c r="X1124" s="96"/>
      <c r="Y1124" s="97" t="str">
        <f t="shared" si="673"/>
        <v/>
      </c>
      <c r="Z1124" s="98" t="str">
        <f>SUBSTITUTE('Digitas UK Task 26'!$O1124, "Complet", "Not Requir")</f>
        <v/>
      </c>
      <c r="AA1124" s="98" t="str">
        <f t="shared" si="681"/>
        <v/>
      </c>
      <c r="AB1124" s="99"/>
      <c r="AF1124" s="84" t="str">
        <f t="shared" si="677"/>
        <v/>
      </c>
    </row>
    <row r="1125" spans="1:32" ht="15.75" customHeight="1" x14ac:dyDescent="0.3">
      <c r="A1125" s="85" t="str">
        <f t="shared" si="679"/>
        <v/>
      </c>
      <c r="C1125" s="87"/>
      <c r="E1125" s="87"/>
      <c r="H1125" s="87"/>
      <c r="I1125" s="87"/>
      <c r="O1125" s="90" t="str">
        <f t="shared" si="674"/>
        <v/>
      </c>
      <c r="Q1125" s="91" t="str">
        <f t="shared" si="675"/>
        <v/>
      </c>
      <c r="R1125" s="91" t="str">
        <f t="shared" si="678"/>
        <v/>
      </c>
      <c r="S1125" s="92" t="str">
        <f t="shared" si="676"/>
        <v/>
      </c>
      <c r="T1125" s="93"/>
      <c r="U1125" s="94" t="str">
        <f t="shared" si="680"/>
        <v/>
      </c>
      <c r="X1125" s="96"/>
      <c r="Y1125" s="97" t="str">
        <f t="shared" si="673"/>
        <v/>
      </c>
      <c r="Z1125" s="98" t="str">
        <f>SUBSTITUTE('Digitas UK Task 26'!$O1125, "Complet", "Not Requir")</f>
        <v/>
      </c>
      <c r="AA1125" s="98" t="str">
        <f t="shared" si="681"/>
        <v/>
      </c>
      <c r="AB1125" s="99"/>
      <c r="AF1125" s="84" t="str">
        <f t="shared" si="677"/>
        <v/>
      </c>
    </row>
    <row r="1126" spans="1:32" ht="15.75" customHeight="1" x14ac:dyDescent="0.3">
      <c r="A1126" s="85" t="str">
        <f t="shared" si="679"/>
        <v/>
      </c>
      <c r="C1126" s="87"/>
      <c r="E1126" s="87"/>
      <c r="H1126" s="87"/>
      <c r="I1126" s="87"/>
      <c r="O1126" s="90" t="str">
        <f t="shared" si="674"/>
        <v/>
      </c>
      <c r="Q1126" s="91" t="str">
        <f t="shared" si="675"/>
        <v/>
      </c>
      <c r="R1126" s="91" t="str">
        <f t="shared" si="678"/>
        <v/>
      </c>
      <c r="S1126" s="92" t="str">
        <f t="shared" si="676"/>
        <v/>
      </c>
      <c r="T1126" s="93"/>
      <c r="U1126" s="94" t="str">
        <f t="shared" si="680"/>
        <v/>
      </c>
      <c r="X1126" s="96"/>
      <c r="Y1126" s="97" t="str">
        <f t="shared" si="673"/>
        <v/>
      </c>
      <c r="Z1126" s="98" t="str">
        <f>SUBSTITUTE('Digitas UK Task 26'!$O1126, "Complet", "Not Requir")</f>
        <v/>
      </c>
      <c r="AA1126" s="98" t="str">
        <f t="shared" si="681"/>
        <v/>
      </c>
      <c r="AB1126" s="99"/>
      <c r="AF1126" s="84" t="str">
        <f t="shared" si="677"/>
        <v/>
      </c>
    </row>
    <row r="1127" spans="1:32" ht="15.75" customHeight="1" x14ac:dyDescent="0.3">
      <c r="A1127" s="85" t="str">
        <f t="shared" si="679"/>
        <v/>
      </c>
      <c r="C1127" s="87"/>
      <c r="E1127" s="87"/>
      <c r="H1127" s="87"/>
      <c r="I1127" s="87"/>
      <c r="O1127" s="90" t="str">
        <f t="shared" si="674"/>
        <v/>
      </c>
      <c r="Q1127" s="91" t="str">
        <f t="shared" si="675"/>
        <v/>
      </c>
      <c r="R1127" s="91" t="str">
        <f t="shared" si="678"/>
        <v/>
      </c>
      <c r="S1127" s="92" t="str">
        <f t="shared" si="676"/>
        <v/>
      </c>
      <c r="T1127" s="93"/>
      <c r="U1127" s="94" t="str">
        <f t="shared" si="680"/>
        <v/>
      </c>
      <c r="X1127" s="96"/>
      <c r="Y1127" s="97" t="str">
        <f t="shared" ref="Y1127:Y1190" si="682">IF(M1127="","",M1127)</f>
        <v/>
      </c>
      <c r="Z1127" s="98" t="str">
        <f>SUBSTITUTE('Digitas UK Task 26'!$O1127, "Complet", "Not Requir")</f>
        <v/>
      </c>
      <c r="AA1127" s="98" t="str">
        <f t="shared" si="681"/>
        <v/>
      </c>
      <c r="AB1127" s="99"/>
      <c r="AF1127" s="84" t="str">
        <f t="shared" si="677"/>
        <v/>
      </c>
    </row>
    <row r="1128" spans="1:32" ht="15.75" customHeight="1" x14ac:dyDescent="0.3">
      <c r="A1128" s="85" t="str">
        <f t="shared" si="679"/>
        <v/>
      </c>
      <c r="C1128" s="87"/>
      <c r="E1128" s="87"/>
      <c r="H1128" s="87"/>
      <c r="I1128" s="87"/>
      <c r="O1128" s="90" t="str">
        <f t="shared" si="674"/>
        <v/>
      </c>
      <c r="Q1128" s="91" t="str">
        <f t="shared" si="675"/>
        <v/>
      </c>
      <c r="R1128" s="91" t="str">
        <f t="shared" si="678"/>
        <v/>
      </c>
      <c r="S1128" s="92" t="str">
        <f t="shared" si="676"/>
        <v/>
      </c>
      <c r="T1128" s="93"/>
      <c r="U1128" s="94" t="str">
        <f t="shared" si="680"/>
        <v/>
      </c>
      <c r="X1128" s="96"/>
      <c r="Y1128" s="97" t="str">
        <f t="shared" si="682"/>
        <v/>
      </c>
      <c r="Z1128" s="98" t="str">
        <f>SUBSTITUTE('Digitas UK Task 26'!$O1128, "Complet", "Not Requir")</f>
        <v/>
      </c>
      <c r="AA1128" s="98" t="str">
        <f t="shared" si="681"/>
        <v/>
      </c>
      <c r="AB1128" s="99"/>
      <c r="AF1128" s="84" t="str">
        <f t="shared" si="677"/>
        <v/>
      </c>
    </row>
    <row r="1129" spans="1:32" ht="15.75" customHeight="1" x14ac:dyDescent="0.3">
      <c r="A1129" s="85" t="str">
        <f t="shared" si="679"/>
        <v/>
      </c>
      <c r="C1129" s="87"/>
      <c r="E1129" s="87"/>
      <c r="H1129" s="87"/>
      <c r="I1129" s="87"/>
      <c r="O1129" s="90" t="str">
        <f t="shared" si="674"/>
        <v/>
      </c>
      <c r="Q1129" s="91" t="str">
        <f t="shared" si="675"/>
        <v/>
      </c>
      <c r="R1129" s="91" t="str">
        <f t="shared" si="678"/>
        <v/>
      </c>
      <c r="S1129" s="92" t="str">
        <f t="shared" si="676"/>
        <v/>
      </c>
      <c r="T1129" s="93"/>
      <c r="U1129" s="94" t="str">
        <f t="shared" si="680"/>
        <v/>
      </c>
      <c r="X1129" s="96"/>
      <c r="Y1129" s="97" t="str">
        <f t="shared" si="682"/>
        <v/>
      </c>
      <c r="Z1129" s="98" t="str">
        <f>SUBSTITUTE('Digitas UK Task 26'!$O1129, "Complet", "Not Requir")</f>
        <v/>
      </c>
      <c r="AA1129" s="98" t="str">
        <f t="shared" si="681"/>
        <v/>
      </c>
      <c r="AB1129" s="99"/>
      <c r="AF1129" s="84" t="str">
        <f t="shared" si="677"/>
        <v/>
      </c>
    </row>
    <row r="1130" spans="1:32" ht="15.75" customHeight="1" x14ac:dyDescent="0.3">
      <c r="A1130" s="85" t="str">
        <f t="shared" si="679"/>
        <v/>
      </c>
      <c r="C1130" s="87"/>
      <c r="E1130" s="87"/>
      <c r="H1130" s="87"/>
      <c r="I1130" s="87"/>
      <c r="O1130" s="90" t="str">
        <f t="shared" si="674"/>
        <v/>
      </c>
      <c r="Q1130" s="91" t="str">
        <f t="shared" si="675"/>
        <v/>
      </c>
      <c r="R1130" s="91" t="str">
        <f t="shared" si="678"/>
        <v/>
      </c>
      <c r="S1130" s="92" t="str">
        <f t="shared" si="676"/>
        <v/>
      </c>
      <c r="T1130" s="93"/>
      <c r="U1130" s="94" t="str">
        <f t="shared" si="680"/>
        <v/>
      </c>
      <c r="X1130" s="96"/>
      <c r="Y1130" s="97" t="str">
        <f t="shared" si="682"/>
        <v/>
      </c>
      <c r="Z1130" s="98" t="str">
        <f>SUBSTITUTE('Digitas UK Task 26'!$O1130, "Complet", "Not Requir")</f>
        <v/>
      </c>
      <c r="AA1130" s="98" t="str">
        <f t="shared" si="681"/>
        <v/>
      </c>
      <c r="AB1130" s="99"/>
      <c r="AF1130" s="84" t="str">
        <f t="shared" si="677"/>
        <v/>
      </c>
    </row>
    <row r="1131" spans="1:32" ht="15.75" customHeight="1" x14ac:dyDescent="0.3">
      <c r="A1131" s="85" t="str">
        <f t="shared" si="679"/>
        <v/>
      </c>
      <c r="C1131" s="87"/>
      <c r="E1131" s="87"/>
      <c r="H1131" s="87"/>
      <c r="I1131" s="87"/>
      <c r="O1131" s="90" t="str">
        <f t="shared" si="674"/>
        <v/>
      </c>
      <c r="Q1131" s="91" t="str">
        <f t="shared" si="675"/>
        <v/>
      </c>
      <c r="R1131" s="91" t="str">
        <f t="shared" si="678"/>
        <v/>
      </c>
      <c r="S1131" s="92" t="str">
        <f t="shared" si="676"/>
        <v/>
      </c>
      <c r="T1131" s="93"/>
      <c r="U1131" s="94" t="str">
        <f t="shared" si="680"/>
        <v/>
      </c>
      <c r="X1131" s="96"/>
      <c r="Y1131" s="97" t="str">
        <f t="shared" si="682"/>
        <v/>
      </c>
      <c r="Z1131" s="98" t="str">
        <f>SUBSTITUTE('Digitas UK Task 26'!$O1131, "Complet", "Not Requir")</f>
        <v/>
      </c>
      <c r="AA1131" s="98" t="str">
        <f t="shared" si="681"/>
        <v/>
      </c>
      <c r="AB1131" s="99"/>
      <c r="AF1131" s="84" t="str">
        <f t="shared" si="677"/>
        <v/>
      </c>
    </row>
    <row r="1132" spans="1:32" ht="15.75" customHeight="1" x14ac:dyDescent="0.3">
      <c r="A1132" s="85" t="str">
        <f t="shared" si="679"/>
        <v/>
      </c>
      <c r="C1132" s="87"/>
      <c r="E1132" s="87"/>
      <c r="H1132" s="87"/>
      <c r="I1132" s="87"/>
      <c r="O1132" s="90" t="str">
        <f t="shared" si="674"/>
        <v/>
      </c>
      <c r="Q1132" s="91" t="str">
        <f t="shared" si="675"/>
        <v/>
      </c>
      <c r="R1132" s="91" t="str">
        <f t="shared" si="678"/>
        <v/>
      </c>
      <c r="S1132" s="92" t="str">
        <f t="shared" si="676"/>
        <v/>
      </c>
      <c r="T1132" s="93"/>
      <c r="U1132" s="94" t="str">
        <f t="shared" si="680"/>
        <v/>
      </c>
      <c r="X1132" s="96"/>
      <c r="Y1132" s="97" t="str">
        <f t="shared" si="682"/>
        <v/>
      </c>
      <c r="Z1132" s="98" t="str">
        <f>SUBSTITUTE('Digitas UK Task 26'!$O1132, "Complet", "Not Requir")</f>
        <v/>
      </c>
      <c r="AA1132" s="98" t="str">
        <f t="shared" si="681"/>
        <v/>
      </c>
      <c r="AB1132" s="99"/>
      <c r="AF1132" s="84" t="str">
        <f t="shared" si="677"/>
        <v/>
      </c>
    </row>
    <row r="1133" spans="1:32" ht="15.75" customHeight="1" x14ac:dyDescent="0.3">
      <c r="A1133" s="85" t="str">
        <f t="shared" si="679"/>
        <v/>
      </c>
      <c r="C1133" s="87"/>
      <c r="E1133" s="87"/>
      <c r="H1133" s="87"/>
      <c r="I1133" s="87"/>
      <c r="O1133" s="90" t="str">
        <f t="shared" si="674"/>
        <v/>
      </c>
      <c r="Q1133" s="91" t="str">
        <f t="shared" si="675"/>
        <v/>
      </c>
      <c r="R1133" s="91" t="str">
        <f t="shared" si="678"/>
        <v/>
      </c>
      <c r="S1133" s="92" t="str">
        <f t="shared" si="676"/>
        <v/>
      </c>
      <c r="T1133" s="93"/>
      <c r="U1133" s="94" t="str">
        <f t="shared" si="680"/>
        <v/>
      </c>
      <c r="X1133" s="96"/>
      <c r="Y1133" s="97" t="str">
        <f t="shared" si="682"/>
        <v/>
      </c>
      <c r="Z1133" s="98" t="str">
        <f>SUBSTITUTE('Digitas UK Task 26'!$O1133, "Complet", "Not Requir")</f>
        <v/>
      </c>
      <c r="AA1133" s="98" t="str">
        <f t="shared" si="681"/>
        <v/>
      </c>
      <c r="AB1133" s="99"/>
      <c r="AF1133" s="84" t="str">
        <f t="shared" si="677"/>
        <v/>
      </c>
    </row>
    <row r="1134" spans="1:32" ht="15.75" customHeight="1" x14ac:dyDescent="0.3">
      <c r="A1134" s="85" t="str">
        <f t="shared" si="679"/>
        <v/>
      </c>
      <c r="C1134" s="87"/>
      <c r="E1134" s="87"/>
      <c r="H1134" s="87"/>
      <c r="I1134" s="87"/>
      <c r="O1134" s="90" t="str">
        <f t="shared" si="674"/>
        <v/>
      </c>
      <c r="Q1134" s="91" t="str">
        <f t="shared" si="675"/>
        <v/>
      </c>
      <c r="R1134" s="91" t="str">
        <f t="shared" si="678"/>
        <v/>
      </c>
      <c r="S1134" s="92" t="str">
        <f t="shared" si="676"/>
        <v/>
      </c>
      <c r="T1134" s="93"/>
      <c r="U1134" s="94" t="str">
        <f t="shared" si="680"/>
        <v/>
      </c>
      <c r="X1134" s="96"/>
      <c r="Y1134" s="97" t="str">
        <f t="shared" si="682"/>
        <v/>
      </c>
      <c r="Z1134" s="98" t="str">
        <f>SUBSTITUTE('Digitas UK Task 26'!$O1134, "Complet", "Not Requir")</f>
        <v/>
      </c>
      <c r="AA1134" s="98" t="str">
        <f t="shared" si="681"/>
        <v/>
      </c>
      <c r="AB1134" s="99"/>
      <c r="AF1134" s="84" t="str">
        <f t="shared" si="677"/>
        <v/>
      </c>
    </row>
    <row r="1135" spans="1:32" ht="15.75" customHeight="1" x14ac:dyDescent="0.3">
      <c r="A1135" s="85" t="str">
        <f t="shared" si="679"/>
        <v/>
      </c>
      <c r="C1135" s="87"/>
      <c r="E1135" s="87"/>
      <c r="H1135" s="87"/>
      <c r="I1135" s="87"/>
      <c r="O1135" s="90" t="str">
        <f t="shared" si="674"/>
        <v/>
      </c>
      <c r="Q1135" s="91" t="str">
        <f t="shared" si="675"/>
        <v/>
      </c>
      <c r="R1135" s="91" t="str">
        <f t="shared" si="678"/>
        <v/>
      </c>
      <c r="S1135" s="92" t="str">
        <f t="shared" si="676"/>
        <v/>
      </c>
      <c r="T1135" s="93"/>
      <c r="U1135" s="94" t="str">
        <f t="shared" si="680"/>
        <v/>
      </c>
      <c r="X1135" s="96"/>
      <c r="Y1135" s="97" t="str">
        <f t="shared" si="682"/>
        <v/>
      </c>
      <c r="Z1135" s="98" t="str">
        <f>SUBSTITUTE('Digitas UK Task 26'!$O1135, "Complet", "Not Requir")</f>
        <v/>
      </c>
      <c r="AA1135" s="98" t="str">
        <f t="shared" si="681"/>
        <v/>
      </c>
      <c r="AB1135" s="99"/>
      <c r="AF1135" s="84" t="str">
        <f t="shared" si="677"/>
        <v/>
      </c>
    </row>
    <row r="1136" spans="1:32" ht="15.75" customHeight="1" x14ac:dyDescent="0.3">
      <c r="A1136" s="85" t="str">
        <f t="shared" si="679"/>
        <v/>
      </c>
      <c r="C1136" s="87"/>
      <c r="E1136" s="87"/>
      <c r="H1136" s="87"/>
      <c r="I1136" s="87"/>
      <c r="O1136" s="90" t="str">
        <f t="shared" si="674"/>
        <v/>
      </c>
      <c r="Q1136" s="91" t="str">
        <f t="shared" si="675"/>
        <v/>
      </c>
      <c r="R1136" s="91" t="str">
        <f t="shared" si="678"/>
        <v/>
      </c>
      <c r="S1136" s="92" t="str">
        <f t="shared" si="676"/>
        <v/>
      </c>
      <c r="T1136" s="93"/>
      <c r="U1136" s="94" t="str">
        <f t="shared" si="680"/>
        <v/>
      </c>
      <c r="X1136" s="96"/>
      <c r="Y1136" s="97" t="str">
        <f t="shared" si="682"/>
        <v/>
      </c>
      <c r="Z1136" s="98" t="str">
        <f>SUBSTITUTE('Digitas UK Task 26'!$O1136, "Complet", "Not Requir")</f>
        <v/>
      </c>
      <c r="AA1136" s="98" t="str">
        <f t="shared" si="681"/>
        <v/>
      </c>
      <c r="AB1136" s="99"/>
      <c r="AF1136" s="84" t="str">
        <f t="shared" si="677"/>
        <v/>
      </c>
    </row>
    <row r="1137" spans="1:32" ht="15.75" customHeight="1" x14ac:dyDescent="0.3">
      <c r="A1137" s="85" t="str">
        <f t="shared" si="679"/>
        <v/>
      </c>
      <c r="C1137" s="87"/>
      <c r="E1137" s="87"/>
      <c r="H1137" s="87"/>
      <c r="I1137" s="87"/>
      <c r="O1137" s="90" t="str">
        <f t="shared" si="674"/>
        <v/>
      </c>
      <c r="Q1137" s="91" t="str">
        <f t="shared" si="675"/>
        <v/>
      </c>
      <c r="R1137" s="91" t="str">
        <f t="shared" si="678"/>
        <v/>
      </c>
      <c r="S1137" s="92" t="str">
        <f t="shared" si="676"/>
        <v/>
      </c>
      <c r="T1137" s="93"/>
      <c r="U1137" s="94" t="str">
        <f t="shared" si="680"/>
        <v/>
      </c>
      <c r="X1137" s="96"/>
      <c r="Y1137" s="97" t="str">
        <f t="shared" si="682"/>
        <v/>
      </c>
      <c r="Z1137" s="98" t="str">
        <f>SUBSTITUTE('Digitas UK Task 26'!$O1137, "Complet", "Not Requir")</f>
        <v/>
      </c>
      <c r="AA1137" s="98" t="str">
        <f t="shared" si="681"/>
        <v/>
      </c>
      <c r="AB1137" s="99"/>
      <c r="AF1137" s="84" t="str">
        <f t="shared" si="677"/>
        <v/>
      </c>
    </row>
    <row r="1138" spans="1:32" ht="15.75" customHeight="1" x14ac:dyDescent="0.3">
      <c r="A1138" s="85" t="str">
        <f t="shared" si="679"/>
        <v/>
      </c>
      <c r="C1138" s="87"/>
      <c r="E1138" s="87"/>
      <c r="H1138" s="87"/>
      <c r="I1138" s="87"/>
      <c r="O1138" s="90" t="str">
        <f t="shared" si="674"/>
        <v/>
      </c>
      <c r="Q1138" s="91" t="str">
        <f t="shared" si="675"/>
        <v/>
      </c>
      <c r="R1138" s="91" t="str">
        <f t="shared" si="678"/>
        <v/>
      </c>
      <c r="S1138" s="92" t="str">
        <f t="shared" si="676"/>
        <v/>
      </c>
      <c r="T1138" s="93"/>
      <c r="U1138" s="94" t="str">
        <f t="shared" si="680"/>
        <v/>
      </c>
      <c r="X1138" s="96"/>
      <c r="Y1138" s="97" t="str">
        <f t="shared" si="682"/>
        <v/>
      </c>
      <c r="Z1138" s="98" t="str">
        <f>SUBSTITUTE('Digitas UK Task 26'!$O1138, "Complet", "Not Requir")</f>
        <v/>
      </c>
      <c r="AA1138" s="98" t="str">
        <f t="shared" si="681"/>
        <v/>
      </c>
      <c r="AB1138" s="99"/>
      <c r="AF1138" s="84" t="str">
        <f t="shared" si="677"/>
        <v/>
      </c>
    </row>
    <row r="1139" spans="1:32" ht="15.75" customHeight="1" x14ac:dyDescent="0.3">
      <c r="A1139" s="85" t="str">
        <f t="shared" si="679"/>
        <v/>
      </c>
      <c r="C1139" s="87"/>
      <c r="E1139" s="87"/>
      <c r="H1139" s="87"/>
      <c r="I1139" s="87"/>
      <c r="O1139" s="90" t="str">
        <f t="shared" si="674"/>
        <v/>
      </c>
      <c r="Q1139" s="91" t="str">
        <f t="shared" si="675"/>
        <v/>
      </c>
      <c r="R1139" s="91" t="str">
        <f t="shared" si="678"/>
        <v/>
      </c>
      <c r="S1139" s="92" t="str">
        <f t="shared" si="676"/>
        <v/>
      </c>
      <c r="T1139" s="93"/>
      <c r="U1139" s="94" t="str">
        <f t="shared" si="680"/>
        <v/>
      </c>
      <c r="X1139" s="96"/>
      <c r="Y1139" s="97" t="str">
        <f t="shared" si="682"/>
        <v/>
      </c>
      <c r="Z1139" s="98" t="str">
        <f>SUBSTITUTE('Digitas UK Task 26'!$O1139, "Complet", "Not Requir")</f>
        <v/>
      </c>
      <c r="AA1139" s="98" t="str">
        <f t="shared" si="681"/>
        <v/>
      </c>
      <c r="AB1139" s="99"/>
      <c r="AF1139" s="84" t="str">
        <f t="shared" si="677"/>
        <v/>
      </c>
    </row>
    <row r="1140" spans="1:32" ht="15.75" customHeight="1" x14ac:dyDescent="0.3">
      <c r="A1140" s="85" t="str">
        <f t="shared" si="679"/>
        <v/>
      </c>
      <c r="C1140" s="87"/>
      <c r="E1140" s="87"/>
      <c r="H1140" s="87"/>
      <c r="I1140" s="87"/>
      <c r="O1140" s="90" t="str">
        <f t="shared" si="674"/>
        <v/>
      </c>
      <c r="Q1140" s="91" t="str">
        <f t="shared" si="675"/>
        <v/>
      </c>
      <c r="R1140" s="91" t="str">
        <f t="shared" si="678"/>
        <v/>
      </c>
      <c r="S1140" s="92" t="str">
        <f t="shared" si="676"/>
        <v/>
      </c>
      <c r="T1140" s="93"/>
      <c r="U1140" s="94" t="str">
        <f t="shared" si="680"/>
        <v/>
      </c>
      <c r="X1140" s="96"/>
      <c r="Y1140" s="97" t="str">
        <f t="shared" si="682"/>
        <v/>
      </c>
      <c r="Z1140" s="98" t="str">
        <f>SUBSTITUTE('Digitas UK Task 26'!$O1140, "Complet", "Not Requir")</f>
        <v/>
      </c>
      <c r="AA1140" s="98" t="str">
        <f t="shared" si="681"/>
        <v/>
      </c>
      <c r="AB1140" s="99"/>
      <c r="AF1140" s="84" t="str">
        <f t="shared" si="677"/>
        <v/>
      </c>
    </row>
    <row r="1141" spans="1:32" ht="15.75" customHeight="1" x14ac:dyDescent="0.3">
      <c r="A1141" s="85" t="str">
        <f t="shared" si="679"/>
        <v/>
      </c>
      <c r="C1141" s="87"/>
      <c r="E1141" s="87"/>
      <c r="H1141" s="87"/>
      <c r="I1141" s="87"/>
      <c r="O1141" s="90" t="str">
        <f t="shared" si="674"/>
        <v/>
      </c>
      <c r="Q1141" s="91" t="str">
        <f t="shared" si="675"/>
        <v/>
      </c>
      <c r="R1141" s="91" t="str">
        <f t="shared" si="678"/>
        <v/>
      </c>
      <c r="S1141" s="92" t="str">
        <f t="shared" si="676"/>
        <v/>
      </c>
      <c r="T1141" s="93"/>
      <c r="U1141" s="94" t="str">
        <f t="shared" si="680"/>
        <v/>
      </c>
      <c r="X1141" s="96"/>
      <c r="Y1141" s="97" t="str">
        <f t="shared" si="682"/>
        <v/>
      </c>
      <c r="Z1141" s="98" t="str">
        <f>SUBSTITUTE('Digitas UK Task 26'!$O1141, "Complet", "Not Requir")</f>
        <v/>
      </c>
      <c r="AA1141" s="98" t="str">
        <f t="shared" si="681"/>
        <v/>
      </c>
      <c r="AB1141" s="99"/>
      <c r="AF1141" s="84" t="str">
        <f t="shared" si="677"/>
        <v/>
      </c>
    </row>
    <row r="1142" spans="1:32" ht="15.75" customHeight="1" x14ac:dyDescent="0.3">
      <c r="A1142" s="85" t="str">
        <f t="shared" si="679"/>
        <v/>
      </c>
      <c r="C1142" s="87"/>
      <c r="E1142" s="87"/>
      <c r="H1142" s="87"/>
      <c r="I1142" s="87"/>
      <c r="O1142" s="90" t="str">
        <f t="shared" si="674"/>
        <v/>
      </c>
      <c r="Q1142" s="91" t="str">
        <f t="shared" si="675"/>
        <v/>
      </c>
      <c r="R1142" s="91" t="str">
        <f t="shared" si="678"/>
        <v/>
      </c>
      <c r="S1142" s="92" t="str">
        <f t="shared" si="676"/>
        <v/>
      </c>
      <c r="T1142" s="93"/>
      <c r="U1142" s="94" t="str">
        <f t="shared" si="680"/>
        <v/>
      </c>
      <c r="X1142" s="96"/>
      <c r="Y1142" s="97" t="str">
        <f t="shared" si="682"/>
        <v/>
      </c>
      <c r="Z1142" s="98" t="str">
        <f>SUBSTITUTE('Digitas UK Task 26'!$O1142, "Complet", "Not Requir")</f>
        <v/>
      </c>
      <c r="AA1142" s="98" t="str">
        <f t="shared" si="681"/>
        <v/>
      </c>
      <c r="AB1142" s="99"/>
      <c r="AF1142" s="84" t="str">
        <f t="shared" si="677"/>
        <v/>
      </c>
    </row>
    <row r="1143" spans="1:32" ht="15.75" customHeight="1" x14ac:dyDescent="0.3">
      <c r="A1143" s="85" t="str">
        <f t="shared" si="679"/>
        <v/>
      </c>
      <c r="C1143" s="87"/>
      <c r="E1143" s="87"/>
      <c r="H1143" s="87"/>
      <c r="I1143" s="87"/>
      <c r="O1143" s="90" t="str">
        <f t="shared" ref="O1143:O1206" si="683">IF(F1143="","","In-process")</f>
        <v/>
      </c>
      <c r="Q1143" s="91" t="str">
        <f t="shared" si="675"/>
        <v/>
      </c>
      <c r="R1143" s="91" t="str">
        <f t="shared" si="678"/>
        <v/>
      </c>
      <c r="S1143" s="92" t="str">
        <f t="shared" si="676"/>
        <v/>
      </c>
      <c r="T1143" s="93"/>
      <c r="U1143" s="94" t="str">
        <f t="shared" si="680"/>
        <v/>
      </c>
      <c r="X1143" s="96"/>
      <c r="Y1143" s="97" t="str">
        <f t="shared" si="682"/>
        <v/>
      </c>
      <c r="Z1143" s="98" t="str">
        <f>SUBSTITUTE('Digitas UK Task 26'!$O1143, "Complet", "Not Requir")</f>
        <v/>
      </c>
      <c r="AA1143" s="98" t="str">
        <f t="shared" si="681"/>
        <v/>
      </c>
      <c r="AB1143" s="99"/>
      <c r="AF1143" s="84" t="str">
        <f t="shared" si="677"/>
        <v/>
      </c>
    </row>
    <row r="1144" spans="1:32" ht="15.75" customHeight="1" x14ac:dyDescent="0.3">
      <c r="A1144" s="85" t="str">
        <f t="shared" si="679"/>
        <v/>
      </c>
      <c r="C1144" s="87"/>
      <c r="E1144" s="87"/>
      <c r="H1144" s="87"/>
      <c r="I1144" s="87"/>
      <c r="O1144" s="90" t="str">
        <f t="shared" si="683"/>
        <v/>
      </c>
      <c r="Q1144" s="91" t="str">
        <f t="shared" si="675"/>
        <v/>
      </c>
      <c r="R1144" s="91" t="str">
        <f t="shared" si="678"/>
        <v/>
      </c>
      <c r="S1144" s="92" t="str">
        <f t="shared" si="676"/>
        <v/>
      </c>
      <c r="T1144" s="93"/>
      <c r="U1144" s="94" t="str">
        <f t="shared" si="680"/>
        <v/>
      </c>
      <c r="X1144" s="96"/>
      <c r="Y1144" s="97" t="str">
        <f t="shared" si="682"/>
        <v/>
      </c>
      <c r="Z1144" s="98" t="str">
        <f>SUBSTITUTE('Digitas UK Task 26'!$O1144, "Complet", "Not Requir")</f>
        <v/>
      </c>
      <c r="AA1144" s="98" t="str">
        <f t="shared" si="681"/>
        <v/>
      </c>
      <c r="AB1144" s="99"/>
      <c r="AF1144" s="84" t="str">
        <f t="shared" si="677"/>
        <v/>
      </c>
    </row>
    <row r="1145" spans="1:32" ht="15.75" customHeight="1" x14ac:dyDescent="0.3">
      <c r="A1145" s="85" t="str">
        <f t="shared" si="679"/>
        <v/>
      </c>
      <c r="C1145" s="87"/>
      <c r="E1145" s="87"/>
      <c r="H1145" s="87"/>
      <c r="I1145" s="87"/>
      <c r="O1145" s="90" t="str">
        <f t="shared" si="683"/>
        <v/>
      </c>
      <c r="Q1145" s="91" t="str">
        <f t="shared" si="675"/>
        <v/>
      </c>
      <c r="R1145" s="91" t="str">
        <f t="shared" si="678"/>
        <v/>
      </c>
      <c r="S1145" s="92" t="str">
        <f t="shared" si="676"/>
        <v/>
      </c>
      <c r="T1145" s="93"/>
      <c r="U1145" s="94" t="str">
        <f t="shared" si="680"/>
        <v/>
      </c>
      <c r="X1145" s="96"/>
      <c r="Y1145" s="97" t="str">
        <f t="shared" si="682"/>
        <v/>
      </c>
      <c r="Z1145" s="98" t="str">
        <f>SUBSTITUTE('Digitas UK Task 26'!$O1145, "Complet", "Not Requir")</f>
        <v/>
      </c>
      <c r="AA1145" s="98" t="str">
        <f t="shared" si="681"/>
        <v/>
      </c>
      <c r="AB1145" s="99"/>
      <c r="AF1145" s="84" t="str">
        <f t="shared" si="677"/>
        <v/>
      </c>
    </row>
    <row r="1146" spans="1:32" ht="15.75" customHeight="1" x14ac:dyDescent="0.3">
      <c r="A1146" s="85" t="str">
        <f t="shared" si="679"/>
        <v/>
      </c>
      <c r="C1146" s="87"/>
      <c r="E1146" s="87"/>
      <c r="H1146" s="87"/>
      <c r="I1146" s="87"/>
      <c r="O1146" s="90" t="str">
        <f t="shared" si="683"/>
        <v/>
      </c>
      <c r="Q1146" s="91" t="str">
        <f t="shared" si="675"/>
        <v/>
      </c>
      <c r="R1146" s="91" t="str">
        <f t="shared" si="678"/>
        <v/>
      </c>
      <c r="S1146" s="92" t="str">
        <f t="shared" si="676"/>
        <v/>
      </c>
      <c r="T1146" s="93"/>
      <c r="U1146" s="94" t="str">
        <f t="shared" si="680"/>
        <v/>
      </c>
      <c r="X1146" s="96"/>
      <c r="Y1146" s="97" t="str">
        <f t="shared" si="682"/>
        <v/>
      </c>
      <c r="Z1146" s="98" t="str">
        <f>SUBSTITUTE('Digitas UK Task 26'!$O1146, "Complet", "Not Requir")</f>
        <v/>
      </c>
      <c r="AA1146" s="98" t="str">
        <f t="shared" si="681"/>
        <v/>
      </c>
      <c r="AB1146" s="99"/>
      <c r="AF1146" s="84" t="str">
        <f t="shared" si="677"/>
        <v/>
      </c>
    </row>
    <row r="1147" spans="1:32" ht="15.75" customHeight="1" x14ac:dyDescent="0.3">
      <c r="A1147" s="85" t="str">
        <f t="shared" si="679"/>
        <v/>
      </c>
      <c r="C1147" s="87"/>
      <c r="E1147" s="87"/>
      <c r="H1147" s="87"/>
      <c r="I1147" s="87"/>
      <c r="O1147" s="90" t="str">
        <f t="shared" si="683"/>
        <v/>
      </c>
      <c r="Q1147" s="91" t="str">
        <f t="shared" si="675"/>
        <v/>
      </c>
      <c r="R1147" s="91" t="str">
        <f t="shared" si="678"/>
        <v/>
      </c>
      <c r="S1147" s="92" t="str">
        <f t="shared" si="676"/>
        <v/>
      </c>
      <c r="T1147" s="93"/>
      <c r="U1147" s="94" t="str">
        <f t="shared" si="680"/>
        <v/>
      </c>
      <c r="X1147" s="96"/>
      <c r="Y1147" s="97" t="str">
        <f t="shared" si="682"/>
        <v/>
      </c>
      <c r="Z1147" s="98" t="str">
        <f>SUBSTITUTE('Digitas UK Task 26'!$O1147, "Complet", "Not Requir")</f>
        <v/>
      </c>
      <c r="AA1147" s="98" t="str">
        <f t="shared" si="681"/>
        <v/>
      </c>
      <c r="AB1147" s="99"/>
      <c r="AF1147" s="84" t="str">
        <f t="shared" si="677"/>
        <v/>
      </c>
    </row>
    <row r="1148" spans="1:32" ht="15.75" customHeight="1" x14ac:dyDescent="0.3">
      <c r="A1148" s="85" t="str">
        <f t="shared" si="679"/>
        <v/>
      </c>
      <c r="C1148" s="87"/>
      <c r="E1148" s="87"/>
      <c r="H1148" s="87"/>
      <c r="I1148" s="87"/>
      <c r="O1148" s="90" t="str">
        <f t="shared" si="683"/>
        <v/>
      </c>
      <c r="Q1148" s="91" t="str">
        <f t="shared" si="675"/>
        <v/>
      </c>
      <c r="R1148" s="91" t="str">
        <f t="shared" si="678"/>
        <v/>
      </c>
      <c r="S1148" s="92" t="str">
        <f t="shared" si="676"/>
        <v/>
      </c>
      <c r="T1148" s="93"/>
      <c r="U1148" s="94" t="str">
        <f t="shared" si="680"/>
        <v/>
      </c>
      <c r="X1148" s="96"/>
      <c r="Y1148" s="97" t="str">
        <f t="shared" si="682"/>
        <v/>
      </c>
      <c r="Z1148" s="98" t="str">
        <f>SUBSTITUTE('Digitas UK Task 26'!$O1148, "Complet", "Not Requir")</f>
        <v/>
      </c>
      <c r="AA1148" s="98" t="str">
        <f t="shared" si="681"/>
        <v/>
      </c>
      <c r="AB1148" s="99"/>
      <c r="AF1148" s="84" t="str">
        <f t="shared" si="677"/>
        <v/>
      </c>
    </row>
    <row r="1149" spans="1:32" ht="15.75" customHeight="1" x14ac:dyDescent="0.3">
      <c r="A1149" s="85" t="str">
        <f t="shared" si="679"/>
        <v/>
      </c>
      <c r="C1149" s="87"/>
      <c r="E1149" s="87"/>
      <c r="H1149" s="87"/>
      <c r="I1149" s="87"/>
      <c r="O1149" s="90" t="str">
        <f t="shared" si="683"/>
        <v/>
      </c>
      <c r="Q1149" s="91" t="str">
        <f t="shared" si="675"/>
        <v/>
      </c>
      <c r="R1149" s="91" t="str">
        <f t="shared" si="678"/>
        <v/>
      </c>
      <c r="S1149" s="92" t="str">
        <f t="shared" si="676"/>
        <v/>
      </c>
      <c r="T1149" s="93"/>
      <c r="U1149" s="94" t="str">
        <f t="shared" si="680"/>
        <v/>
      </c>
      <c r="X1149" s="96"/>
      <c r="Y1149" s="97" t="str">
        <f t="shared" si="682"/>
        <v/>
      </c>
      <c r="Z1149" s="98" t="str">
        <f>SUBSTITUTE('Digitas UK Task 26'!$O1149, "Complet", "Not Requir")</f>
        <v/>
      </c>
      <c r="AA1149" s="98" t="str">
        <f t="shared" si="681"/>
        <v/>
      </c>
      <c r="AB1149" s="99"/>
      <c r="AF1149" s="84" t="str">
        <f t="shared" si="677"/>
        <v/>
      </c>
    </row>
    <row r="1150" spans="1:32" ht="15.75" customHeight="1" x14ac:dyDescent="0.3">
      <c r="A1150" s="85" t="str">
        <f t="shared" si="679"/>
        <v/>
      </c>
      <c r="C1150" s="87"/>
      <c r="E1150" s="87"/>
      <c r="H1150" s="87"/>
      <c r="I1150" s="87"/>
      <c r="O1150" s="90" t="str">
        <f t="shared" si="683"/>
        <v/>
      </c>
      <c r="Q1150" s="91" t="str">
        <f t="shared" si="675"/>
        <v/>
      </c>
      <c r="R1150" s="91" t="str">
        <f t="shared" si="678"/>
        <v/>
      </c>
      <c r="S1150" s="92" t="str">
        <f t="shared" si="676"/>
        <v/>
      </c>
      <c r="T1150" s="93"/>
      <c r="U1150" s="94" t="str">
        <f t="shared" si="680"/>
        <v/>
      </c>
      <c r="X1150" s="96"/>
      <c r="Y1150" s="97" t="str">
        <f t="shared" si="682"/>
        <v/>
      </c>
      <c r="Z1150" s="98" t="str">
        <f>SUBSTITUTE('Digitas UK Task 26'!$O1150, "Complet", "Not Requir")</f>
        <v/>
      </c>
      <c r="AA1150" s="98" t="str">
        <f t="shared" si="681"/>
        <v/>
      </c>
      <c r="AB1150" s="99"/>
      <c r="AF1150" s="84" t="str">
        <f t="shared" si="677"/>
        <v/>
      </c>
    </row>
    <row r="1151" spans="1:32" ht="15.75" customHeight="1" x14ac:dyDescent="0.3">
      <c r="A1151" s="85" t="str">
        <f t="shared" si="679"/>
        <v/>
      </c>
      <c r="C1151" s="87"/>
      <c r="E1151" s="87"/>
      <c r="H1151" s="87"/>
      <c r="I1151" s="87"/>
      <c r="O1151" s="90" t="str">
        <f t="shared" si="683"/>
        <v/>
      </c>
      <c r="Q1151" s="91" t="str">
        <f t="shared" si="675"/>
        <v/>
      </c>
      <c r="R1151" s="91" t="str">
        <f t="shared" si="678"/>
        <v/>
      </c>
      <c r="S1151" s="92" t="str">
        <f t="shared" si="676"/>
        <v/>
      </c>
      <c r="T1151" s="93"/>
      <c r="U1151" s="94" t="str">
        <f t="shared" si="680"/>
        <v/>
      </c>
      <c r="X1151" s="96"/>
      <c r="Y1151" s="97" t="str">
        <f t="shared" si="682"/>
        <v/>
      </c>
      <c r="Z1151" s="98" t="str">
        <f>SUBSTITUTE('Digitas UK Task 26'!$O1151, "Complet", "Not Requir")</f>
        <v/>
      </c>
      <c r="AA1151" s="98" t="str">
        <f t="shared" si="681"/>
        <v/>
      </c>
      <c r="AB1151" s="99"/>
      <c r="AF1151" s="84" t="str">
        <f t="shared" si="677"/>
        <v/>
      </c>
    </row>
    <row r="1152" spans="1:32" ht="15.75" customHeight="1" x14ac:dyDescent="0.3">
      <c r="A1152" s="85" t="str">
        <f t="shared" si="679"/>
        <v/>
      </c>
      <c r="C1152" s="87"/>
      <c r="E1152" s="87"/>
      <c r="H1152" s="87"/>
      <c r="I1152" s="87"/>
      <c r="O1152" s="90" t="str">
        <f t="shared" si="683"/>
        <v/>
      </c>
      <c r="Q1152" s="91" t="str">
        <f t="shared" si="675"/>
        <v/>
      </c>
      <c r="R1152" s="91" t="str">
        <f t="shared" si="678"/>
        <v/>
      </c>
      <c r="S1152" s="92" t="str">
        <f t="shared" si="676"/>
        <v/>
      </c>
      <c r="T1152" s="93"/>
      <c r="U1152" s="94" t="str">
        <f t="shared" si="680"/>
        <v/>
      </c>
      <c r="X1152" s="96"/>
      <c r="Y1152" s="97" t="str">
        <f t="shared" si="682"/>
        <v/>
      </c>
      <c r="Z1152" s="98" t="str">
        <f>SUBSTITUTE('Digitas UK Task 26'!$O1152, "Complet", "Not Requir")</f>
        <v/>
      </c>
      <c r="AA1152" s="98" t="str">
        <f t="shared" si="681"/>
        <v/>
      </c>
      <c r="AB1152" s="99"/>
      <c r="AF1152" s="84" t="str">
        <f t="shared" si="677"/>
        <v/>
      </c>
    </row>
    <row r="1153" spans="1:32" ht="15.75" customHeight="1" x14ac:dyDescent="0.3">
      <c r="A1153" s="85" t="str">
        <f t="shared" si="679"/>
        <v/>
      </c>
      <c r="C1153" s="87"/>
      <c r="E1153" s="87"/>
      <c r="H1153" s="87"/>
      <c r="I1153" s="87"/>
      <c r="O1153" s="90" t="str">
        <f t="shared" si="683"/>
        <v/>
      </c>
      <c r="Q1153" s="91" t="str">
        <f t="shared" si="675"/>
        <v/>
      </c>
      <c r="R1153" s="91" t="str">
        <f t="shared" si="678"/>
        <v/>
      </c>
      <c r="S1153" s="92" t="str">
        <f t="shared" si="676"/>
        <v/>
      </c>
      <c r="T1153" s="93"/>
      <c r="U1153" s="94" t="str">
        <f t="shared" si="680"/>
        <v/>
      </c>
      <c r="X1153" s="96"/>
      <c r="Y1153" s="97" t="str">
        <f t="shared" si="682"/>
        <v/>
      </c>
      <c r="Z1153" s="98" t="str">
        <f>SUBSTITUTE('Digitas UK Task 26'!$O1153, "Complet", "Not Requir")</f>
        <v/>
      </c>
      <c r="AA1153" s="98" t="str">
        <f t="shared" si="681"/>
        <v/>
      </c>
      <c r="AB1153" s="99"/>
      <c r="AF1153" s="84" t="str">
        <f t="shared" si="677"/>
        <v/>
      </c>
    </row>
    <row r="1154" spans="1:32" ht="15.75" customHeight="1" x14ac:dyDescent="0.3">
      <c r="A1154" s="85" t="str">
        <f t="shared" si="679"/>
        <v/>
      </c>
      <c r="C1154" s="87"/>
      <c r="E1154" s="87"/>
      <c r="H1154" s="87"/>
      <c r="I1154" s="87"/>
      <c r="O1154" s="90" t="str">
        <f t="shared" si="683"/>
        <v/>
      </c>
      <c r="Q1154" s="91" t="str">
        <f t="shared" si="675"/>
        <v/>
      </c>
      <c r="R1154" s="91" t="str">
        <f t="shared" si="678"/>
        <v/>
      </c>
      <c r="S1154" s="92" t="str">
        <f t="shared" si="676"/>
        <v/>
      </c>
      <c r="T1154" s="93"/>
      <c r="U1154" s="94" t="str">
        <f t="shared" si="680"/>
        <v/>
      </c>
      <c r="X1154" s="96"/>
      <c r="Y1154" s="97" t="str">
        <f t="shared" si="682"/>
        <v/>
      </c>
      <c r="Z1154" s="98" t="str">
        <f>SUBSTITUTE('Digitas UK Task 26'!$O1154, "Complet", "Not Requir")</f>
        <v/>
      </c>
      <c r="AA1154" s="98" t="str">
        <f t="shared" si="681"/>
        <v/>
      </c>
      <c r="AB1154" s="99"/>
      <c r="AF1154" s="84" t="str">
        <f t="shared" si="677"/>
        <v/>
      </c>
    </row>
    <row r="1155" spans="1:32" ht="15.75" customHeight="1" x14ac:dyDescent="0.3">
      <c r="A1155" s="85" t="str">
        <f t="shared" si="679"/>
        <v/>
      </c>
      <c r="C1155" s="87"/>
      <c r="E1155" s="87"/>
      <c r="H1155" s="87"/>
      <c r="I1155" s="87"/>
      <c r="O1155" s="90" t="str">
        <f t="shared" si="683"/>
        <v/>
      </c>
      <c r="Q1155" s="91" t="str">
        <f t="shared" si="675"/>
        <v/>
      </c>
      <c r="R1155" s="91" t="str">
        <f t="shared" si="678"/>
        <v/>
      </c>
      <c r="S1155" s="92" t="str">
        <f t="shared" si="676"/>
        <v/>
      </c>
      <c r="T1155" s="93"/>
      <c r="U1155" s="94" t="str">
        <f t="shared" si="680"/>
        <v/>
      </c>
      <c r="X1155" s="96"/>
      <c r="Y1155" s="97" t="str">
        <f t="shared" si="682"/>
        <v/>
      </c>
      <c r="Z1155" s="98" t="str">
        <f>SUBSTITUTE('Digitas UK Task 26'!$O1155, "Complet", "Not Requir")</f>
        <v/>
      </c>
      <c r="AA1155" s="98" t="str">
        <f t="shared" si="681"/>
        <v/>
      </c>
      <c r="AB1155" s="99"/>
      <c r="AF1155" s="84" t="str">
        <f t="shared" si="677"/>
        <v/>
      </c>
    </row>
    <row r="1156" spans="1:32" ht="15.75" customHeight="1" x14ac:dyDescent="0.3">
      <c r="A1156" s="85" t="str">
        <f t="shared" si="679"/>
        <v/>
      </c>
      <c r="C1156" s="87"/>
      <c r="E1156" s="87"/>
      <c r="H1156" s="87"/>
      <c r="I1156" s="87"/>
      <c r="O1156" s="90" t="str">
        <f t="shared" si="683"/>
        <v/>
      </c>
      <c r="Q1156" s="91" t="str">
        <f t="shared" si="675"/>
        <v/>
      </c>
      <c r="R1156" s="91" t="str">
        <f t="shared" si="678"/>
        <v/>
      </c>
      <c r="S1156" s="92" t="str">
        <f t="shared" si="676"/>
        <v/>
      </c>
      <c r="T1156" s="93"/>
      <c r="U1156" s="94" t="str">
        <f t="shared" si="680"/>
        <v/>
      </c>
      <c r="X1156" s="96"/>
      <c r="Y1156" s="97" t="str">
        <f t="shared" si="682"/>
        <v/>
      </c>
      <c r="Z1156" s="98" t="str">
        <f>SUBSTITUTE('Digitas UK Task 26'!$O1156, "Complet", "Not Requir")</f>
        <v/>
      </c>
      <c r="AA1156" s="98" t="str">
        <f t="shared" si="681"/>
        <v/>
      </c>
      <c r="AB1156" s="99"/>
      <c r="AF1156" s="84" t="str">
        <f t="shared" si="677"/>
        <v/>
      </c>
    </row>
    <row r="1157" spans="1:32" ht="15.75" customHeight="1" x14ac:dyDescent="0.3">
      <c r="A1157" s="85" t="str">
        <f t="shared" si="679"/>
        <v/>
      </c>
      <c r="C1157" s="87"/>
      <c r="E1157" s="87"/>
      <c r="H1157" s="87"/>
      <c r="I1157" s="87"/>
      <c r="O1157" s="90" t="str">
        <f t="shared" si="683"/>
        <v/>
      </c>
      <c r="Q1157" s="91" t="str">
        <f t="shared" si="675"/>
        <v/>
      </c>
      <c r="R1157" s="91" t="str">
        <f t="shared" si="678"/>
        <v/>
      </c>
      <c r="S1157" s="92" t="str">
        <f t="shared" si="676"/>
        <v/>
      </c>
      <c r="T1157" s="93"/>
      <c r="U1157" s="94" t="str">
        <f t="shared" si="680"/>
        <v/>
      </c>
      <c r="X1157" s="96"/>
      <c r="Y1157" s="97" t="str">
        <f t="shared" si="682"/>
        <v/>
      </c>
      <c r="Z1157" s="98" t="str">
        <f>SUBSTITUTE('Digitas UK Task 26'!$O1157, "Complet", "Not Requir")</f>
        <v/>
      </c>
      <c r="AA1157" s="98" t="str">
        <f t="shared" si="681"/>
        <v/>
      </c>
      <c r="AB1157" s="99"/>
      <c r="AF1157" s="84" t="str">
        <f t="shared" si="677"/>
        <v/>
      </c>
    </row>
    <row r="1158" spans="1:32" ht="15.75" customHeight="1" x14ac:dyDescent="0.3">
      <c r="A1158" s="85" t="str">
        <f t="shared" si="679"/>
        <v/>
      </c>
      <c r="C1158" s="87"/>
      <c r="E1158" s="87"/>
      <c r="H1158" s="87"/>
      <c r="I1158" s="87"/>
      <c r="O1158" s="90" t="str">
        <f t="shared" si="683"/>
        <v/>
      </c>
      <c r="Q1158" s="91" t="str">
        <f t="shared" si="675"/>
        <v/>
      </c>
      <c r="R1158" s="91" t="str">
        <f t="shared" si="678"/>
        <v/>
      </c>
      <c r="S1158" s="92" t="str">
        <f t="shared" si="676"/>
        <v/>
      </c>
      <c r="T1158" s="93"/>
      <c r="U1158" s="94" t="str">
        <f t="shared" si="680"/>
        <v/>
      </c>
      <c r="X1158" s="96"/>
      <c r="Y1158" s="97" t="str">
        <f t="shared" si="682"/>
        <v/>
      </c>
      <c r="Z1158" s="98" t="str">
        <f>SUBSTITUTE('Digitas UK Task 26'!$O1158, "Complet", "Not Requir")</f>
        <v/>
      </c>
      <c r="AA1158" s="98" t="str">
        <f t="shared" si="681"/>
        <v/>
      </c>
      <c r="AB1158" s="99"/>
      <c r="AF1158" s="84" t="str">
        <f t="shared" si="677"/>
        <v/>
      </c>
    </row>
    <row r="1159" spans="1:32" ht="15.75" customHeight="1" x14ac:dyDescent="0.3">
      <c r="A1159" s="85" t="str">
        <f t="shared" si="679"/>
        <v/>
      </c>
      <c r="C1159" s="87"/>
      <c r="E1159" s="87"/>
      <c r="H1159" s="87"/>
      <c r="I1159" s="87"/>
      <c r="O1159" s="90" t="str">
        <f t="shared" si="683"/>
        <v/>
      </c>
      <c r="Q1159" s="91" t="str">
        <f t="shared" si="675"/>
        <v/>
      </c>
      <c r="R1159" s="91" t="str">
        <f t="shared" si="678"/>
        <v/>
      </c>
      <c r="S1159" s="92" t="str">
        <f t="shared" si="676"/>
        <v/>
      </c>
      <c r="T1159" s="93"/>
      <c r="U1159" s="94" t="str">
        <f t="shared" si="680"/>
        <v/>
      </c>
      <c r="X1159" s="96"/>
      <c r="Y1159" s="97" t="str">
        <f t="shared" si="682"/>
        <v/>
      </c>
      <c r="Z1159" s="98" t="str">
        <f>SUBSTITUTE('Digitas UK Task 26'!$O1159, "Complet", "Not Requir")</f>
        <v/>
      </c>
      <c r="AA1159" s="98" t="str">
        <f t="shared" si="681"/>
        <v/>
      </c>
      <c r="AB1159" s="99"/>
      <c r="AF1159" s="84" t="str">
        <f t="shared" si="677"/>
        <v/>
      </c>
    </row>
    <row r="1160" spans="1:32" ht="15.75" customHeight="1" x14ac:dyDescent="0.3">
      <c r="A1160" s="85" t="str">
        <f t="shared" si="679"/>
        <v/>
      </c>
      <c r="C1160" s="87"/>
      <c r="E1160" s="87"/>
      <c r="H1160" s="87"/>
      <c r="I1160" s="87"/>
      <c r="O1160" s="90" t="str">
        <f t="shared" si="683"/>
        <v/>
      </c>
      <c r="Q1160" s="91" t="str">
        <f t="shared" si="675"/>
        <v/>
      </c>
      <c r="R1160" s="91" t="str">
        <f t="shared" si="678"/>
        <v/>
      </c>
      <c r="S1160" s="92" t="str">
        <f t="shared" si="676"/>
        <v/>
      </c>
      <c r="T1160" s="93"/>
      <c r="U1160" s="94" t="str">
        <f t="shared" si="680"/>
        <v/>
      </c>
      <c r="X1160" s="96"/>
      <c r="Y1160" s="97" t="str">
        <f t="shared" si="682"/>
        <v/>
      </c>
      <c r="Z1160" s="98" t="str">
        <f>SUBSTITUTE('Digitas UK Task 26'!$O1160, "Complet", "Not Requir")</f>
        <v/>
      </c>
      <c r="AA1160" s="98" t="str">
        <f t="shared" si="681"/>
        <v/>
      </c>
      <c r="AB1160" s="99"/>
      <c r="AF1160" s="84" t="str">
        <f t="shared" si="677"/>
        <v/>
      </c>
    </row>
    <row r="1161" spans="1:32" ht="15.75" customHeight="1" x14ac:dyDescent="0.3">
      <c r="A1161" s="85" t="str">
        <f t="shared" si="679"/>
        <v/>
      </c>
      <c r="C1161" s="87"/>
      <c r="E1161" s="87"/>
      <c r="H1161" s="87"/>
      <c r="I1161" s="87"/>
      <c r="O1161" s="90" t="str">
        <f t="shared" si="683"/>
        <v/>
      </c>
      <c r="Q1161" s="91" t="str">
        <f t="shared" si="675"/>
        <v/>
      </c>
      <c r="R1161" s="91" t="str">
        <f t="shared" si="678"/>
        <v/>
      </c>
      <c r="S1161" s="92" t="str">
        <f t="shared" si="676"/>
        <v/>
      </c>
      <c r="T1161" s="93"/>
      <c r="U1161" s="94" t="str">
        <f t="shared" si="680"/>
        <v/>
      </c>
      <c r="X1161" s="96"/>
      <c r="Y1161" s="97" t="str">
        <f t="shared" si="682"/>
        <v/>
      </c>
      <c r="Z1161" s="98" t="str">
        <f>SUBSTITUTE('Digitas UK Task 26'!$O1161, "Complet", "Not Requir")</f>
        <v/>
      </c>
      <c r="AA1161" s="98" t="str">
        <f t="shared" si="681"/>
        <v/>
      </c>
      <c r="AB1161" s="99"/>
      <c r="AF1161" s="84" t="str">
        <f t="shared" si="677"/>
        <v/>
      </c>
    </row>
    <row r="1162" spans="1:32" ht="15.75" customHeight="1" x14ac:dyDescent="0.3">
      <c r="A1162" s="85" t="str">
        <f t="shared" si="679"/>
        <v/>
      </c>
      <c r="C1162" s="87"/>
      <c r="E1162" s="87"/>
      <c r="H1162" s="87"/>
      <c r="I1162" s="87"/>
      <c r="O1162" s="90" t="str">
        <f t="shared" si="683"/>
        <v/>
      </c>
      <c r="Q1162" s="91" t="str">
        <f t="shared" si="675"/>
        <v/>
      </c>
      <c r="R1162" s="91" t="str">
        <f t="shared" si="678"/>
        <v/>
      </c>
      <c r="S1162" s="92" t="str">
        <f t="shared" si="676"/>
        <v/>
      </c>
      <c r="T1162" s="93"/>
      <c r="U1162" s="94" t="str">
        <f t="shared" si="680"/>
        <v/>
      </c>
      <c r="X1162" s="96"/>
      <c r="Y1162" s="97" t="str">
        <f t="shared" si="682"/>
        <v/>
      </c>
      <c r="Z1162" s="98" t="str">
        <f>SUBSTITUTE('Digitas UK Task 26'!$O1162, "Complet", "Not Requir")</f>
        <v/>
      </c>
      <c r="AA1162" s="98" t="str">
        <f t="shared" si="681"/>
        <v/>
      </c>
      <c r="AB1162" s="99"/>
      <c r="AF1162" s="84" t="str">
        <f t="shared" si="677"/>
        <v/>
      </c>
    </row>
    <row r="1163" spans="1:32" ht="15.75" customHeight="1" x14ac:dyDescent="0.3">
      <c r="A1163" s="85" t="str">
        <f t="shared" si="679"/>
        <v/>
      </c>
      <c r="C1163" s="87"/>
      <c r="E1163" s="87"/>
      <c r="H1163" s="87"/>
      <c r="I1163" s="87"/>
      <c r="O1163" s="90" t="str">
        <f t="shared" si="683"/>
        <v/>
      </c>
      <c r="Q1163" s="91" t="str">
        <f t="shared" si="675"/>
        <v/>
      </c>
      <c r="R1163" s="91" t="str">
        <f t="shared" si="678"/>
        <v/>
      </c>
      <c r="S1163" s="92" t="str">
        <f t="shared" si="676"/>
        <v/>
      </c>
      <c r="T1163" s="93"/>
      <c r="U1163" s="94" t="str">
        <f t="shared" si="680"/>
        <v/>
      </c>
      <c r="X1163" s="96"/>
      <c r="Y1163" s="97" t="str">
        <f t="shared" si="682"/>
        <v/>
      </c>
      <c r="Z1163" s="98" t="str">
        <f>SUBSTITUTE('Digitas UK Task 26'!$O1163, "Complet", "Not Requir")</f>
        <v/>
      </c>
      <c r="AA1163" s="98" t="str">
        <f t="shared" si="681"/>
        <v/>
      </c>
      <c r="AB1163" s="99"/>
      <c r="AF1163" s="84" t="str">
        <f t="shared" si="677"/>
        <v/>
      </c>
    </row>
    <row r="1164" spans="1:32" ht="15.75" customHeight="1" x14ac:dyDescent="0.3">
      <c r="A1164" s="85" t="str">
        <f t="shared" si="679"/>
        <v/>
      </c>
      <c r="C1164" s="87"/>
      <c r="E1164" s="87"/>
      <c r="H1164" s="87"/>
      <c r="I1164" s="87"/>
      <c r="O1164" s="90" t="str">
        <f t="shared" si="683"/>
        <v/>
      </c>
      <c r="Q1164" s="91" t="str">
        <f t="shared" si="675"/>
        <v/>
      </c>
      <c r="R1164" s="91" t="str">
        <f t="shared" si="678"/>
        <v/>
      </c>
      <c r="S1164" s="92" t="str">
        <f t="shared" si="676"/>
        <v/>
      </c>
      <c r="T1164" s="93"/>
      <c r="U1164" s="94" t="str">
        <f t="shared" si="680"/>
        <v/>
      </c>
      <c r="X1164" s="96"/>
      <c r="Y1164" s="97" t="str">
        <f t="shared" si="682"/>
        <v/>
      </c>
      <c r="Z1164" s="98" t="str">
        <f>SUBSTITUTE('Digitas UK Task 26'!$O1164, "Complet", "Not Requir")</f>
        <v/>
      </c>
      <c r="AA1164" s="98" t="str">
        <f t="shared" si="681"/>
        <v/>
      </c>
      <c r="AB1164" s="99"/>
      <c r="AF1164" s="84" t="str">
        <f t="shared" si="677"/>
        <v/>
      </c>
    </row>
    <row r="1165" spans="1:32" ht="15.75" customHeight="1" x14ac:dyDescent="0.3">
      <c r="A1165" s="85" t="str">
        <f t="shared" si="679"/>
        <v/>
      </c>
      <c r="C1165" s="87"/>
      <c r="E1165" s="87"/>
      <c r="H1165" s="87"/>
      <c r="I1165" s="87"/>
      <c r="O1165" s="90" t="str">
        <f t="shared" si="683"/>
        <v/>
      </c>
      <c r="Q1165" s="91" t="str">
        <f t="shared" si="675"/>
        <v/>
      </c>
      <c r="R1165" s="91" t="str">
        <f t="shared" si="678"/>
        <v/>
      </c>
      <c r="S1165" s="92" t="str">
        <f t="shared" si="676"/>
        <v/>
      </c>
      <c r="T1165" s="93"/>
      <c r="U1165" s="94" t="str">
        <f t="shared" si="680"/>
        <v/>
      </c>
      <c r="X1165" s="96"/>
      <c r="Y1165" s="97" t="str">
        <f t="shared" si="682"/>
        <v/>
      </c>
      <c r="Z1165" s="98" t="str">
        <f>SUBSTITUTE('Digitas UK Task 26'!$O1165, "Complet", "Not Requir")</f>
        <v/>
      </c>
      <c r="AA1165" s="98" t="str">
        <f t="shared" si="681"/>
        <v/>
      </c>
      <c r="AB1165" s="99"/>
      <c r="AF1165" s="84" t="str">
        <f t="shared" si="677"/>
        <v/>
      </c>
    </row>
    <row r="1166" spans="1:32" ht="15.75" customHeight="1" x14ac:dyDescent="0.3">
      <c r="A1166" s="85" t="str">
        <f t="shared" si="679"/>
        <v/>
      </c>
      <c r="C1166" s="87"/>
      <c r="E1166" s="87"/>
      <c r="H1166" s="87"/>
      <c r="I1166" s="87"/>
      <c r="O1166" s="90" t="str">
        <f t="shared" si="683"/>
        <v/>
      </c>
      <c r="Q1166" s="91" t="str">
        <f t="shared" si="675"/>
        <v/>
      </c>
      <c r="R1166" s="91" t="str">
        <f t="shared" si="678"/>
        <v/>
      </c>
      <c r="S1166" s="92" t="str">
        <f t="shared" si="676"/>
        <v/>
      </c>
      <c r="T1166" s="93"/>
      <c r="U1166" s="94" t="str">
        <f t="shared" si="680"/>
        <v/>
      </c>
      <c r="X1166" s="96"/>
      <c r="Y1166" s="97" t="str">
        <f t="shared" si="682"/>
        <v/>
      </c>
      <c r="Z1166" s="98" t="str">
        <f>SUBSTITUTE('Digitas UK Task 26'!$O1166, "Complet", "Not Requir")</f>
        <v/>
      </c>
      <c r="AA1166" s="98" t="str">
        <f t="shared" si="681"/>
        <v/>
      </c>
      <c r="AB1166" s="99"/>
      <c r="AF1166" s="84" t="str">
        <f t="shared" si="677"/>
        <v/>
      </c>
    </row>
    <row r="1167" spans="1:32" ht="15.75" customHeight="1" x14ac:dyDescent="0.3">
      <c r="A1167" s="85" t="str">
        <f t="shared" si="679"/>
        <v/>
      </c>
      <c r="C1167" s="87"/>
      <c r="E1167" s="87"/>
      <c r="H1167" s="87"/>
      <c r="I1167" s="87"/>
      <c r="O1167" s="90" t="str">
        <f t="shared" si="683"/>
        <v/>
      </c>
      <c r="Q1167" s="91" t="str">
        <f t="shared" ref="Q1167:Q1230" si="684">IF(B1167="","",WEEKNUM(B1167))</f>
        <v/>
      </c>
      <c r="R1167" s="91" t="str">
        <f t="shared" si="678"/>
        <v/>
      </c>
      <c r="S1167" s="92" t="str">
        <f t="shared" ref="S1167:S1230" si="685">IF(B1167="","",TEXT(B1167,"DDDD"))</f>
        <v/>
      </c>
      <c r="T1167" s="93"/>
      <c r="U1167" s="94" t="str">
        <f t="shared" si="680"/>
        <v/>
      </c>
      <c r="X1167" s="96"/>
      <c r="Y1167" s="97" t="str">
        <f t="shared" si="682"/>
        <v/>
      </c>
      <c r="Z1167" s="98" t="str">
        <f>SUBSTITUTE('Digitas UK Task 26'!$O1167, "Complet", "Not Requir")</f>
        <v/>
      </c>
      <c r="AA1167" s="98" t="str">
        <f t="shared" si="681"/>
        <v/>
      </c>
      <c r="AB1167" s="99"/>
      <c r="AF1167" s="84" t="str">
        <f t="shared" si="677"/>
        <v/>
      </c>
    </row>
    <row r="1168" spans="1:32" ht="15.75" customHeight="1" x14ac:dyDescent="0.3">
      <c r="A1168" s="85" t="str">
        <f t="shared" si="679"/>
        <v/>
      </c>
      <c r="C1168" s="87"/>
      <c r="E1168" s="87"/>
      <c r="H1168" s="87"/>
      <c r="I1168" s="87"/>
      <c r="O1168" s="90" t="str">
        <f t="shared" si="683"/>
        <v/>
      </c>
      <c r="Q1168" s="91" t="str">
        <f t="shared" si="684"/>
        <v/>
      </c>
      <c r="R1168" s="91" t="str">
        <f t="shared" si="678"/>
        <v/>
      </c>
      <c r="S1168" s="92" t="str">
        <f t="shared" si="685"/>
        <v/>
      </c>
      <c r="T1168" s="93"/>
      <c r="U1168" s="94" t="str">
        <f t="shared" si="680"/>
        <v/>
      </c>
      <c r="X1168" s="96"/>
      <c r="Y1168" s="97" t="str">
        <f t="shared" si="682"/>
        <v/>
      </c>
      <c r="Z1168" s="98" t="str">
        <f>SUBSTITUTE('Digitas UK Task 26'!$O1168, "Complet", "Not Requir")</f>
        <v/>
      </c>
      <c r="AA1168" s="98" t="str">
        <f t="shared" si="681"/>
        <v/>
      </c>
      <c r="AB1168" s="99"/>
      <c r="AF1168" s="84" t="str">
        <f t="shared" si="677"/>
        <v/>
      </c>
    </row>
    <row r="1169" spans="1:32" ht="15.75" customHeight="1" x14ac:dyDescent="0.3">
      <c r="A1169" s="85" t="str">
        <f t="shared" si="679"/>
        <v/>
      </c>
      <c r="C1169" s="87"/>
      <c r="E1169" s="87"/>
      <c r="H1169" s="87"/>
      <c r="I1169" s="87"/>
      <c r="O1169" s="90" t="str">
        <f t="shared" si="683"/>
        <v/>
      </c>
      <c r="Q1169" s="91" t="str">
        <f t="shared" si="684"/>
        <v/>
      </c>
      <c r="R1169" s="91" t="str">
        <f t="shared" si="678"/>
        <v/>
      </c>
      <c r="S1169" s="92" t="str">
        <f t="shared" si="685"/>
        <v/>
      </c>
      <c r="T1169" s="93"/>
      <c r="U1169" s="94" t="str">
        <f t="shared" si="680"/>
        <v/>
      </c>
      <c r="X1169" s="96"/>
      <c r="Y1169" s="97" t="str">
        <f t="shared" si="682"/>
        <v/>
      </c>
      <c r="Z1169" s="98" t="str">
        <f>SUBSTITUTE('Digitas UK Task 26'!$O1169, "Complet", "Not Requir")</f>
        <v/>
      </c>
      <c r="AA1169" s="98" t="str">
        <f t="shared" si="681"/>
        <v/>
      </c>
      <c r="AB1169" s="99"/>
      <c r="AF1169" s="84" t="str">
        <f t="shared" si="677"/>
        <v/>
      </c>
    </row>
    <row r="1170" spans="1:32" ht="15.75" customHeight="1" x14ac:dyDescent="0.3">
      <c r="A1170" s="85" t="str">
        <f t="shared" si="679"/>
        <v/>
      </c>
      <c r="C1170" s="87"/>
      <c r="E1170" s="87"/>
      <c r="H1170" s="87"/>
      <c r="I1170" s="87"/>
      <c r="O1170" s="90" t="str">
        <f t="shared" si="683"/>
        <v/>
      </c>
      <c r="Q1170" s="91" t="str">
        <f t="shared" si="684"/>
        <v/>
      </c>
      <c r="R1170" s="91" t="str">
        <f t="shared" si="678"/>
        <v/>
      </c>
      <c r="S1170" s="92" t="str">
        <f t="shared" si="685"/>
        <v/>
      </c>
      <c r="T1170" s="93"/>
      <c r="U1170" s="94" t="str">
        <f t="shared" si="680"/>
        <v/>
      </c>
      <c r="X1170" s="96"/>
      <c r="Y1170" s="97" t="str">
        <f t="shared" si="682"/>
        <v/>
      </c>
      <c r="Z1170" s="98" t="str">
        <f>SUBSTITUTE('Digitas UK Task 26'!$O1170, "Complet", "Not Requir")</f>
        <v/>
      </c>
      <c r="AA1170" s="98" t="str">
        <f t="shared" si="681"/>
        <v/>
      </c>
      <c r="AB1170" s="99"/>
      <c r="AF1170" s="84" t="str">
        <f t="shared" si="677"/>
        <v/>
      </c>
    </row>
    <row r="1171" spans="1:32" ht="15.75" customHeight="1" x14ac:dyDescent="0.3">
      <c r="A1171" s="85" t="str">
        <f t="shared" si="679"/>
        <v/>
      </c>
      <c r="C1171" s="87"/>
      <c r="E1171" s="87"/>
      <c r="H1171" s="87"/>
      <c r="I1171" s="87"/>
      <c r="O1171" s="90" t="str">
        <f t="shared" si="683"/>
        <v/>
      </c>
      <c r="Q1171" s="91" t="str">
        <f t="shared" si="684"/>
        <v/>
      </c>
      <c r="R1171" s="91" t="str">
        <f t="shared" si="678"/>
        <v/>
      </c>
      <c r="S1171" s="92" t="str">
        <f t="shared" si="685"/>
        <v/>
      </c>
      <c r="T1171" s="93"/>
      <c r="U1171" s="94" t="str">
        <f t="shared" si="680"/>
        <v/>
      </c>
      <c r="X1171" s="96"/>
      <c r="Y1171" s="97" t="str">
        <f t="shared" si="682"/>
        <v/>
      </c>
      <c r="Z1171" s="98" t="str">
        <f>SUBSTITUTE('Digitas UK Task 26'!$O1171, "Complet", "Not Requir")</f>
        <v/>
      </c>
      <c r="AA1171" s="98" t="str">
        <f t="shared" si="681"/>
        <v/>
      </c>
      <c r="AB1171" s="99"/>
      <c r="AF1171" s="84" t="str">
        <f t="shared" si="677"/>
        <v/>
      </c>
    </row>
    <row r="1172" spans="1:32" ht="15.75" customHeight="1" x14ac:dyDescent="0.3">
      <c r="A1172" s="85" t="str">
        <f t="shared" si="679"/>
        <v/>
      </c>
      <c r="C1172" s="87"/>
      <c r="E1172" s="87"/>
      <c r="H1172" s="87"/>
      <c r="I1172" s="87"/>
      <c r="O1172" s="90" t="str">
        <f t="shared" si="683"/>
        <v/>
      </c>
      <c r="Q1172" s="91" t="str">
        <f t="shared" si="684"/>
        <v/>
      </c>
      <c r="R1172" s="91" t="str">
        <f t="shared" si="678"/>
        <v/>
      </c>
      <c r="S1172" s="92" t="str">
        <f t="shared" si="685"/>
        <v/>
      </c>
      <c r="T1172" s="93"/>
      <c r="U1172" s="94" t="str">
        <f t="shared" si="680"/>
        <v/>
      </c>
      <c r="X1172" s="96"/>
      <c r="Y1172" s="97" t="str">
        <f t="shared" si="682"/>
        <v/>
      </c>
      <c r="Z1172" s="98" t="str">
        <f>SUBSTITUTE('Digitas UK Task 26'!$O1172, "Complet", "Not Requir")</f>
        <v/>
      </c>
      <c r="AA1172" s="98" t="str">
        <f t="shared" si="681"/>
        <v/>
      </c>
      <c r="AB1172" s="99"/>
      <c r="AF1172" s="84" t="str">
        <f t="shared" si="677"/>
        <v/>
      </c>
    </row>
    <row r="1173" spans="1:32" ht="15.75" customHeight="1" x14ac:dyDescent="0.3">
      <c r="A1173" s="85" t="str">
        <f t="shared" si="679"/>
        <v/>
      </c>
      <c r="C1173" s="87"/>
      <c r="E1173" s="87"/>
      <c r="H1173" s="87"/>
      <c r="I1173" s="87"/>
      <c r="O1173" s="90" t="str">
        <f t="shared" si="683"/>
        <v/>
      </c>
      <c r="Q1173" s="91" t="str">
        <f t="shared" si="684"/>
        <v/>
      </c>
      <c r="R1173" s="91" t="str">
        <f t="shared" si="678"/>
        <v/>
      </c>
      <c r="S1173" s="92" t="str">
        <f t="shared" si="685"/>
        <v/>
      </c>
      <c r="T1173" s="93"/>
      <c r="U1173" s="94" t="str">
        <f t="shared" si="680"/>
        <v/>
      </c>
      <c r="X1173" s="96"/>
      <c r="Y1173" s="97" t="str">
        <f t="shared" si="682"/>
        <v/>
      </c>
      <c r="Z1173" s="98" t="str">
        <f>SUBSTITUTE('Digitas UK Task 26'!$O1173, "Complet", "Not Requir")</f>
        <v/>
      </c>
      <c r="AA1173" s="98" t="str">
        <f t="shared" si="681"/>
        <v/>
      </c>
      <c r="AB1173" s="99"/>
      <c r="AF1173" s="84" t="str">
        <f t="shared" ref="AF1173:AF1236" si="686">IF(AD1173="","",WEEKNUM(AD1173))</f>
        <v/>
      </c>
    </row>
    <row r="1174" spans="1:32" ht="15.75" customHeight="1" x14ac:dyDescent="0.3">
      <c r="A1174" s="85" t="str">
        <f t="shared" si="679"/>
        <v/>
      </c>
      <c r="C1174" s="87"/>
      <c r="E1174" s="87"/>
      <c r="H1174" s="87"/>
      <c r="I1174" s="87"/>
      <c r="O1174" s="90" t="str">
        <f t="shared" si="683"/>
        <v/>
      </c>
      <c r="Q1174" s="91" t="str">
        <f t="shared" si="684"/>
        <v/>
      </c>
      <c r="R1174" s="91" t="str">
        <f t="shared" ref="R1174:R1237" si="687">IF(B1174="","",TEXT(B1174,"MMM"))</f>
        <v/>
      </c>
      <c r="S1174" s="92" t="str">
        <f t="shared" si="685"/>
        <v/>
      </c>
      <c r="T1174" s="93"/>
      <c r="U1174" s="94" t="str">
        <f t="shared" si="680"/>
        <v/>
      </c>
      <c r="X1174" s="96"/>
      <c r="Y1174" s="97" t="str">
        <f t="shared" si="682"/>
        <v/>
      </c>
      <c r="Z1174" s="98" t="str">
        <f>SUBSTITUTE('Digitas UK Task 26'!$O1174, "Complet", "Not Requir")</f>
        <v/>
      </c>
      <c r="AA1174" s="98" t="str">
        <f t="shared" si="681"/>
        <v/>
      </c>
      <c r="AB1174" s="99"/>
      <c r="AF1174" s="84" t="str">
        <f t="shared" si="686"/>
        <v/>
      </c>
    </row>
    <row r="1175" spans="1:32" ht="15.75" customHeight="1" x14ac:dyDescent="0.3">
      <c r="A1175" s="85" t="str">
        <f t="shared" si="679"/>
        <v/>
      </c>
      <c r="C1175" s="87"/>
      <c r="E1175" s="87"/>
      <c r="H1175" s="87"/>
      <c r="I1175" s="87"/>
      <c r="O1175" s="90" t="str">
        <f t="shared" si="683"/>
        <v/>
      </c>
      <c r="Q1175" s="91" t="str">
        <f t="shared" si="684"/>
        <v/>
      </c>
      <c r="R1175" s="91" t="str">
        <f t="shared" si="687"/>
        <v/>
      </c>
      <c r="S1175" s="92" t="str">
        <f t="shared" si="685"/>
        <v/>
      </c>
      <c r="T1175" s="93"/>
      <c r="U1175" s="94" t="str">
        <f t="shared" si="680"/>
        <v/>
      </c>
      <c r="X1175" s="96"/>
      <c r="Y1175" s="97" t="str">
        <f t="shared" si="682"/>
        <v/>
      </c>
      <c r="Z1175" s="98" t="str">
        <f>SUBSTITUTE('Digitas UK Task 26'!$O1175, "Complet", "Not Requir")</f>
        <v/>
      </c>
      <c r="AA1175" s="98" t="str">
        <f t="shared" si="681"/>
        <v/>
      </c>
      <c r="AB1175" s="99"/>
      <c r="AF1175" s="84" t="str">
        <f t="shared" si="686"/>
        <v/>
      </c>
    </row>
    <row r="1176" spans="1:32" ht="15.75" customHeight="1" x14ac:dyDescent="0.3">
      <c r="A1176" s="85" t="str">
        <f t="shared" si="679"/>
        <v/>
      </c>
      <c r="C1176" s="87"/>
      <c r="E1176" s="87"/>
      <c r="H1176" s="87"/>
      <c r="I1176" s="87"/>
      <c r="O1176" s="90" t="str">
        <f t="shared" si="683"/>
        <v/>
      </c>
      <c r="Q1176" s="91" t="str">
        <f t="shared" si="684"/>
        <v/>
      </c>
      <c r="R1176" s="91" t="str">
        <f t="shared" si="687"/>
        <v/>
      </c>
      <c r="S1176" s="92" t="str">
        <f t="shared" si="685"/>
        <v/>
      </c>
      <c r="T1176" s="93"/>
      <c r="U1176" s="94" t="str">
        <f t="shared" si="680"/>
        <v/>
      </c>
      <c r="X1176" s="96"/>
      <c r="Y1176" s="97" t="str">
        <f t="shared" si="682"/>
        <v/>
      </c>
      <c r="Z1176" s="98" t="str">
        <f>SUBSTITUTE('Digitas UK Task 26'!$O1176, "Complet", "Not Requir")</f>
        <v/>
      </c>
      <c r="AA1176" s="98" t="str">
        <f t="shared" si="681"/>
        <v/>
      </c>
      <c r="AB1176" s="99"/>
      <c r="AF1176" s="84" t="str">
        <f t="shared" si="686"/>
        <v/>
      </c>
    </row>
    <row r="1177" spans="1:32" ht="15.75" customHeight="1" x14ac:dyDescent="0.3">
      <c r="A1177" s="85" t="str">
        <f t="shared" si="679"/>
        <v/>
      </c>
      <c r="C1177" s="87"/>
      <c r="E1177" s="87"/>
      <c r="H1177" s="87"/>
      <c r="I1177" s="87"/>
      <c r="O1177" s="90" t="str">
        <f t="shared" si="683"/>
        <v/>
      </c>
      <c r="Q1177" s="91" t="str">
        <f t="shared" si="684"/>
        <v/>
      </c>
      <c r="R1177" s="91" t="str">
        <f t="shared" si="687"/>
        <v/>
      </c>
      <c r="S1177" s="92" t="str">
        <f t="shared" si="685"/>
        <v/>
      </c>
      <c r="T1177" s="93"/>
      <c r="U1177" s="94" t="str">
        <f t="shared" si="680"/>
        <v/>
      </c>
      <c r="X1177" s="96"/>
      <c r="Y1177" s="97" t="str">
        <f t="shared" si="682"/>
        <v/>
      </c>
      <c r="Z1177" s="98" t="str">
        <f>SUBSTITUTE('Digitas UK Task 26'!$O1177, "Complet", "Not Requir")</f>
        <v/>
      </c>
      <c r="AA1177" s="98" t="str">
        <f t="shared" si="681"/>
        <v/>
      </c>
      <c r="AB1177" s="99"/>
      <c r="AF1177" s="84" t="str">
        <f t="shared" si="686"/>
        <v/>
      </c>
    </row>
    <row r="1178" spans="1:32" ht="15.75" customHeight="1" x14ac:dyDescent="0.3">
      <c r="A1178" s="85" t="str">
        <f t="shared" si="679"/>
        <v/>
      </c>
      <c r="C1178" s="87"/>
      <c r="E1178" s="87"/>
      <c r="H1178" s="87"/>
      <c r="I1178" s="87"/>
      <c r="O1178" s="90" t="str">
        <f t="shared" si="683"/>
        <v/>
      </c>
      <c r="Q1178" s="91" t="str">
        <f t="shared" si="684"/>
        <v/>
      </c>
      <c r="R1178" s="91" t="str">
        <f t="shared" si="687"/>
        <v/>
      </c>
      <c r="S1178" s="92" t="str">
        <f t="shared" si="685"/>
        <v/>
      </c>
      <c r="T1178" s="93"/>
      <c r="U1178" s="94" t="str">
        <f t="shared" si="680"/>
        <v/>
      </c>
      <c r="X1178" s="96"/>
      <c r="Y1178" s="97" t="str">
        <f t="shared" si="682"/>
        <v/>
      </c>
      <c r="Z1178" s="98" t="str">
        <f>SUBSTITUTE('Digitas UK Task 26'!$O1178, "Complet", "Not Requir")</f>
        <v/>
      </c>
      <c r="AA1178" s="98" t="str">
        <f t="shared" si="681"/>
        <v/>
      </c>
      <c r="AB1178" s="99"/>
      <c r="AF1178" s="84" t="str">
        <f t="shared" si="686"/>
        <v/>
      </c>
    </row>
    <row r="1179" spans="1:32" ht="15.75" customHeight="1" x14ac:dyDescent="0.3">
      <c r="A1179" s="85" t="str">
        <f t="shared" si="679"/>
        <v/>
      </c>
      <c r="C1179" s="87"/>
      <c r="E1179" s="87"/>
      <c r="H1179" s="87"/>
      <c r="I1179" s="87"/>
      <c r="O1179" s="90" t="str">
        <f t="shared" si="683"/>
        <v/>
      </c>
      <c r="Q1179" s="91" t="str">
        <f t="shared" si="684"/>
        <v/>
      </c>
      <c r="R1179" s="91" t="str">
        <f t="shared" si="687"/>
        <v/>
      </c>
      <c r="S1179" s="92" t="str">
        <f t="shared" si="685"/>
        <v/>
      </c>
      <c r="T1179" s="93"/>
      <c r="U1179" s="94" t="str">
        <f t="shared" si="680"/>
        <v/>
      </c>
      <c r="X1179" s="96"/>
      <c r="Y1179" s="97" t="str">
        <f t="shared" si="682"/>
        <v/>
      </c>
      <c r="Z1179" s="98" t="str">
        <f>SUBSTITUTE('Digitas UK Task 26'!$O1179, "Complet", "Not Requir")</f>
        <v/>
      </c>
      <c r="AA1179" s="98" t="str">
        <f t="shared" si="681"/>
        <v/>
      </c>
      <c r="AB1179" s="99"/>
      <c r="AF1179" s="84" t="str">
        <f t="shared" si="686"/>
        <v/>
      </c>
    </row>
    <row r="1180" spans="1:32" ht="15.75" customHeight="1" x14ac:dyDescent="0.3">
      <c r="A1180" s="85" t="str">
        <f t="shared" si="679"/>
        <v/>
      </c>
      <c r="C1180" s="87"/>
      <c r="E1180" s="87"/>
      <c r="H1180" s="87"/>
      <c r="I1180" s="87"/>
      <c r="O1180" s="90" t="str">
        <f t="shared" si="683"/>
        <v/>
      </c>
      <c r="Q1180" s="91" t="str">
        <f t="shared" si="684"/>
        <v/>
      </c>
      <c r="R1180" s="91" t="str">
        <f t="shared" si="687"/>
        <v/>
      </c>
      <c r="S1180" s="92" t="str">
        <f t="shared" si="685"/>
        <v/>
      </c>
      <c r="T1180" s="93"/>
      <c r="U1180" s="94" t="str">
        <f t="shared" si="680"/>
        <v/>
      </c>
      <c r="X1180" s="96"/>
      <c r="Y1180" s="97" t="str">
        <f t="shared" si="682"/>
        <v/>
      </c>
      <c r="Z1180" s="98" t="str">
        <f>SUBSTITUTE('Digitas UK Task 26'!$O1180, "Complet", "Not Requir")</f>
        <v/>
      </c>
      <c r="AA1180" s="98" t="str">
        <f t="shared" si="681"/>
        <v/>
      </c>
      <c r="AB1180" s="99"/>
      <c r="AF1180" s="84" t="str">
        <f t="shared" si="686"/>
        <v/>
      </c>
    </row>
    <row r="1181" spans="1:32" ht="15.75" customHeight="1" x14ac:dyDescent="0.3">
      <c r="A1181" s="85" t="str">
        <f t="shared" si="679"/>
        <v/>
      </c>
      <c r="C1181" s="87"/>
      <c r="E1181" s="87"/>
      <c r="H1181" s="87"/>
      <c r="I1181" s="87"/>
      <c r="O1181" s="90" t="str">
        <f t="shared" si="683"/>
        <v/>
      </c>
      <c r="Q1181" s="91" t="str">
        <f t="shared" si="684"/>
        <v/>
      </c>
      <c r="R1181" s="91" t="str">
        <f t="shared" si="687"/>
        <v/>
      </c>
      <c r="S1181" s="92" t="str">
        <f t="shared" si="685"/>
        <v/>
      </c>
      <c r="T1181" s="93"/>
      <c r="U1181" s="94" t="str">
        <f t="shared" si="680"/>
        <v/>
      </c>
      <c r="X1181" s="96"/>
      <c r="Y1181" s="97" t="str">
        <f t="shared" si="682"/>
        <v/>
      </c>
      <c r="Z1181" s="98" t="str">
        <f>SUBSTITUTE('Digitas UK Task 26'!$O1181, "Complet", "Not Requir")</f>
        <v/>
      </c>
      <c r="AA1181" s="98" t="str">
        <f t="shared" si="681"/>
        <v/>
      </c>
      <c r="AB1181" s="99"/>
      <c r="AF1181" s="84" t="str">
        <f t="shared" si="686"/>
        <v/>
      </c>
    </row>
    <row r="1182" spans="1:32" ht="15.75" customHeight="1" x14ac:dyDescent="0.3">
      <c r="A1182" s="85" t="str">
        <f t="shared" si="679"/>
        <v/>
      </c>
      <c r="C1182" s="87"/>
      <c r="E1182" s="87"/>
      <c r="H1182" s="87"/>
      <c r="I1182" s="87"/>
      <c r="O1182" s="90" t="str">
        <f t="shared" si="683"/>
        <v/>
      </c>
      <c r="Q1182" s="91" t="str">
        <f t="shared" si="684"/>
        <v/>
      </c>
      <c r="R1182" s="91" t="str">
        <f t="shared" si="687"/>
        <v/>
      </c>
      <c r="S1182" s="92" t="str">
        <f t="shared" si="685"/>
        <v/>
      </c>
      <c r="T1182" s="93"/>
      <c r="U1182" s="94" t="str">
        <f t="shared" si="680"/>
        <v/>
      </c>
      <c r="X1182" s="96"/>
      <c r="Y1182" s="97" t="str">
        <f t="shared" si="682"/>
        <v/>
      </c>
      <c r="Z1182" s="98" t="str">
        <f>SUBSTITUTE('Digitas UK Task 26'!$O1182, "Complet", "Not Requir")</f>
        <v/>
      </c>
      <c r="AA1182" s="98" t="str">
        <f t="shared" si="681"/>
        <v/>
      </c>
      <c r="AB1182" s="99"/>
      <c r="AF1182" s="84" t="str">
        <f t="shared" si="686"/>
        <v/>
      </c>
    </row>
    <row r="1183" spans="1:32" ht="15.75" customHeight="1" x14ac:dyDescent="0.3">
      <c r="A1183" s="85" t="str">
        <f t="shared" si="679"/>
        <v/>
      </c>
      <c r="C1183" s="87"/>
      <c r="E1183" s="87"/>
      <c r="H1183" s="87"/>
      <c r="I1183" s="87"/>
      <c r="O1183" s="90" t="str">
        <f t="shared" si="683"/>
        <v/>
      </c>
      <c r="Q1183" s="91" t="str">
        <f t="shared" si="684"/>
        <v/>
      </c>
      <c r="R1183" s="91" t="str">
        <f t="shared" si="687"/>
        <v/>
      </c>
      <c r="S1183" s="92" t="str">
        <f t="shared" si="685"/>
        <v/>
      </c>
      <c r="T1183" s="93"/>
      <c r="U1183" s="94" t="str">
        <f t="shared" si="680"/>
        <v/>
      </c>
      <c r="X1183" s="96"/>
      <c r="Y1183" s="97" t="str">
        <f t="shared" si="682"/>
        <v/>
      </c>
      <c r="Z1183" s="98" t="str">
        <f>SUBSTITUTE('Digitas UK Task 26'!$O1183, "Complet", "Not Requir")</f>
        <v/>
      </c>
      <c r="AA1183" s="98" t="str">
        <f t="shared" si="681"/>
        <v/>
      </c>
      <c r="AB1183" s="99"/>
      <c r="AF1183" s="84" t="str">
        <f t="shared" si="686"/>
        <v/>
      </c>
    </row>
    <row r="1184" spans="1:32" ht="15.75" customHeight="1" x14ac:dyDescent="0.3">
      <c r="A1184" s="85" t="str">
        <f t="shared" si="679"/>
        <v/>
      </c>
      <c r="C1184" s="87"/>
      <c r="E1184" s="87"/>
      <c r="H1184" s="87"/>
      <c r="I1184" s="87"/>
      <c r="O1184" s="90" t="str">
        <f t="shared" si="683"/>
        <v/>
      </c>
      <c r="Q1184" s="91" t="str">
        <f t="shared" si="684"/>
        <v/>
      </c>
      <c r="R1184" s="91" t="str">
        <f t="shared" si="687"/>
        <v/>
      </c>
      <c r="S1184" s="92" t="str">
        <f t="shared" si="685"/>
        <v/>
      </c>
      <c r="T1184" s="93"/>
      <c r="U1184" s="94" t="str">
        <f t="shared" si="680"/>
        <v/>
      </c>
      <c r="X1184" s="96"/>
      <c r="Y1184" s="97" t="str">
        <f t="shared" si="682"/>
        <v/>
      </c>
      <c r="Z1184" s="98" t="str">
        <f>SUBSTITUTE('Digitas UK Task 26'!$O1184, "Complet", "Not Requir")</f>
        <v/>
      </c>
      <c r="AA1184" s="98" t="str">
        <f t="shared" si="681"/>
        <v/>
      </c>
      <c r="AB1184" s="99"/>
      <c r="AF1184" s="84" t="str">
        <f t="shared" si="686"/>
        <v/>
      </c>
    </row>
    <row r="1185" spans="1:32" ht="15.75" customHeight="1" x14ac:dyDescent="0.3">
      <c r="A1185" s="85" t="str">
        <f t="shared" ref="A1185:A1248" si="688">IF(B1185="","",TEXT(B1185,"MMM : DDDD"))</f>
        <v/>
      </c>
      <c r="C1185" s="87"/>
      <c r="E1185" s="87"/>
      <c r="H1185" s="87"/>
      <c r="I1185" s="87"/>
      <c r="O1185" s="90" t="str">
        <f t="shared" si="683"/>
        <v/>
      </c>
      <c r="Q1185" s="91" t="str">
        <f t="shared" si="684"/>
        <v/>
      </c>
      <c r="R1185" s="91" t="str">
        <f t="shared" si="687"/>
        <v/>
      </c>
      <c r="S1185" s="92" t="str">
        <f t="shared" si="685"/>
        <v/>
      </c>
      <c r="T1185" s="93"/>
      <c r="U1185" s="94" t="str">
        <f t="shared" ref="U1185:U1248" si="689">IF(O1185="Completed","Pending","")</f>
        <v/>
      </c>
      <c r="X1185" s="96"/>
      <c r="Y1185" s="97" t="str">
        <f t="shared" si="682"/>
        <v/>
      </c>
      <c r="Z1185" s="98" t="str">
        <f>SUBSTITUTE('Digitas UK Task 26'!$O1185, "Complet", "Not Requir")</f>
        <v/>
      </c>
      <c r="AA1185" s="98" t="str">
        <f t="shared" ref="AA1185:AA1248" si="690">IF(G1185="","",G1185)</f>
        <v/>
      </c>
      <c r="AB1185" s="99"/>
      <c r="AF1185" s="84" t="str">
        <f t="shared" si="686"/>
        <v/>
      </c>
    </row>
    <row r="1186" spans="1:32" ht="15.75" customHeight="1" x14ac:dyDescent="0.3">
      <c r="A1186" s="85" t="str">
        <f t="shared" si="688"/>
        <v/>
      </c>
      <c r="C1186" s="87"/>
      <c r="E1186" s="87"/>
      <c r="H1186" s="87"/>
      <c r="I1186" s="87"/>
      <c r="O1186" s="90" t="str">
        <f t="shared" si="683"/>
        <v/>
      </c>
      <c r="Q1186" s="91" t="str">
        <f t="shared" si="684"/>
        <v/>
      </c>
      <c r="R1186" s="91" t="str">
        <f t="shared" si="687"/>
        <v/>
      </c>
      <c r="S1186" s="92" t="str">
        <f t="shared" si="685"/>
        <v/>
      </c>
      <c r="T1186" s="93"/>
      <c r="U1186" s="94" t="str">
        <f t="shared" si="689"/>
        <v/>
      </c>
      <c r="X1186" s="96"/>
      <c r="Y1186" s="97" t="str">
        <f t="shared" si="682"/>
        <v/>
      </c>
      <c r="Z1186" s="98" t="str">
        <f>SUBSTITUTE('Digitas UK Task 26'!$O1186, "Complet", "Not Requir")</f>
        <v/>
      </c>
      <c r="AA1186" s="98" t="str">
        <f t="shared" si="690"/>
        <v/>
      </c>
      <c r="AB1186" s="99"/>
      <c r="AF1186" s="84" t="str">
        <f t="shared" si="686"/>
        <v/>
      </c>
    </row>
    <row r="1187" spans="1:32" ht="15.75" customHeight="1" x14ac:dyDescent="0.3">
      <c r="A1187" s="85" t="str">
        <f t="shared" si="688"/>
        <v/>
      </c>
      <c r="C1187" s="87"/>
      <c r="E1187" s="87"/>
      <c r="H1187" s="87"/>
      <c r="I1187" s="87"/>
      <c r="O1187" s="90" t="str">
        <f t="shared" si="683"/>
        <v/>
      </c>
      <c r="Q1187" s="91" t="str">
        <f t="shared" si="684"/>
        <v/>
      </c>
      <c r="R1187" s="91" t="str">
        <f t="shared" si="687"/>
        <v/>
      </c>
      <c r="S1187" s="92" t="str">
        <f t="shared" si="685"/>
        <v/>
      </c>
      <c r="T1187" s="93"/>
      <c r="U1187" s="94" t="str">
        <f t="shared" si="689"/>
        <v/>
      </c>
      <c r="X1187" s="96"/>
      <c r="Y1187" s="97" t="str">
        <f t="shared" si="682"/>
        <v/>
      </c>
      <c r="Z1187" s="98" t="str">
        <f>SUBSTITUTE('Digitas UK Task 26'!$O1187, "Complet", "Not Requir")</f>
        <v/>
      </c>
      <c r="AA1187" s="98" t="str">
        <f t="shared" si="690"/>
        <v/>
      </c>
      <c r="AB1187" s="99"/>
      <c r="AF1187" s="84" t="str">
        <f t="shared" si="686"/>
        <v/>
      </c>
    </row>
    <row r="1188" spans="1:32" ht="15.75" customHeight="1" x14ac:dyDescent="0.3">
      <c r="A1188" s="85" t="str">
        <f t="shared" si="688"/>
        <v/>
      </c>
      <c r="C1188" s="87"/>
      <c r="E1188" s="87"/>
      <c r="H1188" s="87"/>
      <c r="I1188" s="87"/>
      <c r="O1188" s="90" t="str">
        <f t="shared" si="683"/>
        <v/>
      </c>
      <c r="Q1188" s="91" t="str">
        <f t="shared" si="684"/>
        <v/>
      </c>
      <c r="R1188" s="91" t="str">
        <f t="shared" si="687"/>
        <v/>
      </c>
      <c r="S1188" s="92" t="str">
        <f t="shared" si="685"/>
        <v/>
      </c>
      <c r="T1188" s="93"/>
      <c r="U1188" s="94" t="str">
        <f t="shared" si="689"/>
        <v/>
      </c>
      <c r="X1188" s="96"/>
      <c r="Y1188" s="97" t="str">
        <f t="shared" si="682"/>
        <v/>
      </c>
      <c r="Z1188" s="98" t="str">
        <f>SUBSTITUTE('Digitas UK Task 26'!$O1188, "Complet", "Not Requir")</f>
        <v/>
      </c>
      <c r="AA1188" s="98" t="str">
        <f t="shared" si="690"/>
        <v/>
      </c>
      <c r="AB1188" s="99"/>
      <c r="AF1188" s="84" t="str">
        <f t="shared" si="686"/>
        <v/>
      </c>
    </row>
    <row r="1189" spans="1:32" ht="15.75" customHeight="1" x14ac:dyDescent="0.3">
      <c r="A1189" s="85" t="str">
        <f t="shared" si="688"/>
        <v/>
      </c>
      <c r="C1189" s="87"/>
      <c r="E1189" s="87"/>
      <c r="H1189" s="87"/>
      <c r="I1189" s="87"/>
      <c r="O1189" s="90" t="str">
        <f t="shared" si="683"/>
        <v/>
      </c>
      <c r="Q1189" s="91" t="str">
        <f t="shared" si="684"/>
        <v/>
      </c>
      <c r="R1189" s="91" t="str">
        <f t="shared" si="687"/>
        <v/>
      </c>
      <c r="S1189" s="92" t="str">
        <f t="shared" si="685"/>
        <v/>
      </c>
      <c r="T1189" s="93"/>
      <c r="U1189" s="94" t="str">
        <f t="shared" si="689"/>
        <v/>
      </c>
      <c r="X1189" s="96"/>
      <c r="Y1189" s="97" t="str">
        <f t="shared" si="682"/>
        <v/>
      </c>
      <c r="Z1189" s="98" t="str">
        <f>SUBSTITUTE('Digitas UK Task 26'!$O1189, "Complet", "Not Requir")</f>
        <v/>
      </c>
      <c r="AA1189" s="98" t="str">
        <f t="shared" si="690"/>
        <v/>
      </c>
      <c r="AB1189" s="99"/>
      <c r="AF1189" s="84" t="str">
        <f t="shared" si="686"/>
        <v/>
      </c>
    </row>
    <row r="1190" spans="1:32" ht="15.75" customHeight="1" x14ac:dyDescent="0.3">
      <c r="A1190" s="85" t="str">
        <f t="shared" si="688"/>
        <v/>
      </c>
      <c r="C1190" s="87"/>
      <c r="E1190" s="87"/>
      <c r="H1190" s="87"/>
      <c r="I1190" s="87"/>
      <c r="O1190" s="90" t="str">
        <f t="shared" si="683"/>
        <v/>
      </c>
      <c r="Q1190" s="91" t="str">
        <f t="shared" si="684"/>
        <v/>
      </c>
      <c r="R1190" s="91" t="str">
        <f t="shared" si="687"/>
        <v/>
      </c>
      <c r="S1190" s="92" t="str">
        <f t="shared" si="685"/>
        <v/>
      </c>
      <c r="T1190" s="93"/>
      <c r="U1190" s="94" t="str">
        <f t="shared" si="689"/>
        <v/>
      </c>
      <c r="X1190" s="96"/>
      <c r="Y1190" s="97" t="str">
        <f t="shared" si="682"/>
        <v/>
      </c>
      <c r="Z1190" s="98" t="str">
        <f>SUBSTITUTE('Digitas UK Task 26'!$O1190, "Complet", "Not Requir")</f>
        <v/>
      </c>
      <c r="AA1190" s="98" t="str">
        <f t="shared" si="690"/>
        <v/>
      </c>
      <c r="AB1190" s="99"/>
      <c r="AF1190" s="84" t="str">
        <f t="shared" si="686"/>
        <v/>
      </c>
    </row>
    <row r="1191" spans="1:32" ht="15.75" customHeight="1" x14ac:dyDescent="0.3">
      <c r="A1191" s="85" t="str">
        <f t="shared" si="688"/>
        <v/>
      </c>
      <c r="C1191" s="87"/>
      <c r="E1191" s="87"/>
      <c r="H1191" s="87"/>
      <c r="I1191" s="87"/>
      <c r="O1191" s="90" t="str">
        <f t="shared" si="683"/>
        <v/>
      </c>
      <c r="Q1191" s="91" t="str">
        <f t="shared" si="684"/>
        <v/>
      </c>
      <c r="R1191" s="91" t="str">
        <f t="shared" si="687"/>
        <v/>
      </c>
      <c r="S1191" s="92" t="str">
        <f t="shared" si="685"/>
        <v/>
      </c>
      <c r="T1191" s="93"/>
      <c r="U1191" s="94" t="str">
        <f t="shared" si="689"/>
        <v/>
      </c>
      <c r="X1191" s="96"/>
      <c r="Y1191" s="97" t="str">
        <f t="shared" ref="Y1191:Y1254" si="691">IF(M1191="","",M1191)</f>
        <v/>
      </c>
      <c r="Z1191" s="98" t="str">
        <f>SUBSTITUTE('Digitas UK Task 26'!$O1191, "Complet", "Not Requir")</f>
        <v/>
      </c>
      <c r="AA1191" s="98" t="str">
        <f t="shared" si="690"/>
        <v/>
      </c>
      <c r="AB1191" s="99"/>
      <c r="AF1191" s="84" t="str">
        <f t="shared" si="686"/>
        <v/>
      </c>
    </row>
    <row r="1192" spans="1:32" ht="15.75" customHeight="1" x14ac:dyDescent="0.3">
      <c r="A1192" s="85" t="str">
        <f t="shared" si="688"/>
        <v/>
      </c>
      <c r="C1192" s="87"/>
      <c r="E1192" s="87"/>
      <c r="H1192" s="87"/>
      <c r="I1192" s="87"/>
      <c r="O1192" s="90" t="str">
        <f t="shared" si="683"/>
        <v/>
      </c>
      <c r="Q1192" s="91" t="str">
        <f t="shared" si="684"/>
        <v/>
      </c>
      <c r="R1192" s="91" t="str">
        <f t="shared" si="687"/>
        <v/>
      </c>
      <c r="S1192" s="92" t="str">
        <f t="shared" si="685"/>
        <v/>
      </c>
      <c r="T1192" s="93"/>
      <c r="U1192" s="94" t="str">
        <f t="shared" si="689"/>
        <v/>
      </c>
      <c r="X1192" s="96"/>
      <c r="Y1192" s="97" t="str">
        <f t="shared" si="691"/>
        <v/>
      </c>
      <c r="Z1192" s="98" t="str">
        <f>SUBSTITUTE('Digitas UK Task 26'!$O1192, "Complet", "Not Requir")</f>
        <v/>
      </c>
      <c r="AA1192" s="98" t="str">
        <f t="shared" si="690"/>
        <v/>
      </c>
      <c r="AB1192" s="99"/>
      <c r="AF1192" s="84" t="str">
        <f t="shared" si="686"/>
        <v/>
      </c>
    </row>
    <row r="1193" spans="1:32" ht="15.75" customHeight="1" x14ac:dyDescent="0.3">
      <c r="A1193" s="85" t="str">
        <f t="shared" si="688"/>
        <v/>
      </c>
      <c r="C1193" s="87"/>
      <c r="E1193" s="87"/>
      <c r="H1193" s="87"/>
      <c r="I1193" s="87"/>
      <c r="O1193" s="90" t="str">
        <f t="shared" si="683"/>
        <v/>
      </c>
      <c r="Q1193" s="91" t="str">
        <f t="shared" si="684"/>
        <v/>
      </c>
      <c r="R1193" s="91" t="str">
        <f t="shared" si="687"/>
        <v/>
      </c>
      <c r="S1193" s="92" t="str">
        <f t="shared" si="685"/>
        <v/>
      </c>
      <c r="T1193" s="93"/>
      <c r="U1193" s="94" t="str">
        <f t="shared" si="689"/>
        <v/>
      </c>
      <c r="X1193" s="96"/>
      <c r="Y1193" s="97" t="str">
        <f t="shared" si="691"/>
        <v/>
      </c>
      <c r="Z1193" s="98" t="str">
        <f>SUBSTITUTE('Digitas UK Task 26'!$O1193, "Complet", "Not Requir")</f>
        <v/>
      </c>
      <c r="AA1193" s="98" t="str">
        <f t="shared" si="690"/>
        <v/>
      </c>
      <c r="AB1193" s="99"/>
      <c r="AF1193" s="84" t="str">
        <f t="shared" si="686"/>
        <v/>
      </c>
    </row>
    <row r="1194" spans="1:32" ht="15.75" customHeight="1" x14ac:dyDescent="0.3">
      <c r="A1194" s="85" t="str">
        <f t="shared" si="688"/>
        <v/>
      </c>
      <c r="C1194" s="87"/>
      <c r="E1194" s="87"/>
      <c r="H1194" s="87"/>
      <c r="I1194" s="87"/>
      <c r="O1194" s="90" t="str">
        <f t="shared" si="683"/>
        <v/>
      </c>
      <c r="Q1194" s="91" t="str">
        <f t="shared" si="684"/>
        <v/>
      </c>
      <c r="R1194" s="91" t="str">
        <f t="shared" si="687"/>
        <v/>
      </c>
      <c r="S1194" s="92" t="str">
        <f t="shared" si="685"/>
        <v/>
      </c>
      <c r="T1194" s="93"/>
      <c r="U1194" s="94" t="str">
        <f t="shared" si="689"/>
        <v/>
      </c>
      <c r="X1194" s="96"/>
      <c r="Y1194" s="97" t="str">
        <f t="shared" si="691"/>
        <v/>
      </c>
      <c r="Z1194" s="98" t="str">
        <f>SUBSTITUTE('Digitas UK Task 26'!$O1194, "Complet", "Not Requir")</f>
        <v/>
      </c>
      <c r="AA1194" s="98" t="str">
        <f t="shared" si="690"/>
        <v/>
      </c>
      <c r="AB1194" s="99"/>
      <c r="AF1194" s="84" t="str">
        <f t="shared" si="686"/>
        <v/>
      </c>
    </row>
    <row r="1195" spans="1:32" ht="15.75" customHeight="1" x14ac:dyDescent="0.3">
      <c r="A1195" s="85" t="str">
        <f t="shared" si="688"/>
        <v/>
      </c>
      <c r="C1195" s="87"/>
      <c r="E1195" s="87"/>
      <c r="H1195" s="87"/>
      <c r="I1195" s="87"/>
      <c r="O1195" s="90" t="str">
        <f t="shared" si="683"/>
        <v/>
      </c>
      <c r="Q1195" s="91" t="str">
        <f t="shared" si="684"/>
        <v/>
      </c>
      <c r="R1195" s="91" t="str">
        <f t="shared" si="687"/>
        <v/>
      </c>
      <c r="S1195" s="92" t="str">
        <f t="shared" si="685"/>
        <v/>
      </c>
      <c r="T1195" s="93"/>
      <c r="U1195" s="94" t="str">
        <f t="shared" si="689"/>
        <v/>
      </c>
      <c r="X1195" s="96"/>
      <c r="Y1195" s="97" t="str">
        <f t="shared" si="691"/>
        <v/>
      </c>
      <c r="Z1195" s="98" t="str">
        <f>SUBSTITUTE('Digitas UK Task 26'!$O1195, "Complet", "Not Requir")</f>
        <v/>
      </c>
      <c r="AA1195" s="98" t="str">
        <f t="shared" si="690"/>
        <v/>
      </c>
      <c r="AB1195" s="99"/>
      <c r="AF1195" s="84" t="str">
        <f t="shared" si="686"/>
        <v/>
      </c>
    </row>
    <row r="1196" spans="1:32" ht="15.75" customHeight="1" x14ac:dyDescent="0.3">
      <c r="A1196" s="85" t="str">
        <f t="shared" si="688"/>
        <v/>
      </c>
      <c r="C1196" s="87"/>
      <c r="E1196" s="87"/>
      <c r="H1196" s="87"/>
      <c r="I1196" s="87"/>
      <c r="O1196" s="90" t="str">
        <f t="shared" si="683"/>
        <v/>
      </c>
      <c r="Q1196" s="91" t="str">
        <f t="shared" si="684"/>
        <v/>
      </c>
      <c r="R1196" s="91" t="str">
        <f t="shared" si="687"/>
        <v/>
      </c>
      <c r="S1196" s="92" t="str">
        <f t="shared" si="685"/>
        <v/>
      </c>
      <c r="T1196" s="93"/>
      <c r="U1196" s="94" t="str">
        <f t="shared" si="689"/>
        <v/>
      </c>
      <c r="X1196" s="96"/>
      <c r="Y1196" s="97" t="str">
        <f t="shared" si="691"/>
        <v/>
      </c>
      <c r="Z1196" s="98" t="str">
        <f>SUBSTITUTE('Digitas UK Task 26'!$O1196, "Complet", "Not Requir")</f>
        <v/>
      </c>
      <c r="AA1196" s="98" t="str">
        <f t="shared" si="690"/>
        <v/>
      </c>
      <c r="AB1196" s="99"/>
      <c r="AF1196" s="84" t="str">
        <f t="shared" si="686"/>
        <v/>
      </c>
    </row>
    <row r="1197" spans="1:32" ht="15.75" customHeight="1" x14ac:dyDescent="0.3">
      <c r="A1197" s="85" t="str">
        <f t="shared" si="688"/>
        <v/>
      </c>
      <c r="C1197" s="87"/>
      <c r="E1197" s="87"/>
      <c r="H1197" s="87"/>
      <c r="I1197" s="87"/>
      <c r="O1197" s="90" t="str">
        <f t="shared" si="683"/>
        <v/>
      </c>
      <c r="Q1197" s="91" t="str">
        <f t="shared" si="684"/>
        <v/>
      </c>
      <c r="R1197" s="91" t="str">
        <f t="shared" si="687"/>
        <v/>
      </c>
      <c r="S1197" s="92" t="str">
        <f t="shared" si="685"/>
        <v/>
      </c>
      <c r="T1197" s="93"/>
      <c r="U1197" s="94" t="str">
        <f t="shared" si="689"/>
        <v/>
      </c>
      <c r="X1197" s="96"/>
      <c r="Y1197" s="97" t="str">
        <f t="shared" si="691"/>
        <v/>
      </c>
      <c r="Z1197" s="98" t="str">
        <f>SUBSTITUTE('Digitas UK Task 26'!$O1197, "Complet", "Not Requir")</f>
        <v/>
      </c>
      <c r="AA1197" s="98" t="str">
        <f t="shared" si="690"/>
        <v/>
      </c>
      <c r="AB1197" s="99"/>
      <c r="AF1197" s="84" t="str">
        <f t="shared" si="686"/>
        <v/>
      </c>
    </row>
    <row r="1198" spans="1:32" ht="15.75" customHeight="1" x14ac:dyDescent="0.3">
      <c r="A1198" s="85" t="str">
        <f t="shared" si="688"/>
        <v/>
      </c>
      <c r="C1198" s="87"/>
      <c r="E1198" s="87"/>
      <c r="H1198" s="87"/>
      <c r="I1198" s="87"/>
      <c r="O1198" s="90" t="str">
        <f t="shared" si="683"/>
        <v/>
      </c>
      <c r="Q1198" s="91" t="str">
        <f t="shared" si="684"/>
        <v/>
      </c>
      <c r="R1198" s="91" t="str">
        <f t="shared" si="687"/>
        <v/>
      </c>
      <c r="S1198" s="92" t="str">
        <f t="shared" si="685"/>
        <v/>
      </c>
      <c r="T1198" s="93"/>
      <c r="U1198" s="94" t="str">
        <f t="shared" si="689"/>
        <v/>
      </c>
      <c r="X1198" s="96"/>
      <c r="Y1198" s="97" t="str">
        <f t="shared" si="691"/>
        <v/>
      </c>
      <c r="Z1198" s="98" t="str">
        <f>SUBSTITUTE('Digitas UK Task 26'!$O1198, "Complet", "Not Requir")</f>
        <v/>
      </c>
      <c r="AA1198" s="98" t="str">
        <f t="shared" si="690"/>
        <v/>
      </c>
      <c r="AB1198" s="99"/>
      <c r="AF1198" s="84" t="str">
        <f t="shared" si="686"/>
        <v/>
      </c>
    </row>
    <row r="1199" spans="1:32" ht="15.75" customHeight="1" x14ac:dyDescent="0.3">
      <c r="A1199" s="85" t="str">
        <f t="shared" si="688"/>
        <v/>
      </c>
      <c r="C1199" s="87"/>
      <c r="E1199" s="87"/>
      <c r="H1199" s="87"/>
      <c r="I1199" s="87"/>
      <c r="O1199" s="90" t="str">
        <f t="shared" si="683"/>
        <v/>
      </c>
      <c r="Q1199" s="91" t="str">
        <f t="shared" si="684"/>
        <v/>
      </c>
      <c r="R1199" s="91" t="str">
        <f t="shared" si="687"/>
        <v/>
      </c>
      <c r="S1199" s="92" t="str">
        <f t="shared" si="685"/>
        <v/>
      </c>
      <c r="T1199" s="93"/>
      <c r="U1199" s="94" t="str">
        <f t="shared" si="689"/>
        <v/>
      </c>
      <c r="X1199" s="96"/>
      <c r="Y1199" s="97" t="str">
        <f t="shared" si="691"/>
        <v/>
      </c>
      <c r="Z1199" s="98" t="str">
        <f>SUBSTITUTE('Digitas UK Task 26'!$O1199, "Complet", "Not Requir")</f>
        <v/>
      </c>
      <c r="AA1199" s="98" t="str">
        <f t="shared" si="690"/>
        <v/>
      </c>
      <c r="AB1199" s="99"/>
      <c r="AF1199" s="84" t="str">
        <f t="shared" si="686"/>
        <v/>
      </c>
    </row>
    <row r="1200" spans="1:32" ht="15.75" customHeight="1" x14ac:dyDescent="0.3">
      <c r="A1200" s="85" t="str">
        <f t="shared" si="688"/>
        <v/>
      </c>
      <c r="C1200" s="87"/>
      <c r="E1200" s="87"/>
      <c r="H1200" s="87"/>
      <c r="I1200" s="87"/>
      <c r="O1200" s="90" t="str">
        <f t="shared" si="683"/>
        <v/>
      </c>
      <c r="Q1200" s="91" t="str">
        <f t="shared" si="684"/>
        <v/>
      </c>
      <c r="R1200" s="91" t="str">
        <f t="shared" si="687"/>
        <v/>
      </c>
      <c r="S1200" s="92" t="str">
        <f t="shared" si="685"/>
        <v/>
      </c>
      <c r="T1200" s="93"/>
      <c r="U1200" s="94" t="str">
        <f t="shared" si="689"/>
        <v/>
      </c>
      <c r="X1200" s="96"/>
      <c r="Y1200" s="97" t="str">
        <f t="shared" si="691"/>
        <v/>
      </c>
      <c r="Z1200" s="98" t="str">
        <f>SUBSTITUTE('Digitas UK Task 26'!$O1200, "Complet", "Not Requir")</f>
        <v/>
      </c>
      <c r="AA1200" s="98" t="str">
        <f t="shared" si="690"/>
        <v/>
      </c>
      <c r="AB1200" s="99"/>
      <c r="AF1200" s="84" t="str">
        <f t="shared" si="686"/>
        <v/>
      </c>
    </row>
    <row r="1201" spans="1:32" ht="15.75" customHeight="1" x14ac:dyDescent="0.3">
      <c r="A1201" s="85" t="str">
        <f t="shared" si="688"/>
        <v/>
      </c>
      <c r="C1201" s="87"/>
      <c r="E1201" s="87"/>
      <c r="H1201" s="87"/>
      <c r="I1201" s="87"/>
      <c r="O1201" s="90" t="str">
        <f t="shared" si="683"/>
        <v/>
      </c>
      <c r="Q1201" s="91" t="str">
        <f t="shared" si="684"/>
        <v/>
      </c>
      <c r="R1201" s="91" t="str">
        <f t="shared" si="687"/>
        <v/>
      </c>
      <c r="S1201" s="92" t="str">
        <f t="shared" si="685"/>
        <v/>
      </c>
      <c r="T1201" s="93"/>
      <c r="U1201" s="94" t="str">
        <f t="shared" si="689"/>
        <v/>
      </c>
      <c r="X1201" s="96"/>
      <c r="Y1201" s="97" t="str">
        <f t="shared" si="691"/>
        <v/>
      </c>
      <c r="Z1201" s="98" t="str">
        <f>SUBSTITUTE('Digitas UK Task 26'!$O1201, "Complet", "Not Requir")</f>
        <v/>
      </c>
      <c r="AA1201" s="98" t="str">
        <f t="shared" si="690"/>
        <v/>
      </c>
      <c r="AB1201" s="99"/>
      <c r="AF1201" s="84" t="str">
        <f t="shared" si="686"/>
        <v/>
      </c>
    </row>
    <row r="1202" spans="1:32" ht="15.75" customHeight="1" x14ac:dyDescent="0.3">
      <c r="A1202" s="85" t="str">
        <f t="shared" si="688"/>
        <v/>
      </c>
      <c r="C1202" s="87"/>
      <c r="E1202" s="87"/>
      <c r="H1202" s="87"/>
      <c r="I1202" s="87"/>
      <c r="O1202" s="90" t="str">
        <f t="shared" si="683"/>
        <v/>
      </c>
      <c r="Q1202" s="91" t="str">
        <f t="shared" si="684"/>
        <v/>
      </c>
      <c r="R1202" s="91" t="str">
        <f t="shared" si="687"/>
        <v/>
      </c>
      <c r="S1202" s="92" t="str">
        <f t="shared" si="685"/>
        <v/>
      </c>
      <c r="T1202" s="93"/>
      <c r="U1202" s="94" t="str">
        <f t="shared" si="689"/>
        <v/>
      </c>
      <c r="X1202" s="96"/>
      <c r="Y1202" s="97" t="str">
        <f t="shared" si="691"/>
        <v/>
      </c>
      <c r="Z1202" s="98" t="str">
        <f>SUBSTITUTE('Digitas UK Task 26'!$O1202, "Complet", "Not Requir")</f>
        <v/>
      </c>
      <c r="AA1202" s="98" t="str">
        <f t="shared" si="690"/>
        <v/>
      </c>
      <c r="AB1202" s="99"/>
      <c r="AF1202" s="84" t="str">
        <f t="shared" si="686"/>
        <v/>
      </c>
    </row>
    <row r="1203" spans="1:32" ht="15.75" customHeight="1" x14ac:dyDescent="0.3">
      <c r="A1203" s="85" t="str">
        <f t="shared" si="688"/>
        <v/>
      </c>
      <c r="C1203" s="87"/>
      <c r="E1203" s="87"/>
      <c r="H1203" s="87"/>
      <c r="I1203" s="87"/>
      <c r="O1203" s="90" t="str">
        <f t="shared" si="683"/>
        <v/>
      </c>
      <c r="Q1203" s="91" t="str">
        <f t="shared" si="684"/>
        <v/>
      </c>
      <c r="R1203" s="91" t="str">
        <f t="shared" si="687"/>
        <v/>
      </c>
      <c r="S1203" s="92" t="str">
        <f t="shared" si="685"/>
        <v/>
      </c>
      <c r="T1203" s="93"/>
      <c r="U1203" s="94" t="str">
        <f t="shared" si="689"/>
        <v/>
      </c>
      <c r="X1203" s="96"/>
      <c r="Y1203" s="97" t="str">
        <f t="shared" si="691"/>
        <v/>
      </c>
      <c r="Z1203" s="98" t="str">
        <f>SUBSTITUTE('Digitas UK Task 26'!$O1203, "Complet", "Not Requir")</f>
        <v/>
      </c>
      <c r="AA1203" s="98" t="str">
        <f t="shared" si="690"/>
        <v/>
      </c>
      <c r="AB1203" s="99"/>
      <c r="AF1203" s="84" t="str">
        <f t="shared" si="686"/>
        <v/>
      </c>
    </row>
    <row r="1204" spans="1:32" ht="15.75" customHeight="1" x14ac:dyDescent="0.3">
      <c r="A1204" s="85" t="str">
        <f t="shared" si="688"/>
        <v/>
      </c>
      <c r="C1204" s="87"/>
      <c r="E1204" s="87"/>
      <c r="H1204" s="87"/>
      <c r="I1204" s="87"/>
      <c r="O1204" s="90" t="str">
        <f t="shared" si="683"/>
        <v/>
      </c>
      <c r="Q1204" s="91" t="str">
        <f t="shared" si="684"/>
        <v/>
      </c>
      <c r="R1204" s="91" t="str">
        <f t="shared" si="687"/>
        <v/>
      </c>
      <c r="S1204" s="92" t="str">
        <f t="shared" si="685"/>
        <v/>
      </c>
      <c r="T1204" s="93"/>
      <c r="U1204" s="94" t="str">
        <f t="shared" si="689"/>
        <v/>
      </c>
      <c r="X1204" s="96"/>
      <c r="Y1204" s="97" t="str">
        <f t="shared" si="691"/>
        <v/>
      </c>
      <c r="Z1204" s="98" t="str">
        <f>SUBSTITUTE('Digitas UK Task 26'!$O1204, "Complet", "Not Requir")</f>
        <v/>
      </c>
      <c r="AA1204" s="98" t="str">
        <f t="shared" si="690"/>
        <v/>
      </c>
      <c r="AB1204" s="99"/>
      <c r="AF1204" s="84" t="str">
        <f t="shared" si="686"/>
        <v/>
      </c>
    </row>
    <row r="1205" spans="1:32" ht="15.75" customHeight="1" x14ac:dyDescent="0.3">
      <c r="A1205" s="85" t="str">
        <f t="shared" si="688"/>
        <v/>
      </c>
      <c r="C1205" s="87"/>
      <c r="E1205" s="87"/>
      <c r="H1205" s="87"/>
      <c r="I1205" s="87"/>
      <c r="O1205" s="90" t="str">
        <f t="shared" si="683"/>
        <v/>
      </c>
      <c r="Q1205" s="91" t="str">
        <f t="shared" si="684"/>
        <v/>
      </c>
      <c r="R1205" s="91" t="str">
        <f t="shared" si="687"/>
        <v/>
      </c>
      <c r="S1205" s="92" t="str">
        <f t="shared" si="685"/>
        <v/>
      </c>
      <c r="T1205" s="93"/>
      <c r="U1205" s="94" t="str">
        <f t="shared" si="689"/>
        <v/>
      </c>
      <c r="X1205" s="96"/>
      <c r="Y1205" s="97" t="str">
        <f t="shared" si="691"/>
        <v/>
      </c>
      <c r="Z1205" s="98" t="str">
        <f>SUBSTITUTE('Digitas UK Task 26'!$O1205, "Complet", "Not Requir")</f>
        <v/>
      </c>
      <c r="AA1205" s="98" t="str">
        <f t="shared" si="690"/>
        <v/>
      </c>
      <c r="AB1205" s="99"/>
      <c r="AF1205" s="84" t="str">
        <f t="shared" si="686"/>
        <v/>
      </c>
    </row>
    <row r="1206" spans="1:32" ht="15.75" customHeight="1" x14ac:dyDescent="0.3">
      <c r="A1206" s="85" t="str">
        <f t="shared" si="688"/>
        <v/>
      </c>
      <c r="C1206" s="87"/>
      <c r="E1206" s="87"/>
      <c r="H1206" s="87"/>
      <c r="I1206" s="87"/>
      <c r="O1206" s="90" t="str">
        <f t="shared" si="683"/>
        <v/>
      </c>
      <c r="Q1206" s="91" t="str">
        <f t="shared" si="684"/>
        <v/>
      </c>
      <c r="R1206" s="91" t="str">
        <f t="shared" si="687"/>
        <v/>
      </c>
      <c r="S1206" s="92" t="str">
        <f t="shared" si="685"/>
        <v/>
      </c>
      <c r="T1206" s="93"/>
      <c r="U1206" s="94" t="str">
        <f t="shared" si="689"/>
        <v/>
      </c>
      <c r="X1206" s="96"/>
      <c r="Y1206" s="97" t="str">
        <f t="shared" si="691"/>
        <v/>
      </c>
      <c r="Z1206" s="98" t="str">
        <f>SUBSTITUTE('Digitas UK Task 26'!$O1206, "Complet", "Not Requir")</f>
        <v/>
      </c>
      <c r="AA1206" s="98" t="str">
        <f t="shared" si="690"/>
        <v/>
      </c>
      <c r="AB1206" s="99"/>
      <c r="AF1206" s="84" t="str">
        <f t="shared" si="686"/>
        <v/>
      </c>
    </row>
    <row r="1207" spans="1:32" ht="15.75" customHeight="1" x14ac:dyDescent="0.3">
      <c r="A1207" s="85" t="str">
        <f t="shared" si="688"/>
        <v/>
      </c>
      <c r="C1207" s="87"/>
      <c r="E1207" s="87"/>
      <c r="H1207" s="87"/>
      <c r="I1207" s="87"/>
      <c r="O1207" s="90" t="str">
        <f t="shared" ref="O1207:O1270" si="692">IF(F1207="","","In-process")</f>
        <v/>
      </c>
      <c r="Q1207" s="91" t="str">
        <f t="shared" si="684"/>
        <v/>
      </c>
      <c r="R1207" s="91" t="str">
        <f t="shared" si="687"/>
        <v/>
      </c>
      <c r="S1207" s="92" t="str">
        <f t="shared" si="685"/>
        <v/>
      </c>
      <c r="T1207" s="93"/>
      <c r="U1207" s="94" t="str">
        <f t="shared" si="689"/>
        <v/>
      </c>
      <c r="X1207" s="96"/>
      <c r="Y1207" s="97" t="str">
        <f t="shared" si="691"/>
        <v/>
      </c>
      <c r="Z1207" s="98" t="str">
        <f>SUBSTITUTE('Digitas UK Task 26'!$O1207, "Complet", "Not Requir")</f>
        <v/>
      </c>
      <c r="AA1207" s="98" t="str">
        <f t="shared" si="690"/>
        <v/>
      </c>
      <c r="AB1207" s="99"/>
      <c r="AF1207" s="84" t="str">
        <f t="shared" si="686"/>
        <v/>
      </c>
    </row>
    <row r="1208" spans="1:32" ht="15.75" customHeight="1" x14ac:dyDescent="0.3">
      <c r="A1208" s="85" t="str">
        <f t="shared" si="688"/>
        <v/>
      </c>
      <c r="C1208" s="87"/>
      <c r="E1208" s="87"/>
      <c r="H1208" s="87"/>
      <c r="I1208" s="87"/>
      <c r="O1208" s="90" t="str">
        <f t="shared" si="692"/>
        <v/>
      </c>
      <c r="Q1208" s="91" t="str">
        <f t="shared" si="684"/>
        <v/>
      </c>
      <c r="R1208" s="91" t="str">
        <f t="shared" si="687"/>
        <v/>
      </c>
      <c r="S1208" s="92" t="str">
        <f t="shared" si="685"/>
        <v/>
      </c>
      <c r="T1208" s="93"/>
      <c r="U1208" s="94" t="str">
        <f t="shared" si="689"/>
        <v/>
      </c>
      <c r="X1208" s="96"/>
      <c r="Y1208" s="97" t="str">
        <f t="shared" si="691"/>
        <v/>
      </c>
      <c r="Z1208" s="98" t="str">
        <f>SUBSTITUTE('Digitas UK Task 26'!$O1208, "Complet", "Not Requir")</f>
        <v/>
      </c>
      <c r="AA1208" s="98" t="str">
        <f t="shared" si="690"/>
        <v/>
      </c>
      <c r="AB1208" s="99"/>
      <c r="AF1208" s="84" t="str">
        <f t="shared" si="686"/>
        <v/>
      </c>
    </row>
    <row r="1209" spans="1:32" ht="15.75" customHeight="1" x14ac:dyDescent="0.3">
      <c r="A1209" s="85" t="str">
        <f t="shared" si="688"/>
        <v/>
      </c>
      <c r="C1209" s="87"/>
      <c r="E1209" s="87"/>
      <c r="H1209" s="87"/>
      <c r="I1209" s="87"/>
      <c r="O1209" s="90" t="str">
        <f t="shared" si="692"/>
        <v/>
      </c>
      <c r="Q1209" s="91" t="str">
        <f t="shared" si="684"/>
        <v/>
      </c>
      <c r="R1209" s="91" t="str">
        <f t="shared" si="687"/>
        <v/>
      </c>
      <c r="S1209" s="92" t="str">
        <f t="shared" si="685"/>
        <v/>
      </c>
      <c r="T1209" s="93"/>
      <c r="U1209" s="94" t="str">
        <f t="shared" si="689"/>
        <v/>
      </c>
      <c r="X1209" s="96"/>
      <c r="Y1209" s="97" t="str">
        <f t="shared" si="691"/>
        <v/>
      </c>
      <c r="Z1209" s="98" t="str">
        <f>SUBSTITUTE('Digitas UK Task 26'!$O1209, "Complet", "Not Requir")</f>
        <v/>
      </c>
      <c r="AA1209" s="98" t="str">
        <f t="shared" si="690"/>
        <v/>
      </c>
      <c r="AB1209" s="99"/>
      <c r="AF1209" s="84" t="str">
        <f t="shared" si="686"/>
        <v/>
      </c>
    </row>
    <row r="1210" spans="1:32" ht="15.75" customHeight="1" x14ac:dyDescent="0.3">
      <c r="A1210" s="85" t="str">
        <f t="shared" si="688"/>
        <v/>
      </c>
      <c r="C1210" s="87"/>
      <c r="E1210" s="87"/>
      <c r="H1210" s="87"/>
      <c r="I1210" s="87"/>
      <c r="O1210" s="90" t="str">
        <f t="shared" si="692"/>
        <v/>
      </c>
      <c r="Q1210" s="91" t="str">
        <f t="shared" si="684"/>
        <v/>
      </c>
      <c r="R1210" s="91" t="str">
        <f t="shared" si="687"/>
        <v/>
      </c>
      <c r="S1210" s="92" t="str">
        <f t="shared" si="685"/>
        <v/>
      </c>
      <c r="T1210" s="93"/>
      <c r="U1210" s="94" t="str">
        <f t="shared" si="689"/>
        <v/>
      </c>
      <c r="X1210" s="96"/>
      <c r="Y1210" s="97" t="str">
        <f t="shared" si="691"/>
        <v/>
      </c>
      <c r="Z1210" s="98" t="str">
        <f>SUBSTITUTE('Digitas UK Task 26'!$O1210, "Complet", "Not Requir")</f>
        <v/>
      </c>
      <c r="AA1210" s="98" t="str">
        <f t="shared" si="690"/>
        <v/>
      </c>
      <c r="AB1210" s="99"/>
      <c r="AF1210" s="84" t="str">
        <f t="shared" si="686"/>
        <v/>
      </c>
    </row>
    <row r="1211" spans="1:32" ht="15.75" customHeight="1" x14ac:dyDescent="0.3">
      <c r="A1211" s="85" t="str">
        <f t="shared" si="688"/>
        <v/>
      </c>
      <c r="C1211" s="87"/>
      <c r="E1211" s="87"/>
      <c r="H1211" s="87"/>
      <c r="I1211" s="87"/>
      <c r="O1211" s="90" t="str">
        <f t="shared" si="692"/>
        <v/>
      </c>
      <c r="Q1211" s="91" t="str">
        <f t="shared" si="684"/>
        <v/>
      </c>
      <c r="R1211" s="91" t="str">
        <f t="shared" si="687"/>
        <v/>
      </c>
      <c r="S1211" s="92" t="str">
        <f t="shared" si="685"/>
        <v/>
      </c>
      <c r="T1211" s="93"/>
      <c r="U1211" s="94" t="str">
        <f t="shared" si="689"/>
        <v/>
      </c>
      <c r="X1211" s="96"/>
      <c r="Y1211" s="97" t="str">
        <f t="shared" si="691"/>
        <v/>
      </c>
      <c r="Z1211" s="98" t="str">
        <f>SUBSTITUTE('Digitas UK Task 26'!$O1211, "Complet", "Not Requir")</f>
        <v/>
      </c>
      <c r="AA1211" s="98" t="str">
        <f t="shared" si="690"/>
        <v/>
      </c>
      <c r="AB1211" s="99"/>
      <c r="AF1211" s="84" t="str">
        <f t="shared" si="686"/>
        <v/>
      </c>
    </row>
    <row r="1212" spans="1:32" ht="15.75" customHeight="1" x14ac:dyDescent="0.3">
      <c r="A1212" s="85" t="str">
        <f t="shared" si="688"/>
        <v/>
      </c>
      <c r="C1212" s="87"/>
      <c r="E1212" s="87"/>
      <c r="H1212" s="87"/>
      <c r="I1212" s="87"/>
      <c r="O1212" s="90" t="str">
        <f t="shared" si="692"/>
        <v/>
      </c>
      <c r="Q1212" s="91" t="str">
        <f t="shared" si="684"/>
        <v/>
      </c>
      <c r="R1212" s="91" t="str">
        <f t="shared" si="687"/>
        <v/>
      </c>
      <c r="S1212" s="92" t="str">
        <f t="shared" si="685"/>
        <v/>
      </c>
      <c r="T1212" s="93"/>
      <c r="U1212" s="94" t="str">
        <f t="shared" si="689"/>
        <v/>
      </c>
      <c r="X1212" s="96"/>
      <c r="Y1212" s="97" t="str">
        <f t="shared" si="691"/>
        <v/>
      </c>
      <c r="Z1212" s="98" t="str">
        <f>SUBSTITUTE('Digitas UK Task 26'!$O1212, "Complet", "Not Requir")</f>
        <v/>
      </c>
      <c r="AA1212" s="98" t="str">
        <f t="shared" si="690"/>
        <v/>
      </c>
      <c r="AB1212" s="99"/>
      <c r="AF1212" s="84" t="str">
        <f t="shared" si="686"/>
        <v/>
      </c>
    </row>
    <row r="1213" spans="1:32" ht="15.75" customHeight="1" x14ac:dyDescent="0.3">
      <c r="A1213" s="85" t="str">
        <f t="shared" si="688"/>
        <v/>
      </c>
      <c r="C1213" s="87"/>
      <c r="E1213" s="87"/>
      <c r="H1213" s="87"/>
      <c r="I1213" s="87"/>
      <c r="O1213" s="90" t="str">
        <f t="shared" si="692"/>
        <v/>
      </c>
      <c r="Q1213" s="91" t="str">
        <f t="shared" si="684"/>
        <v/>
      </c>
      <c r="R1213" s="91" t="str">
        <f t="shared" si="687"/>
        <v/>
      </c>
      <c r="S1213" s="92" t="str">
        <f t="shared" si="685"/>
        <v/>
      </c>
      <c r="T1213" s="93"/>
      <c r="U1213" s="94" t="str">
        <f t="shared" si="689"/>
        <v/>
      </c>
      <c r="X1213" s="96"/>
      <c r="Y1213" s="97" t="str">
        <f t="shared" si="691"/>
        <v/>
      </c>
      <c r="Z1213" s="98" t="str">
        <f>SUBSTITUTE('Digitas UK Task 26'!$O1213, "Complet", "Not Requir")</f>
        <v/>
      </c>
      <c r="AA1213" s="98" t="str">
        <f t="shared" si="690"/>
        <v/>
      </c>
      <c r="AB1213" s="99"/>
      <c r="AF1213" s="84" t="str">
        <f t="shared" si="686"/>
        <v/>
      </c>
    </row>
    <row r="1214" spans="1:32" ht="15.75" customHeight="1" x14ac:dyDescent="0.3">
      <c r="A1214" s="85" t="str">
        <f t="shared" si="688"/>
        <v/>
      </c>
      <c r="C1214" s="87"/>
      <c r="E1214" s="87"/>
      <c r="H1214" s="87"/>
      <c r="I1214" s="87"/>
      <c r="O1214" s="90" t="str">
        <f t="shared" si="692"/>
        <v/>
      </c>
      <c r="Q1214" s="91" t="str">
        <f t="shared" si="684"/>
        <v/>
      </c>
      <c r="R1214" s="91" t="str">
        <f t="shared" si="687"/>
        <v/>
      </c>
      <c r="S1214" s="92" t="str">
        <f t="shared" si="685"/>
        <v/>
      </c>
      <c r="T1214" s="93"/>
      <c r="U1214" s="94" t="str">
        <f t="shared" si="689"/>
        <v/>
      </c>
      <c r="X1214" s="96"/>
      <c r="Y1214" s="97" t="str">
        <f t="shared" si="691"/>
        <v/>
      </c>
      <c r="Z1214" s="98" t="str">
        <f>SUBSTITUTE('Digitas UK Task 26'!$O1214, "Complet", "Not Requir")</f>
        <v/>
      </c>
      <c r="AA1214" s="98" t="str">
        <f t="shared" si="690"/>
        <v/>
      </c>
      <c r="AB1214" s="99"/>
      <c r="AF1214" s="84" t="str">
        <f t="shared" si="686"/>
        <v/>
      </c>
    </row>
    <row r="1215" spans="1:32" ht="15.75" customHeight="1" x14ac:dyDescent="0.3">
      <c r="A1215" s="85" t="str">
        <f t="shared" si="688"/>
        <v/>
      </c>
      <c r="C1215" s="87"/>
      <c r="E1215" s="87"/>
      <c r="H1215" s="87"/>
      <c r="I1215" s="87"/>
      <c r="O1215" s="90" t="str">
        <f t="shared" si="692"/>
        <v/>
      </c>
      <c r="Q1215" s="91" t="str">
        <f t="shared" si="684"/>
        <v/>
      </c>
      <c r="R1215" s="91" t="str">
        <f t="shared" si="687"/>
        <v/>
      </c>
      <c r="S1215" s="92" t="str">
        <f t="shared" si="685"/>
        <v/>
      </c>
      <c r="T1215" s="93"/>
      <c r="U1215" s="94" t="str">
        <f t="shared" si="689"/>
        <v/>
      </c>
      <c r="X1215" s="96"/>
      <c r="Y1215" s="97" t="str">
        <f t="shared" si="691"/>
        <v/>
      </c>
      <c r="Z1215" s="98" t="str">
        <f>SUBSTITUTE('Digitas UK Task 26'!$O1215, "Complet", "Not Requir")</f>
        <v/>
      </c>
      <c r="AA1215" s="98" t="str">
        <f t="shared" si="690"/>
        <v/>
      </c>
      <c r="AB1215" s="99"/>
      <c r="AF1215" s="84" t="str">
        <f t="shared" si="686"/>
        <v/>
      </c>
    </row>
    <row r="1216" spans="1:32" ht="15.75" customHeight="1" x14ac:dyDescent="0.3">
      <c r="A1216" s="85" t="str">
        <f t="shared" si="688"/>
        <v/>
      </c>
      <c r="C1216" s="87"/>
      <c r="E1216" s="87"/>
      <c r="H1216" s="87"/>
      <c r="I1216" s="87"/>
      <c r="O1216" s="90" t="str">
        <f t="shared" si="692"/>
        <v/>
      </c>
      <c r="Q1216" s="91" t="str">
        <f t="shared" si="684"/>
        <v/>
      </c>
      <c r="R1216" s="91" t="str">
        <f t="shared" si="687"/>
        <v/>
      </c>
      <c r="S1216" s="92" t="str">
        <f t="shared" si="685"/>
        <v/>
      </c>
      <c r="T1216" s="93"/>
      <c r="U1216" s="94" t="str">
        <f t="shared" si="689"/>
        <v/>
      </c>
      <c r="X1216" s="96"/>
      <c r="Y1216" s="97" t="str">
        <f t="shared" si="691"/>
        <v/>
      </c>
      <c r="Z1216" s="98" t="str">
        <f>SUBSTITUTE('Digitas UK Task 26'!$O1216, "Complet", "Not Requir")</f>
        <v/>
      </c>
      <c r="AA1216" s="98" t="str">
        <f t="shared" si="690"/>
        <v/>
      </c>
      <c r="AB1216" s="99"/>
      <c r="AF1216" s="84" t="str">
        <f t="shared" si="686"/>
        <v/>
      </c>
    </row>
    <row r="1217" spans="1:32" ht="15.75" customHeight="1" x14ac:dyDescent="0.3">
      <c r="A1217" s="85" t="str">
        <f t="shared" si="688"/>
        <v/>
      </c>
      <c r="C1217" s="87"/>
      <c r="E1217" s="87"/>
      <c r="H1217" s="87"/>
      <c r="I1217" s="87"/>
      <c r="O1217" s="90" t="str">
        <f t="shared" si="692"/>
        <v/>
      </c>
      <c r="Q1217" s="91" t="str">
        <f t="shared" si="684"/>
        <v/>
      </c>
      <c r="R1217" s="91" t="str">
        <f t="shared" si="687"/>
        <v/>
      </c>
      <c r="S1217" s="92" t="str">
        <f t="shared" si="685"/>
        <v/>
      </c>
      <c r="T1217" s="93"/>
      <c r="U1217" s="94" t="str">
        <f t="shared" si="689"/>
        <v/>
      </c>
      <c r="X1217" s="96"/>
      <c r="Y1217" s="97" t="str">
        <f t="shared" si="691"/>
        <v/>
      </c>
      <c r="Z1217" s="98" t="str">
        <f>SUBSTITUTE('Digitas UK Task 26'!$O1217, "Complet", "Not Requir")</f>
        <v/>
      </c>
      <c r="AA1217" s="98" t="str">
        <f t="shared" si="690"/>
        <v/>
      </c>
      <c r="AB1217" s="99"/>
      <c r="AF1217" s="84" t="str">
        <f t="shared" si="686"/>
        <v/>
      </c>
    </row>
    <row r="1218" spans="1:32" ht="15.75" customHeight="1" x14ac:dyDescent="0.3">
      <c r="A1218" s="85" t="str">
        <f t="shared" si="688"/>
        <v/>
      </c>
      <c r="C1218" s="87"/>
      <c r="E1218" s="87"/>
      <c r="H1218" s="87"/>
      <c r="I1218" s="87"/>
      <c r="O1218" s="90" t="str">
        <f t="shared" si="692"/>
        <v/>
      </c>
      <c r="Q1218" s="91" t="str">
        <f t="shared" si="684"/>
        <v/>
      </c>
      <c r="R1218" s="91" t="str">
        <f t="shared" si="687"/>
        <v/>
      </c>
      <c r="S1218" s="92" t="str">
        <f t="shared" si="685"/>
        <v/>
      </c>
      <c r="T1218" s="93"/>
      <c r="U1218" s="94" t="str">
        <f t="shared" si="689"/>
        <v/>
      </c>
      <c r="X1218" s="96"/>
      <c r="Y1218" s="97" t="str">
        <f t="shared" si="691"/>
        <v/>
      </c>
      <c r="Z1218" s="98" t="str">
        <f>SUBSTITUTE('Digitas UK Task 26'!$O1218, "Complet", "Not Requir")</f>
        <v/>
      </c>
      <c r="AA1218" s="98" t="str">
        <f t="shared" si="690"/>
        <v/>
      </c>
      <c r="AB1218" s="99"/>
      <c r="AF1218" s="84" t="str">
        <f t="shared" si="686"/>
        <v/>
      </c>
    </row>
    <row r="1219" spans="1:32" ht="15.75" customHeight="1" x14ac:dyDescent="0.3">
      <c r="A1219" s="85" t="str">
        <f t="shared" si="688"/>
        <v/>
      </c>
      <c r="C1219" s="87"/>
      <c r="E1219" s="87"/>
      <c r="H1219" s="87"/>
      <c r="I1219" s="87"/>
      <c r="O1219" s="90" t="str">
        <f t="shared" si="692"/>
        <v/>
      </c>
      <c r="Q1219" s="91" t="str">
        <f t="shared" si="684"/>
        <v/>
      </c>
      <c r="R1219" s="91" t="str">
        <f t="shared" si="687"/>
        <v/>
      </c>
      <c r="S1219" s="92" t="str">
        <f t="shared" si="685"/>
        <v/>
      </c>
      <c r="T1219" s="93"/>
      <c r="U1219" s="94" t="str">
        <f t="shared" si="689"/>
        <v/>
      </c>
      <c r="X1219" s="96"/>
      <c r="Y1219" s="97" t="str">
        <f t="shared" si="691"/>
        <v/>
      </c>
      <c r="Z1219" s="98" t="str">
        <f>SUBSTITUTE('Digitas UK Task 26'!$O1219, "Complet", "Not Requir")</f>
        <v/>
      </c>
      <c r="AA1219" s="98" t="str">
        <f t="shared" si="690"/>
        <v/>
      </c>
      <c r="AB1219" s="99"/>
      <c r="AF1219" s="84" t="str">
        <f t="shared" si="686"/>
        <v/>
      </c>
    </row>
    <row r="1220" spans="1:32" ht="15.75" customHeight="1" x14ac:dyDescent="0.3">
      <c r="A1220" s="85" t="str">
        <f t="shared" si="688"/>
        <v/>
      </c>
      <c r="C1220" s="87"/>
      <c r="E1220" s="87"/>
      <c r="H1220" s="87"/>
      <c r="I1220" s="87"/>
      <c r="O1220" s="90" t="str">
        <f t="shared" si="692"/>
        <v/>
      </c>
      <c r="Q1220" s="91" t="str">
        <f t="shared" si="684"/>
        <v/>
      </c>
      <c r="R1220" s="91" t="str">
        <f t="shared" si="687"/>
        <v/>
      </c>
      <c r="S1220" s="92" t="str">
        <f t="shared" si="685"/>
        <v/>
      </c>
      <c r="T1220" s="93"/>
      <c r="U1220" s="94" t="str">
        <f t="shared" si="689"/>
        <v/>
      </c>
      <c r="X1220" s="96"/>
      <c r="Y1220" s="97" t="str">
        <f t="shared" si="691"/>
        <v/>
      </c>
      <c r="Z1220" s="98" t="str">
        <f>SUBSTITUTE('Digitas UK Task 26'!$O1220, "Complet", "Not Requir")</f>
        <v/>
      </c>
      <c r="AA1220" s="98" t="str">
        <f t="shared" si="690"/>
        <v/>
      </c>
      <c r="AB1220" s="99"/>
      <c r="AF1220" s="84" t="str">
        <f t="shared" si="686"/>
        <v/>
      </c>
    </row>
    <row r="1221" spans="1:32" ht="15.75" customHeight="1" x14ac:dyDescent="0.3">
      <c r="A1221" s="85" t="str">
        <f t="shared" si="688"/>
        <v/>
      </c>
      <c r="C1221" s="87"/>
      <c r="E1221" s="87"/>
      <c r="H1221" s="87"/>
      <c r="I1221" s="87"/>
      <c r="O1221" s="90" t="str">
        <f t="shared" si="692"/>
        <v/>
      </c>
      <c r="Q1221" s="91" t="str">
        <f t="shared" si="684"/>
        <v/>
      </c>
      <c r="R1221" s="91" t="str">
        <f t="shared" si="687"/>
        <v/>
      </c>
      <c r="S1221" s="92" t="str">
        <f t="shared" si="685"/>
        <v/>
      </c>
      <c r="T1221" s="93"/>
      <c r="U1221" s="94" t="str">
        <f t="shared" si="689"/>
        <v/>
      </c>
      <c r="X1221" s="96"/>
      <c r="Y1221" s="97" t="str">
        <f t="shared" si="691"/>
        <v/>
      </c>
      <c r="Z1221" s="98" t="str">
        <f>SUBSTITUTE('Digitas UK Task 26'!$O1221, "Complet", "Not Requir")</f>
        <v/>
      </c>
      <c r="AA1221" s="98" t="str">
        <f t="shared" si="690"/>
        <v/>
      </c>
      <c r="AB1221" s="99"/>
      <c r="AF1221" s="84" t="str">
        <f t="shared" si="686"/>
        <v/>
      </c>
    </row>
    <row r="1222" spans="1:32" ht="15.75" customHeight="1" x14ac:dyDescent="0.3">
      <c r="A1222" s="85" t="str">
        <f t="shared" si="688"/>
        <v/>
      </c>
      <c r="C1222" s="87"/>
      <c r="E1222" s="87"/>
      <c r="H1222" s="87"/>
      <c r="I1222" s="87"/>
      <c r="O1222" s="90" t="str">
        <f t="shared" si="692"/>
        <v/>
      </c>
      <c r="Q1222" s="91" t="str">
        <f t="shared" si="684"/>
        <v/>
      </c>
      <c r="R1222" s="91" t="str">
        <f t="shared" si="687"/>
        <v/>
      </c>
      <c r="S1222" s="92" t="str">
        <f t="shared" si="685"/>
        <v/>
      </c>
      <c r="T1222" s="93"/>
      <c r="U1222" s="94" t="str">
        <f t="shared" si="689"/>
        <v/>
      </c>
      <c r="X1222" s="96"/>
      <c r="Y1222" s="97" t="str">
        <f t="shared" si="691"/>
        <v/>
      </c>
      <c r="Z1222" s="98" t="str">
        <f>SUBSTITUTE('Digitas UK Task 26'!$O1222, "Complet", "Not Requir")</f>
        <v/>
      </c>
      <c r="AA1222" s="98" t="str">
        <f t="shared" si="690"/>
        <v/>
      </c>
      <c r="AB1222" s="99"/>
      <c r="AF1222" s="84" t="str">
        <f t="shared" si="686"/>
        <v/>
      </c>
    </row>
    <row r="1223" spans="1:32" ht="15.75" customHeight="1" x14ac:dyDescent="0.3">
      <c r="A1223" s="85" t="str">
        <f t="shared" si="688"/>
        <v/>
      </c>
      <c r="C1223" s="87"/>
      <c r="E1223" s="87"/>
      <c r="H1223" s="87"/>
      <c r="I1223" s="87"/>
      <c r="O1223" s="90" t="str">
        <f t="shared" si="692"/>
        <v/>
      </c>
      <c r="Q1223" s="91" t="str">
        <f t="shared" si="684"/>
        <v/>
      </c>
      <c r="R1223" s="91" t="str">
        <f t="shared" si="687"/>
        <v/>
      </c>
      <c r="S1223" s="92" t="str">
        <f t="shared" si="685"/>
        <v/>
      </c>
      <c r="T1223" s="93"/>
      <c r="U1223" s="94" t="str">
        <f t="shared" si="689"/>
        <v/>
      </c>
      <c r="X1223" s="96"/>
      <c r="Y1223" s="97" t="str">
        <f t="shared" si="691"/>
        <v/>
      </c>
      <c r="Z1223" s="98" t="str">
        <f>SUBSTITUTE('Digitas UK Task 26'!$O1223, "Complet", "Not Requir")</f>
        <v/>
      </c>
      <c r="AA1223" s="98" t="str">
        <f t="shared" si="690"/>
        <v/>
      </c>
      <c r="AB1223" s="99"/>
      <c r="AF1223" s="84" t="str">
        <f t="shared" si="686"/>
        <v/>
      </c>
    </row>
    <row r="1224" spans="1:32" ht="15.75" customHeight="1" x14ac:dyDescent="0.3">
      <c r="A1224" s="85" t="str">
        <f t="shared" si="688"/>
        <v/>
      </c>
      <c r="C1224" s="87"/>
      <c r="E1224" s="87"/>
      <c r="H1224" s="87"/>
      <c r="I1224" s="87"/>
      <c r="O1224" s="90" t="str">
        <f t="shared" si="692"/>
        <v/>
      </c>
      <c r="Q1224" s="91" t="str">
        <f t="shared" si="684"/>
        <v/>
      </c>
      <c r="R1224" s="91" t="str">
        <f t="shared" si="687"/>
        <v/>
      </c>
      <c r="S1224" s="92" t="str">
        <f t="shared" si="685"/>
        <v/>
      </c>
      <c r="T1224" s="93"/>
      <c r="U1224" s="94" t="str">
        <f t="shared" si="689"/>
        <v/>
      </c>
      <c r="X1224" s="96"/>
      <c r="Y1224" s="97" t="str">
        <f t="shared" si="691"/>
        <v/>
      </c>
      <c r="Z1224" s="98" t="str">
        <f>SUBSTITUTE('Digitas UK Task 26'!$O1224, "Complet", "Not Requir")</f>
        <v/>
      </c>
      <c r="AA1224" s="98" t="str">
        <f t="shared" si="690"/>
        <v/>
      </c>
      <c r="AB1224" s="99"/>
      <c r="AF1224" s="84" t="str">
        <f t="shared" si="686"/>
        <v/>
      </c>
    </row>
    <row r="1225" spans="1:32" ht="15.75" customHeight="1" x14ac:dyDescent="0.3">
      <c r="A1225" s="85" t="str">
        <f t="shared" si="688"/>
        <v/>
      </c>
      <c r="C1225" s="87"/>
      <c r="E1225" s="87"/>
      <c r="H1225" s="87"/>
      <c r="I1225" s="87"/>
      <c r="O1225" s="90" t="str">
        <f t="shared" si="692"/>
        <v/>
      </c>
      <c r="Q1225" s="91" t="str">
        <f t="shared" si="684"/>
        <v/>
      </c>
      <c r="R1225" s="91" t="str">
        <f t="shared" si="687"/>
        <v/>
      </c>
      <c r="S1225" s="92" t="str">
        <f t="shared" si="685"/>
        <v/>
      </c>
      <c r="T1225" s="93"/>
      <c r="U1225" s="94" t="str">
        <f t="shared" si="689"/>
        <v/>
      </c>
      <c r="X1225" s="96"/>
      <c r="Y1225" s="97" t="str">
        <f t="shared" si="691"/>
        <v/>
      </c>
      <c r="Z1225" s="98" t="str">
        <f>SUBSTITUTE('Digitas UK Task 26'!$O1225, "Complet", "Not Requir")</f>
        <v/>
      </c>
      <c r="AA1225" s="98" t="str">
        <f t="shared" si="690"/>
        <v/>
      </c>
      <c r="AB1225" s="99"/>
      <c r="AF1225" s="84" t="str">
        <f t="shared" si="686"/>
        <v/>
      </c>
    </row>
    <row r="1226" spans="1:32" ht="15.75" customHeight="1" x14ac:dyDescent="0.3">
      <c r="A1226" s="85" t="str">
        <f t="shared" si="688"/>
        <v/>
      </c>
      <c r="C1226" s="87"/>
      <c r="E1226" s="87"/>
      <c r="H1226" s="87"/>
      <c r="I1226" s="87"/>
      <c r="O1226" s="90" t="str">
        <f t="shared" si="692"/>
        <v/>
      </c>
      <c r="Q1226" s="91" t="str">
        <f t="shared" si="684"/>
        <v/>
      </c>
      <c r="R1226" s="91" t="str">
        <f t="shared" si="687"/>
        <v/>
      </c>
      <c r="S1226" s="92" t="str">
        <f t="shared" si="685"/>
        <v/>
      </c>
      <c r="T1226" s="93"/>
      <c r="U1226" s="94" t="str">
        <f t="shared" si="689"/>
        <v/>
      </c>
      <c r="X1226" s="96"/>
      <c r="Y1226" s="97" t="str">
        <f t="shared" si="691"/>
        <v/>
      </c>
      <c r="Z1226" s="98" t="str">
        <f>SUBSTITUTE('Digitas UK Task 26'!$O1226, "Complet", "Not Requir")</f>
        <v/>
      </c>
      <c r="AA1226" s="98" t="str">
        <f t="shared" si="690"/>
        <v/>
      </c>
      <c r="AB1226" s="99"/>
      <c r="AF1226" s="84" t="str">
        <f t="shared" si="686"/>
        <v/>
      </c>
    </row>
    <row r="1227" spans="1:32" ht="15.75" customHeight="1" x14ac:dyDescent="0.3">
      <c r="A1227" s="85" t="str">
        <f t="shared" si="688"/>
        <v/>
      </c>
      <c r="C1227" s="87"/>
      <c r="E1227" s="87"/>
      <c r="H1227" s="87"/>
      <c r="I1227" s="87"/>
      <c r="O1227" s="90" t="str">
        <f t="shared" si="692"/>
        <v/>
      </c>
      <c r="Q1227" s="91" t="str">
        <f t="shared" si="684"/>
        <v/>
      </c>
      <c r="R1227" s="91" t="str">
        <f t="shared" si="687"/>
        <v/>
      </c>
      <c r="S1227" s="92" t="str">
        <f t="shared" si="685"/>
        <v/>
      </c>
      <c r="T1227" s="93"/>
      <c r="U1227" s="94" t="str">
        <f t="shared" si="689"/>
        <v/>
      </c>
      <c r="X1227" s="96"/>
      <c r="Y1227" s="97" t="str">
        <f t="shared" si="691"/>
        <v/>
      </c>
      <c r="Z1227" s="98" t="str">
        <f>SUBSTITUTE('Digitas UK Task 26'!$O1227, "Complet", "Not Requir")</f>
        <v/>
      </c>
      <c r="AA1227" s="98" t="str">
        <f t="shared" si="690"/>
        <v/>
      </c>
      <c r="AB1227" s="99"/>
      <c r="AF1227" s="84" t="str">
        <f t="shared" si="686"/>
        <v/>
      </c>
    </row>
    <row r="1228" spans="1:32" ht="15.75" customHeight="1" x14ac:dyDescent="0.3">
      <c r="A1228" s="85" t="str">
        <f t="shared" si="688"/>
        <v/>
      </c>
      <c r="C1228" s="87"/>
      <c r="E1228" s="87"/>
      <c r="H1228" s="87"/>
      <c r="I1228" s="87"/>
      <c r="O1228" s="90" t="str">
        <f t="shared" si="692"/>
        <v/>
      </c>
      <c r="Q1228" s="91" t="str">
        <f t="shared" si="684"/>
        <v/>
      </c>
      <c r="R1228" s="91" t="str">
        <f t="shared" si="687"/>
        <v/>
      </c>
      <c r="S1228" s="92" t="str">
        <f t="shared" si="685"/>
        <v/>
      </c>
      <c r="T1228" s="93"/>
      <c r="U1228" s="94" t="str">
        <f t="shared" si="689"/>
        <v/>
      </c>
      <c r="X1228" s="96"/>
      <c r="Y1228" s="97" t="str">
        <f t="shared" si="691"/>
        <v/>
      </c>
      <c r="Z1228" s="98" t="str">
        <f>SUBSTITUTE('Digitas UK Task 26'!$O1228, "Complet", "Not Requir")</f>
        <v/>
      </c>
      <c r="AA1228" s="98" t="str">
        <f t="shared" si="690"/>
        <v/>
      </c>
      <c r="AB1228" s="99"/>
      <c r="AF1228" s="84" t="str">
        <f t="shared" si="686"/>
        <v/>
      </c>
    </row>
    <row r="1229" spans="1:32" ht="15.75" customHeight="1" x14ac:dyDescent="0.3">
      <c r="A1229" s="85" t="str">
        <f t="shared" si="688"/>
        <v/>
      </c>
      <c r="C1229" s="87"/>
      <c r="E1229" s="87"/>
      <c r="H1229" s="87"/>
      <c r="I1229" s="87"/>
      <c r="O1229" s="90" t="str">
        <f t="shared" si="692"/>
        <v/>
      </c>
      <c r="Q1229" s="91" t="str">
        <f t="shared" si="684"/>
        <v/>
      </c>
      <c r="R1229" s="91" t="str">
        <f t="shared" si="687"/>
        <v/>
      </c>
      <c r="S1229" s="92" t="str">
        <f t="shared" si="685"/>
        <v/>
      </c>
      <c r="T1229" s="93"/>
      <c r="U1229" s="94" t="str">
        <f t="shared" si="689"/>
        <v/>
      </c>
      <c r="X1229" s="96"/>
      <c r="Y1229" s="97" t="str">
        <f t="shared" si="691"/>
        <v/>
      </c>
      <c r="Z1229" s="98" t="str">
        <f>SUBSTITUTE('Digitas UK Task 26'!$O1229, "Complet", "Not Requir")</f>
        <v/>
      </c>
      <c r="AA1229" s="98" t="str">
        <f t="shared" si="690"/>
        <v/>
      </c>
      <c r="AB1229" s="99"/>
      <c r="AF1229" s="84" t="str">
        <f t="shared" si="686"/>
        <v/>
      </c>
    </row>
    <row r="1230" spans="1:32" ht="15.75" customHeight="1" x14ac:dyDescent="0.3">
      <c r="A1230" s="85" t="str">
        <f t="shared" si="688"/>
        <v/>
      </c>
      <c r="C1230" s="87"/>
      <c r="E1230" s="87"/>
      <c r="H1230" s="87"/>
      <c r="I1230" s="87"/>
      <c r="O1230" s="90" t="str">
        <f t="shared" si="692"/>
        <v/>
      </c>
      <c r="Q1230" s="91" t="str">
        <f t="shared" si="684"/>
        <v/>
      </c>
      <c r="R1230" s="91" t="str">
        <f t="shared" si="687"/>
        <v/>
      </c>
      <c r="S1230" s="92" t="str">
        <f t="shared" si="685"/>
        <v/>
      </c>
      <c r="T1230" s="93"/>
      <c r="U1230" s="94" t="str">
        <f t="shared" si="689"/>
        <v/>
      </c>
      <c r="X1230" s="96"/>
      <c r="Y1230" s="97" t="str">
        <f t="shared" si="691"/>
        <v/>
      </c>
      <c r="Z1230" s="98" t="str">
        <f>SUBSTITUTE('Digitas UK Task 26'!$O1230, "Complet", "Not Requir")</f>
        <v/>
      </c>
      <c r="AA1230" s="98" t="str">
        <f t="shared" si="690"/>
        <v/>
      </c>
      <c r="AB1230" s="99"/>
      <c r="AF1230" s="84" t="str">
        <f t="shared" si="686"/>
        <v/>
      </c>
    </row>
    <row r="1231" spans="1:32" ht="15.75" customHeight="1" x14ac:dyDescent="0.3">
      <c r="A1231" s="85" t="str">
        <f t="shared" si="688"/>
        <v/>
      </c>
      <c r="C1231" s="87"/>
      <c r="E1231" s="87"/>
      <c r="H1231" s="87"/>
      <c r="I1231" s="87"/>
      <c r="O1231" s="90" t="str">
        <f t="shared" si="692"/>
        <v/>
      </c>
      <c r="Q1231" s="91" t="str">
        <f t="shared" ref="Q1231:Q1294" si="693">IF(B1231="","",WEEKNUM(B1231))</f>
        <v/>
      </c>
      <c r="R1231" s="91" t="str">
        <f t="shared" si="687"/>
        <v/>
      </c>
      <c r="S1231" s="92" t="str">
        <f t="shared" ref="S1231:S1294" si="694">IF(B1231="","",TEXT(B1231,"DDDD"))</f>
        <v/>
      </c>
      <c r="T1231" s="93"/>
      <c r="U1231" s="94" t="str">
        <f t="shared" si="689"/>
        <v/>
      </c>
      <c r="X1231" s="96"/>
      <c r="Y1231" s="97" t="str">
        <f t="shared" si="691"/>
        <v/>
      </c>
      <c r="Z1231" s="98" t="str">
        <f>SUBSTITUTE('Digitas UK Task 26'!$O1231, "Complet", "Not Requir")</f>
        <v/>
      </c>
      <c r="AA1231" s="98" t="str">
        <f t="shared" si="690"/>
        <v/>
      </c>
      <c r="AB1231" s="99"/>
      <c r="AF1231" s="84" t="str">
        <f t="shared" si="686"/>
        <v/>
      </c>
    </row>
    <row r="1232" spans="1:32" ht="15.75" customHeight="1" x14ac:dyDescent="0.3">
      <c r="A1232" s="85" t="str">
        <f t="shared" si="688"/>
        <v/>
      </c>
      <c r="C1232" s="87"/>
      <c r="E1232" s="87"/>
      <c r="H1232" s="87"/>
      <c r="I1232" s="87"/>
      <c r="O1232" s="90" t="str">
        <f t="shared" si="692"/>
        <v/>
      </c>
      <c r="Q1232" s="91" t="str">
        <f t="shared" si="693"/>
        <v/>
      </c>
      <c r="R1232" s="91" t="str">
        <f t="shared" si="687"/>
        <v/>
      </c>
      <c r="S1232" s="92" t="str">
        <f t="shared" si="694"/>
        <v/>
      </c>
      <c r="T1232" s="93"/>
      <c r="U1232" s="94" t="str">
        <f t="shared" si="689"/>
        <v/>
      </c>
      <c r="X1232" s="96"/>
      <c r="Y1232" s="97" t="str">
        <f t="shared" si="691"/>
        <v/>
      </c>
      <c r="Z1232" s="98" t="str">
        <f>SUBSTITUTE('Digitas UK Task 26'!$O1232, "Complet", "Not Requir")</f>
        <v/>
      </c>
      <c r="AA1232" s="98" t="str">
        <f t="shared" si="690"/>
        <v/>
      </c>
      <c r="AB1232" s="99"/>
      <c r="AF1232" s="84" t="str">
        <f t="shared" si="686"/>
        <v/>
      </c>
    </row>
    <row r="1233" spans="1:32" ht="15.75" customHeight="1" x14ac:dyDescent="0.3">
      <c r="A1233" s="85" t="str">
        <f t="shared" si="688"/>
        <v/>
      </c>
      <c r="C1233" s="87"/>
      <c r="E1233" s="87"/>
      <c r="H1233" s="87"/>
      <c r="I1233" s="87"/>
      <c r="O1233" s="90" t="str">
        <f t="shared" si="692"/>
        <v/>
      </c>
      <c r="Q1233" s="91" t="str">
        <f t="shared" si="693"/>
        <v/>
      </c>
      <c r="R1233" s="91" t="str">
        <f t="shared" si="687"/>
        <v/>
      </c>
      <c r="S1233" s="92" t="str">
        <f t="shared" si="694"/>
        <v/>
      </c>
      <c r="T1233" s="93"/>
      <c r="U1233" s="94" t="str">
        <f t="shared" si="689"/>
        <v/>
      </c>
      <c r="X1233" s="96"/>
      <c r="Y1233" s="97" t="str">
        <f t="shared" si="691"/>
        <v/>
      </c>
      <c r="Z1233" s="98" t="str">
        <f>SUBSTITUTE('Digitas UK Task 26'!$O1233, "Complet", "Not Requir")</f>
        <v/>
      </c>
      <c r="AA1233" s="98" t="str">
        <f t="shared" si="690"/>
        <v/>
      </c>
      <c r="AB1233" s="99"/>
      <c r="AF1233" s="84" t="str">
        <f t="shared" si="686"/>
        <v/>
      </c>
    </row>
    <row r="1234" spans="1:32" ht="15.75" customHeight="1" x14ac:dyDescent="0.3">
      <c r="A1234" s="85" t="str">
        <f t="shared" si="688"/>
        <v/>
      </c>
      <c r="C1234" s="87"/>
      <c r="E1234" s="87"/>
      <c r="H1234" s="87"/>
      <c r="I1234" s="87"/>
      <c r="O1234" s="90" t="str">
        <f t="shared" si="692"/>
        <v/>
      </c>
      <c r="Q1234" s="91" t="str">
        <f t="shared" si="693"/>
        <v/>
      </c>
      <c r="R1234" s="91" t="str">
        <f t="shared" si="687"/>
        <v/>
      </c>
      <c r="S1234" s="92" t="str">
        <f t="shared" si="694"/>
        <v/>
      </c>
      <c r="T1234" s="93"/>
      <c r="U1234" s="94" t="str">
        <f t="shared" si="689"/>
        <v/>
      </c>
      <c r="X1234" s="96"/>
      <c r="Y1234" s="97" t="str">
        <f t="shared" si="691"/>
        <v/>
      </c>
      <c r="Z1234" s="98" t="str">
        <f>SUBSTITUTE('Digitas UK Task 26'!$O1234, "Complet", "Not Requir")</f>
        <v/>
      </c>
      <c r="AA1234" s="98" t="str">
        <f t="shared" si="690"/>
        <v/>
      </c>
      <c r="AB1234" s="99"/>
      <c r="AF1234" s="84" t="str">
        <f t="shared" si="686"/>
        <v/>
      </c>
    </row>
    <row r="1235" spans="1:32" ht="15.75" customHeight="1" x14ac:dyDescent="0.3">
      <c r="A1235" s="85" t="str">
        <f t="shared" si="688"/>
        <v/>
      </c>
      <c r="C1235" s="87"/>
      <c r="E1235" s="87"/>
      <c r="H1235" s="87"/>
      <c r="I1235" s="87"/>
      <c r="O1235" s="90" t="str">
        <f t="shared" si="692"/>
        <v/>
      </c>
      <c r="Q1235" s="91" t="str">
        <f t="shared" si="693"/>
        <v/>
      </c>
      <c r="R1235" s="91" t="str">
        <f t="shared" si="687"/>
        <v/>
      </c>
      <c r="S1235" s="92" t="str">
        <f t="shared" si="694"/>
        <v/>
      </c>
      <c r="T1235" s="93"/>
      <c r="U1235" s="94" t="str">
        <f t="shared" si="689"/>
        <v/>
      </c>
      <c r="X1235" s="96"/>
      <c r="Y1235" s="97" t="str">
        <f t="shared" si="691"/>
        <v/>
      </c>
      <c r="Z1235" s="98" t="str">
        <f>SUBSTITUTE('Digitas UK Task 26'!$O1235, "Complet", "Not Requir")</f>
        <v/>
      </c>
      <c r="AA1235" s="98" t="str">
        <f t="shared" si="690"/>
        <v/>
      </c>
      <c r="AB1235" s="99"/>
      <c r="AF1235" s="84" t="str">
        <f t="shared" si="686"/>
        <v/>
      </c>
    </row>
    <row r="1236" spans="1:32" ht="15.75" customHeight="1" x14ac:dyDescent="0.3">
      <c r="A1236" s="85" t="str">
        <f t="shared" si="688"/>
        <v/>
      </c>
      <c r="C1236" s="87"/>
      <c r="E1236" s="87"/>
      <c r="H1236" s="87"/>
      <c r="I1236" s="87"/>
      <c r="O1236" s="90" t="str">
        <f t="shared" si="692"/>
        <v/>
      </c>
      <c r="Q1236" s="91" t="str">
        <f t="shared" si="693"/>
        <v/>
      </c>
      <c r="R1236" s="91" t="str">
        <f t="shared" si="687"/>
        <v/>
      </c>
      <c r="S1236" s="92" t="str">
        <f t="shared" si="694"/>
        <v/>
      </c>
      <c r="T1236" s="93"/>
      <c r="U1236" s="94" t="str">
        <f t="shared" si="689"/>
        <v/>
      </c>
      <c r="X1236" s="96"/>
      <c r="Y1236" s="97" t="str">
        <f t="shared" si="691"/>
        <v/>
      </c>
      <c r="Z1236" s="98" t="str">
        <f>SUBSTITUTE('Digitas UK Task 26'!$O1236, "Complet", "Not Requir")</f>
        <v/>
      </c>
      <c r="AA1236" s="98" t="str">
        <f t="shared" si="690"/>
        <v/>
      </c>
      <c r="AB1236" s="99"/>
      <c r="AF1236" s="84" t="str">
        <f t="shared" si="686"/>
        <v/>
      </c>
    </row>
    <row r="1237" spans="1:32" ht="15.75" customHeight="1" x14ac:dyDescent="0.3">
      <c r="A1237" s="85" t="str">
        <f t="shared" si="688"/>
        <v/>
      </c>
      <c r="C1237" s="87"/>
      <c r="E1237" s="87"/>
      <c r="H1237" s="87"/>
      <c r="I1237" s="87"/>
      <c r="O1237" s="90" t="str">
        <f t="shared" si="692"/>
        <v/>
      </c>
      <c r="Q1237" s="91" t="str">
        <f t="shared" si="693"/>
        <v/>
      </c>
      <c r="R1237" s="91" t="str">
        <f t="shared" si="687"/>
        <v/>
      </c>
      <c r="S1237" s="92" t="str">
        <f t="shared" si="694"/>
        <v/>
      </c>
      <c r="T1237" s="93"/>
      <c r="U1237" s="94" t="str">
        <f t="shared" si="689"/>
        <v/>
      </c>
      <c r="X1237" s="96"/>
      <c r="Y1237" s="97" t="str">
        <f t="shared" si="691"/>
        <v/>
      </c>
      <c r="Z1237" s="98" t="str">
        <f>SUBSTITUTE('Digitas UK Task 26'!$O1237, "Complet", "Not Requir")</f>
        <v/>
      </c>
      <c r="AA1237" s="98" t="str">
        <f t="shared" si="690"/>
        <v/>
      </c>
      <c r="AB1237" s="99"/>
      <c r="AF1237" s="84" t="str">
        <f t="shared" ref="AF1237:AF1300" si="695">IF(AD1237="","",WEEKNUM(AD1237))</f>
        <v/>
      </c>
    </row>
    <row r="1238" spans="1:32" ht="15.75" customHeight="1" x14ac:dyDescent="0.3">
      <c r="A1238" s="85" t="str">
        <f t="shared" si="688"/>
        <v/>
      </c>
      <c r="C1238" s="87"/>
      <c r="E1238" s="87"/>
      <c r="H1238" s="87"/>
      <c r="I1238" s="87"/>
      <c r="O1238" s="90" t="str">
        <f t="shared" si="692"/>
        <v/>
      </c>
      <c r="Q1238" s="91" t="str">
        <f t="shared" si="693"/>
        <v/>
      </c>
      <c r="R1238" s="91" t="str">
        <f t="shared" ref="R1238:R1301" si="696">IF(B1238="","",TEXT(B1238,"MMM"))</f>
        <v/>
      </c>
      <c r="S1238" s="92" t="str">
        <f t="shared" si="694"/>
        <v/>
      </c>
      <c r="T1238" s="93"/>
      <c r="U1238" s="94" t="str">
        <f t="shared" si="689"/>
        <v/>
      </c>
      <c r="X1238" s="96"/>
      <c r="Y1238" s="97" t="str">
        <f t="shared" si="691"/>
        <v/>
      </c>
      <c r="Z1238" s="98" t="str">
        <f>SUBSTITUTE('Digitas UK Task 26'!$O1238, "Complet", "Not Requir")</f>
        <v/>
      </c>
      <c r="AA1238" s="98" t="str">
        <f t="shared" si="690"/>
        <v/>
      </c>
      <c r="AB1238" s="99"/>
      <c r="AF1238" s="84" t="str">
        <f t="shared" si="695"/>
        <v/>
      </c>
    </row>
    <row r="1239" spans="1:32" ht="15.75" customHeight="1" x14ac:dyDescent="0.3">
      <c r="A1239" s="85" t="str">
        <f t="shared" si="688"/>
        <v/>
      </c>
      <c r="C1239" s="87"/>
      <c r="E1239" s="87"/>
      <c r="H1239" s="87"/>
      <c r="I1239" s="87"/>
      <c r="O1239" s="90" t="str">
        <f t="shared" si="692"/>
        <v/>
      </c>
      <c r="Q1239" s="91" t="str">
        <f t="shared" si="693"/>
        <v/>
      </c>
      <c r="R1239" s="91" t="str">
        <f t="shared" si="696"/>
        <v/>
      </c>
      <c r="S1239" s="92" t="str">
        <f t="shared" si="694"/>
        <v/>
      </c>
      <c r="T1239" s="93"/>
      <c r="U1239" s="94" t="str">
        <f t="shared" si="689"/>
        <v/>
      </c>
      <c r="X1239" s="96"/>
      <c r="Y1239" s="97" t="str">
        <f t="shared" si="691"/>
        <v/>
      </c>
      <c r="Z1239" s="98" t="str">
        <f>SUBSTITUTE('Digitas UK Task 26'!$O1239, "Complet", "Not Requir")</f>
        <v/>
      </c>
      <c r="AA1239" s="98" t="str">
        <f t="shared" si="690"/>
        <v/>
      </c>
      <c r="AB1239" s="99"/>
      <c r="AF1239" s="84" t="str">
        <f t="shared" si="695"/>
        <v/>
      </c>
    </row>
    <row r="1240" spans="1:32" ht="15.75" customHeight="1" x14ac:dyDescent="0.3">
      <c r="A1240" s="85" t="str">
        <f t="shared" si="688"/>
        <v/>
      </c>
      <c r="C1240" s="87"/>
      <c r="E1240" s="87"/>
      <c r="H1240" s="87"/>
      <c r="I1240" s="87"/>
      <c r="O1240" s="90" t="str">
        <f t="shared" si="692"/>
        <v/>
      </c>
      <c r="Q1240" s="91" t="str">
        <f t="shared" si="693"/>
        <v/>
      </c>
      <c r="R1240" s="91" t="str">
        <f t="shared" si="696"/>
        <v/>
      </c>
      <c r="S1240" s="92" t="str">
        <f t="shared" si="694"/>
        <v/>
      </c>
      <c r="T1240" s="93"/>
      <c r="U1240" s="94" t="str">
        <f t="shared" si="689"/>
        <v/>
      </c>
      <c r="X1240" s="96"/>
      <c r="Y1240" s="97" t="str">
        <f t="shared" si="691"/>
        <v/>
      </c>
      <c r="Z1240" s="98" t="str">
        <f>SUBSTITUTE('Digitas UK Task 26'!$O1240, "Complet", "Not Requir")</f>
        <v/>
      </c>
      <c r="AA1240" s="98" t="str">
        <f t="shared" si="690"/>
        <v/>
      </c>
      <c r="AB1240" s="99"/>
      <c r="AF1240" s="84" t="str">
        <f t="shared" si="695"/>
        <v/>
      </c>
    </row>
    <row r="1241" spans="1:32" ht="15.75" customHeight="1" x14ac:dyDescent="0.3">
      <c r="A1241" s="85" t="str">
        <f t="shared" si="688"/>
        <v/>
      </c>
      <c r="C1241" s="87"/>
      <c r="E1241" s="87"/>
      <c r="H1241" s="87"/>
      <c r="I1241" s="87"/>
      <c r="O1241" s="90" t="str">
        <f t="shared" si="692"/>
        <v/>
      </c>
      <c r="Q1241" s="91" t="str">
        <f t="shared" si="693"/>
        <v/>
      </c>
      <c r="R1241" s="91" t="str">
        <f t="shared" si="696"/>
        <v/>
      </c>
      <c r="S1241" s="92" t="str">
        <f t="shared" si="694"/>
        <v/>
      </c>
      <c r="T1241" s="93"/>
      <c r="U1241" s="94" t="str">
        <f t="shared" si="689"/>
        <v/>
      </c>
      <c r="X1241" s="96"/>
      <c r="Y1241" s="97" t="str">
        <f t="shared" si="691"/>
        <v/>
      </c>
      <c r="Z1241" s="98" t="str">
        <f>SUBSTITUTE('Digitas UK Task 26'!$O1241, "Complet", "Not Requir")</f>
        <v/>
      </c>
      <c r="AA1241" s="98" t="str">
        <f t="shared" si="690"/>
        <v/>
      </c>
      <c r="AB1241" s="99"/>
      <c r="AF1241" s="84" t="str">
        <f t="shared" si="695"/>
        <v/>
      </c>
    </row>
    <row r="1242" spans="1:32" ht="15.75" customHeight="1" x14ac:dyDescent="0.3">
      <c r="A1242" s="85" t="str">
        <f t="shared" si="688"/>
        <v/>
      </c>
      <c r="C1242" s="87"/>
      <c r="E1242" s="87"/>
      <c r="H1242" s="87"/>
      <c r="I1242" s="87"/>
      <c r="O1242" s="90" t="str">
        <f t="shared" si="692"/>
        <v/>
      </c>
      <c r="Q1242" s="91" t="str">
        <f t="shared" si="693"/>
        <v/>
      </c>
      <c r="R1242" s="91" t="str">
        <f t="shared" si="696"/>
        <v/>
      </c>
      <c r="S1242" s="92" t="str">
        <f t="shared" si="694"/>
        <v/>
      </c>
      <c r="T1242" s="93"/>
      <c r="U1242" s="94" t="str">
        <f t="shared" si="689"/>
        <v/>
      </c>
      <c r="X1242" s="96"/>
      <c r="Y1242" s="97" t="str">
        <f t="shared" si="691"/>
        <v/>
      </c>
      <c r="Z1242" s="98" t="str">
        <f>SUBSTITUTE('Digitas UK Task 26'!$O1242, "Complet", "Not Requir")</f>
        <v/>
      </c>
      <c r="AA1242" s="98" t="str">
        <f t="shared" si="690"/>
        <v/>
      </c>
      <c r="AB1242" s="99"/>
      <c r="AF1242" s="84" t="str">
        <f t="shared" si="695"/>
        <v/>
      </c>
    </row>
    <row r="1243" spans="1:32" ht="15.75" customHeight="1" x14ac:dyDescent="0.3">
      <c r="A1243" s="85" t="str">
        <f t="shared" si="688"/>
        <v/>
      </c>
      <c r="C1243" s="87"/>
      <c r="E1243" s="87"/>
      <c r="H1243" s="87"/>
      <c r="I1243" s="87"/>
      <c r="O1243" s="90" t="str">
        <f t="shared" si="692"/>
        <v/>
      </c>
      <c r="Q1243" s="91" t="str">
        <f t="shared" si="693"/>
        <v/>
      </c>
      <c r="R1243" s="91" t="str">
        <f t="shared" si="696"/>
        <v/>
      </c>
      <c r="S1243" s="92" t="str">
        <f t="shared" si="694"/>
        <v/>
      </c>
      <c r="T1243" s="93"/>
      <c r="U1243" s="94" t="str">
        <f t="shared" si="689"/>
        <v/>
      </c>
      <c r="X1243" s="96"/>
      <c r="Y1243" s="97" t="str">
        <f t="shared" si="691"/>
        <v/>
      </c>
      <c r="Z1243" s="98" t="str">
        <f>SUBSTITUTE('Digitas UK Task 26'!$O1243, "Complet", "Not Requir")</f>
        <v/>
      </c>
      <c r="AA1243" s="98" t="str">
        <f t="shared" si="690"/>
        <v/>
      </c>
      <c r="AB1243" s="99"/>
      <c r="AF1243" s="84" t="str">
        <f t="shared" si="695"/>
        <v/>
      </c>
    </row>
    <row r="1244" spans="1:32" ht="15.75" customHeight="1" x14ac:dyDescent="0.3">
      <c r="A1244" s="85" t="str">
        <f t="shared" si="688"/>
        <v/>
      </c>
      <c r="C1244" s="87"/>
      <c r="E1244" s="87"/>
      <c r="H1244" s="87"/>
      <c r="I1244" s="87"/>
      <c r="O1244" s="90" t="str">
        <f t="shared" si="692"/>
        <v/>
      </c>
      <c r="Q1244" s="91" t="str">
        <f t="shared" si="693"/>
        <v/>
      </c>
      <c r="R1244" s="91" t="str">
        <f t="shared" si="696"/>
        <v/>
      </c>
      <c r="S1244" s="92" t="str">
        <f t="shared" si="694"/>
        <v/>
      </c>
      <c r="T1244" s="93"/>
      <c r="U1244" s="94" t="str">
        <f t="shared" si="689"/>
        <v/>
      </c>
      <c r="X1244" s="96"/>
      <c r="Y1244" s="97" t="str">
        <f t="shared" si="691"/>
        <v/>
      </c>
      <c r="Z1244" s="98" t="str">
        <f>SUBSTITUTE('Digitas UK Task 26'!$O1244, "Complet", "Not Requir")</f>
        <v/>
      </c>
      <c r="AA1244" s="98" t="str">
        <f t="shared" si="690"/>
        <v/>
      </c>
      <c r="AB1244" s="99"/>
      <c r="AF1244" s="84" t="str">
        <f t="shared" si="695"/>
        <v/>
      </c>
    </row>
    <row r="1245" spans="1:32" ht="15.75" customHeight="1" x14ac:dyDescent="0.3">
      <c r="A1245" s="85" t="str">
        <f t="shared" si="688"/>
        <v/>
      </c>
      <c r="C1245" s="87"/>
      <c r="E1245" s="87"/>
      <c r="H1245" s="87"/>
      <c r="I1245" s="87"/>
      <c r="O1245" s="90" t="str">
        <f t="shared" si="692"/>
        <v/>
      </c>
      <c r="Q1245" s="91" t="str">
        <f t="shared" si="693"/>
        <v/>
      </c>
      <c r="R1245" s="91" t="str">
        <f t="shared" si="696"/>
        <v/>
      </c>
      <c r="S1245" s="92" t="str">
        <f t="shared" si="694"/>
        <v/>
      </c>
      <c r="T1245" s="93"/>
      <c r="U1245" s="94" t="str">
        <f t="shared" si="689"/>
        <v/>
      </c>
      <c r="X1245" s="96"/>
      <c r="Y1245" s="97" t="str">
        <f t="shared" si="691"/>
        <v/>
      </c>
      <c r="Z1245" s="98" t="str">
        <f>SUBSTITUTE('Digitas UK Task 26'!$O1245, "Complet", "Not Requir")</f>
        <v/>
      </c>
      <c r="AA1245" s="98" t="str">
        <f t="shared" si="690"/>
        <v/>
      </c>
      <c r="AB1245" s="99"/>
      <c r="AF1245" s="84" t="str">
        <f t="shared" si="695"/>
        <v/>
      </c>
    </row>
    <row r="1246" spans="1:32" ht="15.75" customHeight="1" x14ac:dyDescent="0.3">
      <c r="A1246" s="85" t="str">
        <f t="shared" si="688"/>
        <v/>
      </c>
      <c r="C1246" s="87"/>
      <c r="E1246" s="87"/>
      <c r="H1246" s="87"/>
      <c r="I1246" s="87"/>
      <c r="O1246" s="90" t="str">
        <f t="shared" si="692"/>
        <v/>
      </c>
      <c r="Q1246" s="91" t="str">
        <f t="shared" si="693"/>
        <v/>
      </c>
      <c r="R1246" s="91" t="str">
        <f t="shared" si="696"/>
        <v/>
      </c>
      <c r="S1246" s="92" t="str">
        <f t="shared" si="694"/>
        <v/>
      </c>
      <c r="T1246" s="93"/>
      <c r="U1246" s="94" t="str">
        <f t="shared" si="689"/>
        <v/>
      </c>
      <c r="X1246" s="96"/>
      <c r="Y1246" s="97" t="str">
        <f t="shared" si="691"/>
        <v/>
      </c>
      <c r="Z1246" s="98" t="str">
        <f>SUBSTITUTE('Digitas UK Task 26'!$O1246, "Complet", "Not Requir")</f>
        <v/>
      </c>
      <c r="AA1246" s="98" t="str">
        <f t="shared" si="690"/>
        <v/>
      </c>
      <c r="AB1246" s="99"/>
      <c r="AF1246" s="84" t="str">
        <f t="shared" si="695"/>
        <v/>
      </c>
    </row>
    <row r="1247" spans="1:32" ht="15.75" customHeight="1" x14ac:dyDescent="0.3">
      <c r="A1247" s="85" t="str">
        <f t="shared" si="688"/>
        <v/>
      </c>
      <c r="C1247" s="87"/>
      <c r="E1247" s="87"/>
      <c r="H1247" s="87"/>
      <c r="I1247" s="87"/>
      <c r="O1247" s="90" t="str">
        <f t="shared" si="692"/>
        <v/>
      </c>
      <c r="Q1247" s="91" t="str">
        <f t="shared" si="693"/>
        <v/>
      </c>
      <c r="R1247" s="91" t="str">
        <f t="shared" si="696"/>
        <v/>
      </c>
      <c r="S1247" s="92" t="str">
        <f t="shared" si="694"/>
        <v/>
      </c>
      <c r="T1247" s="93"/>
      <c r="U1247" s="94" t="str">
        <f t="shared" si="689"/>
        <v/>
      </c>
      <c r="X1247" s="96"/>
      <c r="Y1247" s="97" t="str">
        <f t="shared" si="691"/>
        <v/>
      </c>
      <c r="Z1247" s="98" t="str">
        <f>SUBSTITUTE('Digitas UK Task 26'!$O1247, "Complet", "Not Requir")</f>
        <v/>
      </c>
      <c r="AA1247" s="98" t="str">
        <f t="shared" si="690"/>
        <v/>
      </c>
      <c r="AB1247" s="99"/>
      <c r="AF1247" s="84" t="str">
        <f t="shared" si="695"/>
        <v/>
      </c>
    </row>
    <row r="1248" spans="1:32" ht="15.75" customHeight="1" x14ac:dyDescent="0.3">
      <c r="A1248" s="85" t="str">
        <f t="shared" si="688"/>
        <v/>
      </c>
      <c r="C1248" s="87"/>
      <c r="E1248" s="87"/>
      <c r="H1248" s="87"/>
      <c r="I1248" s="87"/>
      <c r="O1248" s="90" t="str">
        <f t="shared" si="692"/>
        <v/>
      </c>
      <c r="Q1248" s="91" t="str">
        <f t="shared" si="693"/>
        <v/>
      </c>
      <c r="R1248" s="91" t="str">
        <f t="shared" si="696"/>
        <v/>
      </c>
      <c r="S1248" s="92" t="str">
        <f t="shared" si="694"/>
        <v/>
      </c>
      <c r="T1248" s="93"/>
      <c r="U1248" s="94" t="str">
        <f t="shared" si="689"/>
        <v/>
      </c>
      <c r="X1248" s="96"/>
      <c r="Y1248" s="97" t="str">
        <f t="shared" si="691"/>
        <v/>
      </c>
      <c r="Z1248" s="98" t="str">
        <f>SUBSTITUTE('Digitas UK Task 26'!$O1248, "Complet", "Not Requir")</f>
        <v/>
      </c>
      <c r="AA1248" s="98" t="str">
        <f t="shared" si="690"/>
        <v/>
      </c>
      <c r="AB1248" s="99"/>
      <c r="AF1248" s="84" t="str">
        <f t="shared" si="695"/>
        <v/>
      </c>
    </row>
    <row r="1249" spans="1:32" ht="15.75" customHeight="1" x14ac:dyDescent="0.3">
      <c r="A1249" s="85" t="str">
        <f t="shared" ref="A1249:A1312" si="697">IF(B1249="","",TEXT(B1249,"MMM : DDDD"))</f>
        <v/>
      </c>
      <c r="C1249" s="87"/>
      <c r="E1249" s="87"/>
      <c r="H1249" s="87"/>
      <c r="I1249" s="87"/>
      <c r="O1249" s="90" t="str">
        <f t="shared" si="692"/>
        <v/>
      </c>
      <c r="Q1249" s="91" t="str">
        <f t="shared" si="693"/>
        <v/>
      </c>
      <c r="R1249" s="91" t="str">
        <f t="shared" si="696"/>
        <v/>
      </c>
      <c r="S1249" s="92" t="str">
        <f t="shared" si="694"/>
        <v/>
      </c>
      <c r="T1249" s="93"/>
      <c r="U1249" s="94" t="str">
        <f t="shared" ref="U1249:U1312" si="698">IF(O1249="Completed","Pending","")</f>
        <v/>
      </c>
      <c r="X1249" s="96"/>
      <c r="Y1249" s="97" t="str">
        <f t="shared" si="691"/>
        <v/>
      </c>
      <c r="Z1249" s="98" t="str">
        <f>SUBSTITUTE('Digitas UK Task 26'!$O1249, "Complet", "Not Requir")</f>
        <v/>
      </c>
      <c r="AA1249" s="98" t="str">
        <f t="shared" ref="AA1249:AA1312" si="699">IF(G1249="","",G1249)</f>
        <v/>
      </c>
      <c r="AB1249" s="99"/>
      <c r="AF1249" s="84" t="str">
        <f t="shared" si="695"/>
        <v/>
      </c>
    </row>
    <row r="1250" spans="1:32" ht="15.75" customHeight="1" x14ac:dyDescent="0.3">
      <c r="A1250" s="85" t="str">
        <f t="shared" si="697"/>
        <v/>
      </c>
      <c r="C1250" s="87"/>
      <c r="E1250" s="87"/>
      <c r="H1250" s="87"/>
      <c r="I1250" s="87"/>
      <c r="O1250" s="90" t="str">
        <f t="shared" si="692"/>
        <v/>
      </c>
      <c r="Q1250" s="91" t="str">
        <f t="shared" si="693"/>
        <v/>
      </c>
      <c r="R1250" s="91" t="str">
        <f t="shared" si="696"/>
        <v/>
      </c>
      <c r="S1250" s="92" t="str">
        <f t="shared" si="694"/>
        <v/>
      </c>
      <c r="T1250" s="93"/>
      <c r="U1250" s="94" t="str">
        <f t="shared" si="698"/>
        <v/>
      </c>
      <c r="X1250" s="96"/>
      <c r="Y1250" s="97" t="str">
        <f t="shared" si="691"/>
        <v/>
      </c>
      <c r="Z1250" s="98" t="str">
        <f>SUBSTITUTE('Digitas UK Task 26'!$O1250, "Complet", "Not Requir")</f>
        <v/>
      </c>
      <c r="AA1250" s="98" t="str">
        <f t="shared" si="699"/>
        <v/>
      </c>
      <c r="AB1250" s="99"/>
      <c r="AF1250" s="84" t="str">
        <f t="shared" si="695"/>
        <v/>
      </c>
    </row>
    <row r="1251" spans="1:32" ht="15.75" customHeight="1" x14ac:dyDescent="0.3">
      <c r="A1251" s="85" t="str">
        <f t="shared" si="697"/>
        <v/>
      </c>
      <c r="C1251" s="87"/>
      <c r="E1251" s="87"/>
      <c r="H1251" s="87"/>
      <c r="I1251" s="87"/>
      <c r="O1251" s="90" t="str">
        <f t="shared" si="692"/>
        <v/>
      </c>
      <c r="Q1251" s="91" t="str">
        <f t="shared" si="693"/>
        <v/>
      </c>
      <c r="R1251" s="91" t="str">
        <f t="shared" si="696"/>
        <v/>
      </c>
      <c r="S1251" s="92" t="str">
        <f t="shared" si="694"/>
        <v/>
      </c>
      <c r="T1251" s="93"/>
      <c r="U1251" s="94" t="str">
        <f t="shared" si="698"/>
        <v/>
      </c>
      <c r="X1251" s="96"/>
      <c r="Y1251" s="97" t="str">
        <f t="shared" si="691"/>
        <v/>
      </c>
      <c r="Z1251" s="98" t="str">
        <f>SUBSTITUTE('Digitas UK Task 26'!$O1251, "Complet", "Not Requir")</f>
        <v/>
      </c>
      <c r="AA1251" s="98" t="str">
        <f t="shared" si="699"/>
        <v/>
      </c>
      <c r="AB1251" s="99"/>
      <c r="AF1251" s="84" t="str">
        <f t="shared" si="695"/>
        <v/>
      </c>
    </row>
    <row r="1252" spans="1:32" ht="15.75" customHeight="1" x14ac:dyDescent="0.3">
      <c r="A1252" s="85" t="str">
        <f t="shared" si="697"/>
        <v/>
      </c>
      <c r="C1252" s="87"/>
      <c r="E1252" s="87"/>
      <c r="H1252" s="87"/>
      <c r="I1252" s="87"/>
      <c r="O1252" s="90" t="str">
        <f t="shared" si="692"/>
        <v/>
      </c>
      <c r="Q1252" s="91" t="str">
        <f t="shared" si="693"/>
        <v/>
      </c>
      <c r="R1252" s="91" t="str">
        <f t="shared" si="696"/>
        <v/>
      </c>
      <c r="S1252" s="92" t="str">
        <f t="shared" si="694"/>
        <v/>
      </c>
      <c r="T1252" s="93"/>
      <c r="U1252" s="94" t="str">
        <f t="shared" si="698"/>
        <v/>
      </c>
      <c r="X1252" s="96"/>
      <c r="Y1252" s="97" t="str">
        <f t="shared" si="691"/>
        <v/>
      </c>
      <c r="Z1252" s="98" t="str">
        <f>SUBSTITUTE('Digitas UK Task 26'!$O1252, "Complet", "Not Requir")</f>
        <v/>
      </c>
      <c r="AA1252" s="98" t="str">
        <f t="shared" si="699"/>
        <v/>
      </c>
      <c r="AB1252" s="99"/>
      <c r="AF1252" s="84" t="str">
        <f t="shared" si="695"/>
        <v/>
      </c>
    </row>
    <row r="1253" spans="1:32" ht="15.75" customHeight="1" x14ac:dyDescent="0.3">
      <c r="A1253" s="85" t="str">
        <f t="shared" si="697"/>
        <v/>
      </c>
      <c r="C1253" s="87"/>
      <c r="E1253" s="87"/>
      <c r="H1253" s="87"/>
      <c r="I1253" s="87"/>
      <c r="O1253" s="90" t="str">
        <f t="shared" si="692"/>
        <v/>
      </c>
      <c r="Q1253" s="91" t="str">
        <f t="shared" si="693"/>
        <v/>
      </c>
      <c r="R1253" s="91" t="str">
        <f t="shared" si="696"/>
        <v/>
      </c>
      <c r="S1253" s="92" t="str">
        <f t="shared" si="694"/>
        <v/>
      </c>
      <c r="T1253" s="93"/>
      <c r="U1253" s="94" t="str">
        <f t="shared" si="698"/>
        <v/>
      </c>
      <c r="X1253" s="96"/>
      <c r="Y1253" s="97" t="str">
        <f t="shared" si="691"/>
        <v/>
      </c>
      <c r="Z1253" s="98" t="str">
        <f>SUBSTITUTE('Digitas UK Task 26'!$O1253, "Complet", "Not Requir")</f>
        <v/>
      </c>
      <c r="AA1253" s="98" t="str">
        <f t="shared" si="699"/>
        <v/>
      </c>
      <c r="AB1253" s="99"/>
      <c r="AF1253" s="84" t="str">
        <f t="shared" si="695"/>
        <v/>
      </c>
    </row>
    <row r="1254" spans="1:32" ht="15.75" customHeight="1" x14ac:dyDescent="0.3">
      <c r="A1254" s="85" t="str">
        <f t="shared" si="697"/>
        <v/>
      </c>
      <c r="C1254" s="87"/>
      <c r="E1254" s="87"/>
      <c r="H1254" s="87"/>
      <c r="I1254" s="87"/>
      <c r="O1254" s="90" t="str">
        <f t="shared" si="692"/>
        <v/>
      </c>
      <c r="Q1254" s="91" t="str">
        <f t="shared" si="693"/>
        <v/>
      </c>
      <c r="R1254" s="91" t="str">
        <f t="shared" si="696"/>
        <v/>
      </c>
      <c r="S1254" s="92" t="str">
        <f t="shared" si="694"/>
        <v/>
      </c>
      <c r="T1254" s="93"/>
      <c r="U1254" s="94" t="str">
        <f t="shared" si="698"/>
        <v/>
      </c>
      <c r="X1254" s="96"/>
      <c r="Y1254" s="97" t="str">
        <f t="shared" si="691"/>
        <v/>
      </c>
      <c r="Z1254" s="98" t="str">
        <f>SUBSTITUTE('Digitas UK Task 26'!$O1254, "Complet", "Not Requir")</f>
        <v/>
      </c>
      <c r="AA1254" s="98" t="str">
        <f t="shared" si="699"/>
        <v/>
      </c>
      <c r="AB1254" s="99"/>
      <c r="AF1254" s="84" t="str">
        <f t="shared" si="695"/>
        <v/>
      </c>
    </row>
    <row r="1255" spans="1:32" ht="15.75" customHeight="1" x14ac:dyDescent="0.3">
      <c r="A1255" s="85" t="str">
        <f t="shared" si="697"/>
        <v/>
      </c>
      <c r="C1255" s="87"/>
      <c r="E1255" s="87"/>
      <c r="H1255" s="87"/>
      <c r="I1255" s="87"/>
      <c r="O1255" s="90" t="str">
        <f t="shared" si="692"/>
        <v/>
      </c>
      <c r="Q1255" s="91" t="str">
        <f t="shared" si="693"/>
        <v/>
      </c>
      <c r="R1255" s="91" t="str">
        <f t="shared" si="696"/>
        <v/>
      </c>
      <c r="S1255" s="92" t="str">
        <f t="shared" si="694"/>
        <v/>
      </c>
      <c r="T1255" s="93"/>
      <c r="U1255" s="94" t="str">
        <f t="shared" si="698"/>
        <v/>
      </c>
      <c r="X1255" s="96"/>
      <c r="Y1255" s="97" t="str">
        <f t="shared" ref="Y1255:Y1318" si="700">IF(M1255="","",M1255)</f>
        <v/>
      </c>
      <c r="Z1255" s="98" t="str">
        <f>SUBSTITUTE('Digitas UK Task 26'!$O1255, "Complet", "Not Requir")</f>
        <v/>
      </c>
      <c r="AA1255" s="98" t="str">
        <f t="shared" si="699"/>
        <v/>
      </c>
      <c r="AB1255" s="99"/>
      <c r="AF1255" s="84" t="str">
        <f t="shared" si="695"/>
        <v/>
      </c>
    </row>
    <row r="1256" spans="1:32" ht="15.75" customHeight="1" x14ac:dyDescent="0.3">
      <c r="A1256" s="85" t="str">
        <f t="shared" si="697"/>
        <v/>
      </c>
      <c r="C1256" s="87"/>
      <c r="E1256" s="87"/>
      <c r="H1256" s="87"/>
      <c r="I1256" s="87"/>
      <c r="O1256" s="90" t="str">
        <f t="shared" si="692"/>
        <v/>
      </c>
      <c r="Q1256" s="91" t="str">
        <f t="shared" si="693"/>
        <v/>
      </c>
      <c r="R1256" s="91" t="str">
        <f t="shared" si="696"/>
        <v/>
      </c>
      <c r="S1256" s="92" t="str">
        <f t="shared" si="694"/>
        <v/>
      </c>
      <c r="T1256" s="93"/>
      <c r="U1256" s="94" t="str">
        <f t="shared" si="698"/>
        <v/>
      </c>
      <c r="X1256" s="96"/>
      <c r="Y1256" s="97" t="str">
        <f t="shared" si="700"/>
        <v/>
      </c>
      <c r="Z1256" s="98" t="str">
        <f>SUBSTITUTE('Digitas UK Task 26'!$O1256, "Complet", "Not Requir")</f>
        <v/>
      </c>
      <c r="AA1256" s="98" t="str">
        <f t="shared" si="699"/>
        <v/>
      </c>
      <c r="AB1256" s="99"/>
      <c r="AF1256" s="84" t="str">
        <f t="shared" si="695"/>
        <v/>
      </c>
    </row>
    <row r="1257" spans="1:32" ht="15.75" customHeight="1" x14ac:dyDescent="0.3">
      <c r="A1257" s="85" t="str">
        <f t="shared" si="697"/>
        <v/>
      </c>
      <c r="C1257" s="87"/>
      <c r="E1257" s="87"/>
      <c r="H1257" s="87"/>
      <c r="I1257" s="87"/>
      <c r="O1257" s="90" t="str">
        <f t="shared" si="692"/>
        <v/>
      </c>
      <c r="Q1257" s="91" t="str">
        <f t="shared" si="693"/>
        <v/>
      </c>
      <c r="R1257" s="91" t="str">
        <f t="shared" si="696"/>
        <v/>
      </c>
      <c r="S1257" s="92" t="str">
        <f t="shared" si="694"/>
        <v/>
      </c>
      <c r="T1257" s="93"/>
      <c r="U1257" s="94" t="str">
        <f t="shared" si="698"/>
        <v/>
      </c>
      <c r="X1257" s="96"/>
      <c r="Y1257" s="97" t="str">
        <f t="shared" si="700"/>
        <v/>
      </c>
      <c r="Z1257" s="98" t="str">
        <f>SUBSTITUTE('Digitas UK Task 26'!$O1257, "Complet", "Not Requir")</f>
        <v/>
      </c>
      <c r="AA1257" s="98" t="str">
        <f t="shared" si="699"/>
        <v/>
      </c>
      <c r="AB1257" s="99"/>
      <c r="AF1257" s="84" t="str">
        <f t="shared" si="695"/>
        <v/>
      </c>
    </row>
    <row r="1258" spans="1:32" ht="15.75" customHeight="1" x14ac:dyDescent="0.3">
      <c r="A1258" s="85" t="str">
        <f t="shared" si="697"/>
        <v/>
      </c>
      <c r="C1258" s="87"/>
      <c r="E1258" s="87"/>
      <c r="H1258" s="87"/>
      <c r="I1258" s="87"/>
      <c r="O1258" s="90" t="str">
        <f t="shared" si="692"/>
        <v/>
      </c>
      <c r="Q1258" s="91" t="str">
        <f t="shared" si="693"/>
        <v/>
      </c>
      <c r="R1258" s="91" t="str">
        <f t="shared" si="696"/>
        <v/>
      </c>
      <c r="S1258" s="92" t="str">
        <f t="shared" si="694"/>
        <v/>
      </c>
      <c r="T1258" s="93"/>
      <c r="U1258" s="94" t="str">
        <f t="shared" si="698"/>
        <v/>
      </c>
      <c r="X1258" s="96"/>
      <c r="Y1258" s="97" t="str">
        <f t="shared" si="700"/>
        <v/>
      </c>
      <c r="Z1258" s="98" t="str">
        <f>SUBSTITUTE('Digitas UK Task 26'!$O1258, "Complet", "Not Requir")</f>
        <v/>
      </c>
      <c r="AA1258" s="98" t="str">
        <f t="shared" si="699"/>
        <v/>
      </c>
      <c r="AB1258" s="99"/>
      <c r="AF1258" s="84" t="str">
        <f t="shared" si="695"/>
        <v/>
      </c>
    </row>
    <row r="1259" spans="1:32" ht="15.75" customHeight="1" x14ac:dyDescent="0.3">
      <c r="A1259" s="85" t="str">
        <f t="shared" si="697"/>
        <v/>
      </c>
      <c r="C1259" s="87"/>
      <c r="E1259" s="87"/>
      <c r="H1259" s="87"/>
      <c r="I1259" s="87"/>
      <c r="O1259" s="90" t="str">
        <f t="shared" si="692"/>
        <v/>
      </c>
      <c r="Q1259" s="91" t="str">
        <f t="shared" si="693"/>
        <v/>
      </c>
      <c r="R1259" s="91" t="str">
        <f t="shared" si="696"/>
        <v/>
      </c>
      <c r="S1259" s="92" t="str">
        <f t="shared" si="694"/>
        <v/>
      </c>
      <c r="T1259" s="93"/>
      <c r="U1259" s="94" t="str">
        <f t="shared" si="698"/>
        <v/>
      </c>
      <c r="X1259" s="96"/>
      <c r="Y1259" s="97" t="str">
        <f t="shared" si="700"/>
        <v/>
      </c>
      <c r="Z1259" s="98" t="str">
        <f>SUBSTITUTE('Digitas UK Task 26'!$O1259, "Complet", "Not Requir")</f>
        <v/>
      </c>
      <c r="AA1259" s="98" t="str">
        <f t="shared" si="699"/>
        <v/>
      </c>
      <c r="AB1259" s="99"/>
      <c r="AF1259" s="84" t="str">
        <f t="shared" si="695"/>
        <v/>
      </c>
    </row>
    <row r="1260" spans="1:32" ht="15.75" customHeight="1" x14ac:dyDescent="0.3">
      <c r="A1260" s="85" t="str">
        <f t="shared" si="697"/>
        <v/>
      </c>
      <c r="C1260" s="87"/>
      <c r="E1260" s="87"/>
      <c r="H1260" s="87"/>
      <c r="I1260" s="87"/>
      <c r="O1260" s="90" t="str">
        <f t="shared" si="692"/>
        <v/>
      </c>
      <c r="Q1260" s="91" t="str">
        <f t="shared" si="693"/>
        <v/>
      </c>
      <c r="R1260" s="91" t="str">
        <f t="shared" si="696"/>
        <v/>
      </c>
      <c r="S1260" s="92" t="str">
        <f t="shared" si="694"/>
        <v/>
      </c>
      <c r="T1260" s="93"/>
      <c r="U1260" s="94" t="str">
        <f t="shared" si="698"/>
        <v/>
      </c>
      <c r="X1260" s="96"/>
      <c r="Y1260" s="97" t="str">
        <f t="shared" si="700"/>
        <v/>
      </c>
      <c r="Z1260" s="98" t="str">
        <f>SUBSTITUTE('Digitas UK Task 26'!$O1260, "Complet", "Not Requir")</f>
        <v/>
      </c>
      <c r="AA1260" s="98" t="str">
        <f t="shared" si="699"/>
        <v/>
      </c>
      <c r="AB1260" s="99"/>
      <c r="AF1260" s="84" t="str">
        <f t="shared" si="695"/>
        <v/>
      </c>
    </row>
    <row r="1261" spans="1:32" ht="15.75" customHeight="1" x14ac:dyDescent="0.3">
      <c r="A1261" s="85" t="str">
        <f t="shared" si="697"/>
        <v/>
      </c>
      <c r="C1261" s="87"/>
      <c r="E1261" s="87"/>
      <c r="H1261" s="87"/>
      <c r="I1261" s="87"/>
      <c r="O1261" s="90" t="str">
        <f t="shared" si="692"/>
        <v/>
      </c>
      <c r="Q1261" s="91" t="str">
        <f t="shared" si="693"/>
        <v/>
      </c>
      <c r="R1261" s="91" t="str">
        <f t="shared" si="696"/>
        <v/>
      </c>
      <c r="S1261" s="92" t="str">
        <f t="shared" si="694"/>
        <v/>
      </c>
      <c r="T1261" s="93"/>
      <c r="U1261" s="94" t="str">
        <f t="shared" si="698"/>
        <v/>
      </c>
      <c r="X1261" s="96"/>
      <c r="Y1261" s="97" t="str">
        <f t="shared" si="700"/>
        <v/>
      </c>
      <c r="Z1261" s="98" t="str">
        <f>SUBSTITUTE('Digitas UK Task 26'!$O1261, "Complet", "Not Requir")</f>
        <v/>
      </c>
      <c r="AA1261" s="98" t="str">
        <f t="shared" si="699"/>
        <v/>
      </c>
      <c r="AB1261" s="99"/>
      <c r="AF1261" s="84" t="str">
        <f t="shared" si="695"/>
        <v/>
      </c>
    </row>
    <row r="1262" spans="1:32" ht="15.75" customHeight="1" x14ac:dyDescent="0.3">
      <c r="A1262" s="85" t="str">
        <f t="shared" si="697"/>
        <v/>
      </c>
      <c r="C1262" s="87"/>
      <c r="E1262" s="87"/>
      <c r="H1262" s="87"/>
      <c r="I1262" s="87"/>
      <c r="O1262" s="90" t="str">
        <f t="shared" si="692"/>
        <v/>
      </c>
      <c r="Q1262" s="91" t="str">
        <f t="shared" si="693"/>
        <v/>
      </c>
      <c r="R1262" s="91" t="str">
        <f t="shared" si="696"/>
        <v/>
      </c>
      <c r="S1262" s="92" t="str">
        <f t="shared" si="694"/>
        <v/>
      </c>
      <c r="T1262" s="93"/>
      <c r="U1262" s="94" t="str">
        <f t="shared" si="698"/>
        <v/>
      </c>
      <c r="X1262" s="96"/>
      <c r="Y1262" s="97" t="str">
        <f t="shared" si="700"/>
        <v/>
      </c>
      <c r="Z1262" s="98" t="str">
        <f>SUBSTITUTE('Digitas UK Task 26'!$O1262, "Complet", "Not Requir")</f>
        <v/>
      </c>
      <c r="AA1262" s="98" t="str">
        <f t="shared" si="699"/>
        <v/>
      </c>
      <c r="AB1262" s="99"/>
      <c r="AF1262" s="84" t="str">
        <f t="shared" si="695"/>
        <v/>
      </c>
    </row>
    <row r="1263" spans="1:32" ht="15.75" customHeight="1" x14ac:dyDescent="0.3">
      <c r="A1263" s="85" t="str">
        <f t="shared" si="697"/>
        <v/>
      </c>
      <c r="C1263" s="87"/>
      <c r="E1263" s="87"/>
      <c r="H1263" s="87"/>
      <c r="I1263" s="87"/>
      <c r="O1263" s="90" t="str">
        <f t="shared" si="692"/>
        <v/>
      </c>
      <c r="Q1263" s="91" t="str">
        <f t="shared" si="693"/>
        <v/>
      </c>
      <c r="R1263" s="91" t="str">
        <f t="shared" si="696"/>
        <v/>
      </c>
      <c r="S1263" s="92" t="str">
        <f t="shared" si="694"/>
        <v/>
      </c>
      <c r="T1263" s="93"/>
      <c r="U1263" s="94" t="str">
        <f t="shared" si="698"/>
        <v/>
      </c>
      <c r="X1263" s="96"/>
      <c r="Y1263" s="97" t="str">
        <f t="shared" si="700"/>
        <v/>
      </c>
      <c r="Z1263" s="98" t="str">
        <f>SUBSTITUTE('Digitas UK Task 26'!$O1263, "Complet", "Not Requir")</f>
        <v/>
      </c>
      <c r="AA1263" s="98" t="str">
        <f t="shared" si="699"/>
        <v/>
      </c>
      <c r="AB1263" s="99"/>
      <c r="AF1263" s="84" t="str">
        <f t="shared" si="695"/>
        <v/>
      </c>
    </row>
    <row r="1264" spans="1:32" ht="15.75" customHeight="1" x14ac:dyDescent="0.3">
      <c r="A1264" s="85" t="str">
        <f t="shared" si="697"/>
        <v/>
      </c>
      <c r="C1264" s="87"/>
      <c r="E1264" s="87"/>
      <c r="H1264" s="87"/>
      <c r="I1264" s="87"/>
      <c r="O1264" s="90" t="str">
        <f t="shared" si="692"/>
        <v/>
      </c>
      <c r="Q1264" s="91" t="str">
        <f t="shared" si="693"/>
        <v/>
      </c>
      <c r="R1264" s="91" t="str">
        <f t="shared" si="696"/>
        <v/>
      </c>
      <c r="S1264" s="92" t="str">
        <f t="shared" si="694"/>
        <v/>
      </c>
      <c r="T1264" s="93"/>
      <c r="U1264" s="94" t="str">
        <f t="shared" si="698"/>
        <v/>
      </c>
      <c r="X1264" s="96"/>
      <c r="Y1264" s="97" t="str">
        <f t="shared" si="700"/>
        <v/>
      </c>
      <c r="Z1264" s="98" t="str">
        <f>SUBSTITUTE('Digitas UK Task 26'!$O1264, "Complet", "Not Requir")</f>
        <v/>
      </c>
      <c r="AA1264" s="98" t="str">
        <f t="shared" si="699"/>
        <v/>
      </c>
      <c r="AB1264" s="99"/>
      <c r="AF1264" s="84" t="str">
        <f t="shared" si="695"/>
        <v/>
      </c>
    </row>
    <row r="1265" spans="1:32" ht="15.75" customHeight="1" x14ac:dyDescent="0.3">
      <c r="A1265" s="85" t="str">
        <f t="shared" si="697"/>
        <v/>
      </c>
      <c r="C1265" s="87"/>
      <c r="E1265" s="87"/>
      <c r="H1265" s="87"/>
      <c r="I1265" s="87"/>
      <c r="O1265" s="90" t="str">
        <f t="shared" si="692"/>
        <v/>
      </c>
      <c r="Q1265" s="91" t="str">
        <f t="shared" si="693"/>
        <v/>
      </c>
      <c r="R1265" s="91" t="str">
        <f t="shared" si="696"/>
        <v/>
      </c>
      <c r="S1265" s="92" t="str">
        <f t="shared" si="694"/>
        <v/>
      </c>
      <c r="T1265" s="93"/>
      <c r="U1265" s="94" t="str">
        <f t="shared" si="698"/>
        <v/>
      </c>
      <c r="X1265" s="96"/>
      <c r="Y1265" s="97" t="str">
        <f t="shared" si="700"/>
        <v/>
      </c>
      <c r="Z1265" s="98" t="str">
        <f>SUBSTITUTE('Digitas UK Task 26'!$O1265, "Complet", "Not Requir")</f>
        <v/>
      </c>
      <c r="AA1265" s="98" t="str">
        <f t="shared" si="699"/>
        <v/>
      </c>
      <c r="AB1265" s="99"/>
      <c r="AF1265" s="84" t="str">
        <f t="shared" si="695"/>
        <v/>
      </c>
    </row>
    <row r="1266" spans="1:32" ht="15.75" customHeight="1" x14ac:dyDescent="0.3">
      <c r="A1266" s="85" t="str">
        <f t="shared" si="697"/>
        <v/>
      </c>
      <c r="C1266" s="87"/>
      <c r="E1266" s="87"/>
      <c r="H1266" s="87"/>
      <c r="I1266" s="87"/>
      <c r="O1266" s="90" t="str">
        <f t="shared" si="692"/>
        <v/>
      </c>
      <c r="Q1266" s="91" t="str">
        <f t="shared" si="693"/>
        <v/>
      </c>
      <c r="R1266" s="91" t="str">
        <f t="shared" si="696"/>
        <v/>
      </c>
      <c r="S1266" s="92" t="str">
        <f t="shared" si="694"/>
        <v/>
      </c>
      <c r="T1266" s="93"/>
      <c r="U1266" s="94" t="str">
        <f t="shared" si="698"/>
        <v/>
      </c>
      <c r="X1266" s="96"/>
      <c r="Y1266" s="97" t="str">
        <f t="shared" si="700"/>
        <v/>
      </c>
      <c r="Z1266" s="98" t="str">
        <f>SUBSTITUTE('Digitas UK Task 26'!$O1266, "Complet", "Not Requir")</f>
        <v/>
      </c>
      <c r="AA1266" s="98" t="str">
        <f t="shared" si="699"/>
        <v/>
      </c>
      <c r="AB1266" s="99"/>
      <c r="AF1266" s="84" t="str">
        <f t="shared" si="695"/>
        <v/>
      </c>
    </row>
    <row r="1267" spans="1:32" ht="15.75" customHeight="1" x14ac:dyDescent="0.3">
      <c r="A1267" s="85" t="str">
        <f t="shared" si="697"/>
        <v/>
      </c>
      <c r="C1267" s="87"/>
      <c r="E1267" s="87"/>
      <c r="H1267" s="87"/>
      <c r="I1267" s="87"/>
      <c r="O1267" s="90" t="str">
        <f t="shared" si="692"/>
        <v/>
      </c>
      <c r="Q1267" s="91" t="str">
        <f t="shared" si="693"/>
        <v/>
      </c>
      <c r="R1267" s="91" t="str">
        <f t="shared" si="696"/>
        <v/>
      </c>
      <c r="S1267" s="92" t="str">
        <f t="shared" si="694"/>
        <v/>
      </c>
      <c r="T1267" s="93"/>
      <c r="U1267" s="94" t="str">
        <f t="shared" si="698"/>
        <v/>
      </c>
      <c r="X1267" s="96"/>
      <c r="Y1267" s="97" t="str">
        <f t="shared" si="700"/>
        <v/>
      </c>
      <c r="Z1267" s="98" t="str">
        <f>SUBSTITUTE('Digitas UK Task 26'!$O1267, "Complet", "Not Requir")</f>
        <v/>
      </c>
      <c r="AA1267" s="98" t="str">
        <f t="shared" si="699"/>
        <v/>
      </c>
      <c r="AB1267" s="99"/>
      <c r="AF1267" s="84" t="str">
        <f t="shared" si="695"/>
        <v/>
      </c>
    </row>
    <row r="1268" spans="1:32" ht="15.75" customHeight="1" x14ac:dyDescent="0.3">
      <c r="A1268" s="85" t="str">
        <f t="shared" si="697"/>
        <v/>
      </c>
      <c r="C1268" s="87"/>
      <c r="E1268" s="87"/>
      <c r="H1268" s="87"/>
      <c r="I1268" s="87"/>
      <c r="O1268" s="90" t="str">
        <f t="shared" si="692"/>
        <v/>
      </c>
      <c r="Q1268" s="91" t="str">
        <f t="shared" si="693"/>
        <v/>
      </c>
      <c r="R1268" s="91" t="str">
        <f t="shared" si="696"/>
        <v/>
      </c>
      <c r="S1268" s="92" t="str">
        <f t="shared" si="694"/>
        <v/>
      </c>
      <c r="T1268" s="93"/>
      <c r="U1268" s="94" t="str">
        <f t="shared" si="698"/>
        <v/>
      </c>
      <c r="X1268" s="96"/>
      <c r="Y1268" s="97" t="str">
        <f t="shared" si="700"/>
        <v/>
      </c>
      <c r="Z1268" s="98" t="str">
        <f>SUBSTITUTE('Digitas UK Task 26'!$O1268, "Complet", "Not Requir")</f>
        <v/>
      </c>
      <c r="AA1268" s="98" t="str">
        <f t="shared" si="699"/>
        <v/>
      </c>
      <c r="AB1268" s="99"/>
      <c r="AF1268" s="84" t="str">
        <f t="shared" si="695"/>
        <v/>
      </c>
    </row>
    <row r="1269" spans="1:32" ht="15.75" customHeight="1" x14ac:dyDescent="0.3">
      <c r="A1269" s="85" t="str">
        <f t="shared" si="697"/>
        <v/>
      </c>
      <c r="C1269" s="87"/>
      <c r="E1269" s="87"/>
      <c r="H1269" s="87"/>
      <c r="I1269" s="87"/>
      <c r="O1269" s="90" t="str">
        <f t="shared" si="692"/>
        <v/>
      </c>
      <c r="Q1269" s="91" t="str">
        <f t="shared" si="693"/>
        <v/>
      </c>
      <c r="R1269" s="91" t="str">
        <f t="shared" si="696"/>
        <v/>
      </c>
      <c r="S1269" s="92" t="str">
        <f t="shared" si="694"/>
        <v/>
      </c>
      <c r="T1269" s="93"/>
      <c r="U1269" s="94" t="str">
        <f t="shared" si="698"/>
        <v/>
      </c>
      <c r="X1269" s="96"/>
      <c r="Y1269" s="97" t="str">
        <f t="shared" si="700"/>
        <v/>
      </c>
      <c r="Z1269" s="98" t="str">
        <f>SUBSTITUTE('Digitas UK Task 26'!$O1269, "Complet", "Not Requir")</f>
        <v/>
      </c>
      <c r="AA1269" s="98" t="str">
        <f t="shared" si="699"/>
        <v/>
      </c>
      <c r="AB1269" s="99"/>
      <c r="AF1269" s="84" t="str">
        <f t="shared" si="695"/>
        <v/>
      </c>
    </row>
    <row r="1270" spans="1:32" ht="15.75" customHeight="1" x14ac:dyDescent="0.3">
      <c r="A1270" s="85" t="str">
        <f t="shared" si="697"/>
        <v/>
      </c>
      <c r="C1270" s="87"/>
      <c r="E1270" s="87"/>
      <c r="H1270" s="87"/>
      <c r="I1270" s="87"/>
      <c r="O1270" s="90" t="str">
        <f t="shared" si="692"/>
        <v/>
      </c>
      <c r="Q1270" s="91" t="str">
        <f t="shared" si="693"/>
        <v/>
      </c>
      <c r="R1270" s="91" t="str">
        <f t="shared" si="696"/>
        <v/>
      </c>
      <c r="S1270" s="92" t="str">
        <f t="shared" si="694"/>
        <v/>
      </c>
      <c r="T1270" s="93"/>
      <c r="U1270" s="94" t="str">
        <f t="shared" si="698"/>
        <v/>
      </c>
      <c r="X1270" s="96"/>
      <c r="Y1270" s="97" t="str">
        <f t="shared" si="700"/>
        <v/>
      </c>
      <c r="Z1270" s="98" t="str">
        <f>SUBSTITUTE('Digitas UK Task 26'!$O1270, "Complet", "Not Requir")</f>
        <v/>
      </c>
      <c r="AA1270" s="98" t="str">
        <f t="shared" si="699"/>
        <v/>
      </c>
      <c r="AB1270" s="99"/>
      <c r="AF1270" s="84" t="str">
        <f t="shared" si="695"/>
        <v/>
      </c>
    </row>
    <row r="1271" spans="1:32" ht="15.75" customHeight="1" x14ac:dyDescent="0.3">
      <c r="A1271" s="85" t="str">
        <f t="shared" si="697"/>
        <v/>
      </c>
      <c r="C1271" s="87"/>
      <c r="E1271" s="87"/>
      <c r="H1271" s="87"/>
      <c r="I1271" s="87"/>
      <c r="O1271" s="90" t="str">
        <f t="shared" ref="O1271:O1334" si="701">IF(F1271="","","In-process")</f>
        <v/>
      </c>
      <c r="Q1271" s="91" t="str">
        <f t="shared" si="693"/>
        <v/>
      </c>
      <c r="R1271" s="91" t="str">
        <f t="shared" si="696"/>
        <v/>
      </c>
      <c r="S1271" s="92" t="str">
        <f t="shared" si="694"/>
        <v/>
      </c>
      <c r="T1271" s="93"/>
      <c r="U1271" s="94" t="str">
        <f t="shared" si="698"/>
        <v/>
      </c>
      <c r="X1271" s="96"/>
      <c r="Y1271" s="97" t="str">
        <f t="shared" si="700"/>
        <v/>
      </c>
      <c r="Z1271" s="98" t="str">
        <f>SUBSTITUTE('Digitas UK Task 26'!$O1271, "Complet", "Not Requir")</f>
        <v/>
      </c>
      <c r="AA1271" s="98" t="str">
        <f t="shared" si="699"/>
        <v/>
      </c>
      <c r="AB1271" s="99"/>
      <c r="AF1271" s="84" t="str">
        <f t="shared" si="695"/>
        <v/>
      </c>
    </row>
    <row r="1272" spans="1:32" ht="15.75" customHeight="1" x14ac:dyDescent="0.3">
      <c r="A1272" s="85" t="str">
        <f t="shared" si="697"/>
        <v/>
      </c>
      <c r="C1272" s="87"/>
      <c r="E1272" s="87"/>
      <c r="H1272" s="87"/>
      <c r="I1272" s="87"/>
      <c r="O1272" s="90" t="str">
        <f t="shared" si="701"/>
        <v/>
      </c>
      <c r="Q1272" s="91" t="str">
        <f t="shared" si="693"/>
        <v/>
      </c>
      <c r="R1272" s="91" t="str">
        <f t="shared" si="696"/>
        <v/>
      </c>
      <c r="S1272" s="92" t="str">
        <f t="shared" si="694"/>
        <v/>
      </c>
      <c r="T1272" s="93"/>
      <c r="U1272" s="94" t="str">
        <f t="shared" si="698"/>
        <v/>
      </c>
      <c r="X1272" s="96"/>
      <c r="Y1272" s="97" t="str">
        <f t="shared" si="700"/>
        <v/>
      </c>
      <c r="Z1272" s="98" t="str">
        <f>SUBSTITUTE('Digitas UK Task 26'!$O1272, "Complet", "Not Requir")</f>
        <v/>
      </c>
      <c r="AA1272" s="98" t="str">
        <f t="shared" si="699"/>
        <v/>
      </c>
      <c r="AB1272" s="99"/>
      <c r="AF1272" s="84" t="str">
        <f t="shared" si="695"/>
        <v/>
      </c>
    </row>
    <row r="1273" spans="1:32" ht="15.75" customHeight="1" x14ac:dyDescent="0.3">
      <c r="A1273" s="85" t="str">
        <f t="shared" si="697"/>
        <v/>
      </c>
      <c r="C1273" s="87"/>
      <c r="E1273" s="87"/>
      <c r="H1273" s="87"/>
      <c r="I1273" s="87"/>
      <c r="O1273" s="90" t="str">
        <f t="shared" si="701"/>
        <v/>
      </c>
      <c r="Q1273" s="91" t="str">
        <f t="shared" si="693"/>
        <v/>
      </c>
      <c r="R1273" s="91" t="str">
        <f t="shared" si="696"/>
        <v/>
      </c>
      <c r="S1273" s="92" t="str">
        <f t="shared" si="694"/>
        <v/>
      </c>
      <c r="T1273" s="93"/>
      <c r="U1273" s="94" t="str">
        <f t="shared" si="698"/>
        <v/>
      </c>
      <c r="X1273" s="96"/>
      <c r="Y1273" s="97" t="str">
        <f t="shared" si="700"/>
        <v/>
      </c>
      <c r="Z1273" s="98" t="str">
        <f>SUBSTITUTE('Digitas UK Task 26'!$O1273, "Complet", "Not Requir")</f>
        <v/>
      </c>
      <c r="AA1273" s="98" t="str">
        <f t="shared" si="699"/>
        <v/>
      </c>
      <c r="AB1273" s="99"/>
      <c r="AF1273" s="84" t="str">
        <f t="shared" si="695"/>
        <v/>
      </c>
    </row>
    <row r="1274" spans="1:32" ht="15.75" customHeight="1" x14ac:dyDescent="0.3">
      <c r="A1274" s="85" t="str">
        <f t="shared" si="697"/>
        <v/>
      </c>
      <c r="C1274" s="87"/>
      <c r="E1274" s="87"/>
      <c r="H1274" s="87"/>
      <c r="I1274" s="87"/>
      <c r="O1274" s="90" t="str">
        <f t="shared" si="701"/>
        <v/>
      </c>
      <c r="Q1274" s="91" t="str">
        <f t="shared" si="693"/>
        <v/>
      </c>
      <c r="R1274" s="91" t="str">
        <f t="shared" si="696"/>
        <v/>
      </c>
      <c r="S1274" s="92" t="str">
        <f t="shared" si="694"/>
        <v/>
      </c>
      <c r="T1274" s="93"/>
      <c r="U1274" s="94" t="str">
        <f t="shared" si="698"/>
        <v/>
      </c>
      <c r="X1274" s="96"/>
      <c r="Y1274" s="97" t="str">
        <f t="shared" si="700"/>
        <v/>
      </c>
      <c r="Z1274" s="98" t="str">
        <f>SUBSTITUTE('Digitas UK Task 26'!$O1274, "Complet", "Not Requir")</f>
        <v/>
      </c>
      <c r="AA1274" s="98" t="str">
        <f t="shared" si="699"/>
        <v/>
      </c>
      <c r="AB1274" s="99"/>
      <c r="AF1274" s="84" t="str">
        <f t="shared" si="695"/>
        <v/>
      </c>
    </row>
    <row r="1275" spans="1:32" ht="15.75" customHeight="1" x14ac:dyDescent="0.3">
      <c r="A1275" s="85" t="str">
        <f t="shared" si="697"/>
        <v/>
      </c>
      <c r="C1275" s="87"/>
      <c r="E1275" s="87"/>
      <c r="H1275" s="87"/>
      <c r="I1275" s="87"/>
      <c r="O1275" s="90" t="str">
        <f t="shared" si="701"/>
        <v/>
      </c>
      <c r="Q1275" s="91" t="str">
        <f t="shared" si="693"/>
        <v/>
      </c>
      <c r="R1275" s="91" t="str">
        <f t="shared" si="696"/>
        <v/>
      </c>
      <c r="S1275" s="92" t="str">
        <f t="shared" si="694"/>
        <v/>
      </c>
      <c r="T1275" s="93"/>
      <c r="U1275" s="94" t="str">
        <f t="shared" si="698"/>
        <v/>
      </c>
      <c r="X1275" s="96"/>
      <c r="Y1275" s="97" t="str">
        <f t="shared" si="700"/>
        <v/>
      </c>
      <c r="Z1275" s="98" t="str">
        <f>SUBSTITUTE('Digitas UK Task 26'!$O1275, "Complet", "Not Requir")</f>
        <v/>
      </c>
      <c r="AA1275" s="98" t="str">
        <f t="shared" si="699"/>
        <v/>
      </c>
      <c r="AB1275" s="99"/>
      <c r="AF1275" s="84" t="str">
        <f t="shared" si="695"/>
        <v/>
      </c>
    </row>
    <row r="1276" spans="1:32" ht="15.75" customHeight="1" x14ac:dyDescent="0.3">
      <c r="A1276" s="85" t="str">
        <f t="shared" si="697"/>
        <v/>
      </c>
      <c r="C1276" s="87"/>
      <c r="E1276" s="87"/>
      <c r="H1276" s="87"/>
      <c r="I1276" s="87"/>
      <c r="O1276" s="90" t="str">
        <f t="shared" si="701"/>
        <v/>
      </c>
      <c r="Q1276" s="91" t="str">
        <f t="shared" si="693"/>
        <v/>
      </c>
      <c r="R1276" s="91" t="str">
        <f t="shared" si="696"/>
        <v/>
      </c>
      <c r="S1276" s="92" t="str">
        <f t="shared" si="694"/>
        <v/>
      </c>
      <c r="T1276" s="93"/>
      <c r="U1276" s="94" t="str">
        <f t="shared" si="698"/>
        <v/>
      </c>
      <c r="X1276" s="96"/>
      <c r="Y1276" s="97" t="str">
        <f t="shared" si="700"/>
        <v/>
      </c>
      <c r="Z1276" s="98" t="str">
        <f>SUBSTITUTE('Digitas UK Task 26'!$O1276, "Complet", "Not Requir")</f>
        <v/>
      </c>
      <c r="AA1276" s="98" t="str">
        <f t="shared" si="699"/>
        <v/>
      </c>
      <c r="AB1276" s="99"/>
      <c r="AF1276" s="84" t="str">
        <f t="shared" si="695"/>
        <v/>
      </c>
    </row>
    <row r="1277" spans="1:32" ht="15.75" customHeight="1" x14ac:dyDescent="0.3">
      <c r="A1277" s="85" t="str">
        <f t="shared" si="697"/>
        <v/>
      </c>
      <c r="C1277" s="87"/>
      <c r="E1277" s="87"/>
      <c r="H1277" s="87"/>
      <c r="I1277" s="87"/>
      <c r="O1277" s="90" t="str">
        <f t="shared" si="701"/>
        <v/>
      </c>
      <c r="Q1277" s="91" t="str">
        <f t="shared" si="693"/>
        <v/>
      </c>
      <c r="R1277" s="91" t="str">
        <f t="shared" si="696"/>
        <v/>
      </c>
      <c r="S1277" s="92" t="str">
        <f t="shared" si="694"/>
        <v/>
      </c>
      <c r="T1277" s="93"/>
      <c r="U1277" s="94" t="str">
        <f t="shared" si="698"/>
        <v/>
      </c>
      <c r="X1277" s="96"/>
      <c r="Y1277" s="97" t="str">
        <f t="shared" si="700"/>
        <v/>
      </c>
      <c r="Z1277" s="98" t="str">
        <f>SUBSTITUTE('Digitas UK Task 26'!$O1277, "Complet", "Not Requir")</f>
        <v/>
      </c>
      <c r="AA1277" s="98" t="str">
        <f t="shared" si="699"/>
        <v/>
      </c>
      <c r="AB1277" s="99"/>
      <c r="AF1277" s="84" t="str">
        <f t="shared" si="695"/>
        <v/>
      </c>
    </row>
    <row r="1278" spans="1:32" ht="15.75" customHeight="1" x14ac:dyDescent="0.3">
      <c r="A1278" s="85" t="str">
        <f t="shared" si="697"/>
        <v/>
      </c>
      <c r="C1278" s="87"/>
      <c r="E1278" s="87"/>
      <c r="H1278" s="87"/>
      <c r="I1278" s="87"/>
      <c r="O1278" s="90" t="str">
        <f t="shared" si="701"/>
        <v/>
      </c>
      <c r="Q1278" s="91" t="str">
        <f t="shared" si="693"/>
        <v/>
      </c>
      <c r="R1278" s="91" t="str">
        <f t="shared" si="696"/>
        <v/>
      </c>
      <c r="S1278" s="92" t="str">
        <f t="shared" si="694"/>
        <v/>
      </c>
      <c r="T1278" s="93"/>
      <c r="U1278" s="94" t="str">
        <f t="shared" si="698"/>
        <v/>
      </c>
      <c r="X1278" s="96"/>
      <c r="Y1278" s="97" t="str">
        <f t="shared" si="700"/>
        <v/>
      </c>
      <c r="Z1278" s="98" t="str">
        <f>SUBSTITUTE('Digitas UK Task 26'!$O1278, "Complet", "Not Requir")</f>
        <v/>
      </c>
      <c r="AA1278" s="98" t="str">
        <f t="shared" si="699"/>
        <v/>
      </c>
      <c r="AB1278" s="99"/>
      <c r="AF1278" s="84" t="str">
        <f t="shared" si="695"/>
        <v/>
      </c>
    </row>
    <row r="1279" spans="1:32" ht="15.75" customHeight="1" x14ac:dyDescent="0.3">
      <c r="A1279" s="85" t="str">
        <f t="shared" si="697"/>
        <v/>
      </c>
      <c r="C1279" s="87"/>
      <c r="E1279" s="87"/>
      <c r="H1279" s="87"/>
      <c r="I1279" s="87"/>
      <c r="O1279" s="90" t="str">
        <f t="shared" si="701"/>
        <v/>
      </c>
      <c r="Q1279" s="91" t="str">
        <f t="shared" si="693"/>
        <v/>
      </c>
      <c r="R1279" s="91" t="str">
        <f t="shared" si="696"/>
        <v/>
      </c>
      <c r="S1279" s="92" t="str">
        <f t="shared" si="694"/>
        <v/>
      </c>
      <c r="T1279" s="93"/>
      <c r="U1279" s="94" t="str">
        <f t="shared" si="698"/>
        <v/>
      </c>
      <c r="X1279" s="96"/>
      <c r="Y1279" s="97" t="str">
        <f t="shared" si="700"/>
        <v/>
      </c>
      <c r="Z1279" s="98" t="str">
        <f>SUBSTITUTE('Digitas UK Task 26'!$O1279, "Complet", "Not Requir")</f>
        <v/>
      </c>
      <c r="AA1279" s="98" t="str">
        <f t="shared" si="699"/>
        <v/>
      </c>
      <c r="AB1279" s="99"/>
      <c r="AF1279" s="84" t="str">
        <f t="shared" si="695"/>
        <v/>
      </c>
    </row>
    <row r="1280" spans="1:32" ht="15.75" customHeight="1" x14ac:dyDescent="0.3">
      <c r="A1280" s="85" t="str">
        <f t="shared" si="697"/>
        <v/>
      </c>
      <c r="C1280" s="87"/>
      <c r="E1280" s="87"/>
      <c r="H1280" s="87"/>
      <c r="I1280" s="87"/>
      <c r="O1280" s="90" t="str">
        <f t="shared" si="701"/>
        <v/>
      </c>
      <c r="Q1280" s="91" t="str">
        <f t="shared" si="693"/>
        <v/>
      </c>
      <c r="R1280" s="91" t="str">
        <f t="shared" si="696"/>
        <v/>
      </c>
      <c r="S1280" s="92" t="str">
        <f t="shared" si="694"/>
        <v/>
      </c>
      <c r="T1280" s="93"/>
      <c r="U1280" s="94" t="str">
        <f t="shared" si="698"/>
        <v/>
      </c>
      <c r="X1280" s="96"/>
      <c r="Y1280" s="97" t="str">
        <f t="shared" si="700"/>
        <v/>
      </c>
      <c r="Z1280" s="98" t="str">
        <f>SUBSTITUTE('Digitas UK Task 26'!$O1280, "Complet", "Not Requir")</f>
        <v/>
      </c>
      <c r="AA1280" s="98" t="str">
        <f t="shared" si="699"/>
        <v/>
      </c>
      <c r="AB1280" s="99"/>
      <c r="AF1280" s="84" t="str">
        <f t="shared" si="695"/>
        <v/>
      </c>
    </row>
    <row r="1281" spans="1:32" ht="15.75" customHeight="1" x14ac:dyDescent="0.3">
      <c r="A1281" s="85" t="str">
        <f t="shared" si="697"/>
        <v/>
      </c>
      <c r="C1281" s="87"/>
      <c r="E1281" s="87"/>
      <c r="H1281" s="87"/>
      <c r="I1281" s="87"/>
      <c r="O1281" s="90" t="str">
        <f t="shared" si="701"/>
        <v/>
      </c>
      <c r="Q1281" s="91" t="str">
        <f t="shared" si="693"/>
        <v/>
      </c>
      <c r="R1281" s="91" t="str">
        <f t="shared" si="696"/>
        <v/>
      </c>
      <c r="S1281" s="92" t="str">
        <f t="shared" si="694"/>
        <v/>
      </c>
      <c r="T1281" s="93"/>
      <c r="U1281" s="94" t="str">
        <f t="shared" si="698"/>
        <v/>
      </c>
      <c r="X1281" s="96"/>
      <c r="Y1281" s="97" t="str">
        <f t="shared" si="700"/>
        <v/>
      </c>
      <c r="Z1281" s="98" t="str">
        <f>SUBSTITUTE('Digitas UK Task 26'!$O1281, "Complet", "Not Requir")</f>
        <v/>
      </c>
      <c r="AA1281" s="98" t="str">
        <f t="shared" si="699"/>
        <v/>
      </c>
      <c r="AB1281" s="99"/>
      <c r="AF1281" s="84" t="str">
        <f t="shared" si="695"/>
        <v/>
      </c>
    </row>
    <row r="1282" spans="1:32" ht="15.75" customHeight="1" x14ac:dyDescent="0.3">
      <c r="A1282" s="85" t="str">
        <f t="shared" si="697"/>
        <v/>
      </c>
      <c r="C1282" s="87"/>
      <c r="E1282" s="87"/>
      <c r="H1282" s="87"/>
      <c r="I1282" s="87"/>
      <c r="O1282" s="90" t="str">
        <f t="shared" si="701"/>
        <v/>
      </c>
      <c r="Q1282" s="91" t="str">
        <f t="shared" si="693"/>
        <v/>
      </c>
      <c r="R1282" s="91" t="str">
        <f t="shared" si="696"/>
        <v/>
      </c>
      <c r="S1282" s="92" t="str">
        <f t="shared" si="694"/>
        <v/>
      </c>
      <c r="T1282" s="93"/>
      <c r="U1282" s="94" t="str">
        <f t="shared" si="698"/>
        <v/>
      </c>
      <c r="X1282" s="96"/>
      <c r="Y1282" s="97" t="str">
        <f t="shared" si="700"/>
        <v/>
      </c>
      <c r="Z1282" s="98" t="str">
        <f>SUBSTITUTE('Digitas UK Task 26'!$O1282, "Complet", "Not Requir")</f>
        <v/>
      </c>
      <c r="AA1282" s="98" t="str">
        <f t="shared" si="699"/>
        <v/>
      </c>
      <c r="AB1282" s="99"/>
      <c r="AF1282" s="84" t="str">
        <f t="shared" si="695"/>
        <v/>
      </c>
    </row>
    <row r="1283" spans="1:32" ht="15.75" customHeight="1" x14ac:dyDescent="0.3">
      <c r="A1283" s="85" t="str">
        <f t="shared" si="697"/>
        <v/>
      </c>
      <c r="C1283" s="87"/>
      <c r="E1283" s="87"/>
      <c r="H1283" s="87"/>
      <c r="I1283" s="87"/>
      <c r="O1283" s="90" t="str">
        <f t="shared" si="701"/>
        <v/>
      </c>
      <c r="Q1283" s="91" t="str">
        <f t="shared" si="693"/>
        <v/>
      </c>
      <c r="R1283" s="91" t="str">
        <f t="shared" si="696"/>
        <v/>
      </c>
      <c r="S1283" s="92" t="str">
        <f t="shared" si="694"/>
        <v/>
      </c>
      <c r="T1283" s="93"/>
      <c r="U1283" s="94" t="str">
        <f t="shared" si="698"/>
        <v/>
      </c>
      <c r="X1283" s="96"/>
      <c r="Y1283" s="97" t="str">
        <f t="shared" si="700"/>
        <v/>
      </c>
      <c r="Z1283" s="98" t="str">
        <f>SUBSTITUTE('Digitas UK Task 26'!$O1283, "Complet", "Not Requir")</f>
        <v/>
      </c>
      <c r="AA1283" s="98" t="str">
        <f t="shared" si="699"/>
        <v/>
      </c>
      <c r="AB1283" s="99"/>
      <c r="AF1283" s="84" t="str">
        <f t="shared" si="695"/>
        <v/>
      </c>
    </row>
    <row r="1284" spans="1:32" ht="15.75" customHeight="1" x14ac:dyDescent="0.3">
      <c r="A1284" s="85" t="str">
        <f t="shared" si="697"/>
        <v/>
      </c>
      <c r="C1284" s="87"/>
      <c r="E1284" s="87"/>
      <c r="H1284" s="87"/>
      <c r="I1284" s="87"/>
      <c r="O1284" s="90" t="str">
        <f t="shared" si="701"/>
        <v/>
      </c>
      <c r="Q1284" s="91" t="str">
        <f t="shared" si="693"/>
        <v/>
      </c>
      <c r="R1284" s="91" t="str">
        <f t="shared" si="696"/>
        <v/>
      </c>
      <c r="S1284" s="92" t="str">
        <f t="shared" si="694"/>
        <v/>
      </c>
      <c r="T1284" s="93"/>
      <c r="U1284" s="94" t="str">
        <f t="shared" si="698"/>
        <v/>
      </c>
      <c r="X1284" s="96"/>
      <c r="Y1284" s="97" t="str">
        <f t="shared" si="700"/>
        <v/>
      </c>
      <c r="Z1284" s="98" t="str">
        <f>SUBSTITUTE('Digitas UK Task 26'!$O1284, "Complet", "Not Requir")</f>
        <v/>
      </c>
      <c r="AA1284" s="98" t="str">
        <f t="shared" si="699"/>
        <v/>
      </c>
      <c r="AB1284" s="99"/>
      <c r="AF1284" s="84" t="str">
        <f t="shared" si="695"/>
        <v/>
      </c>
    </row>
    <row r="1285" spans="1:32" ht="15.75" customHeight="1" x14ac:dyDescent="0.3">
      <c r="A1285" s="85" t="str">
        <f t="shared" si="697"/>
        <v/>
      </c>
      <c r="C1285" s="87"/>
      <c r="E1285" s="87"/>
      <c r="H1285" s="87"/>
      <c r="I1285" s="87"/>
      <c r="O1285" s="90" t="str">
        <f t="shared" si="701"/>
        <v/>
      </c>
      <c r="Q1285" s="91" t="str">
        <f t="shared" si="693"/>
        <v/>
      </c>
      <c r="R1285" s="91" t="str">
        <f t="shared" si="696"/>
        <v/>
      </c>
      <c r="S1285" s="92" t="str">
        <f t="shared" si="694"/>
        <v/>
      </c>
      <c r="T1285" s="93"/>
      <c r="U1285" s="94" t="str">
        <f t="shared" si="698"/>
        <v/>
      </c>
      <c r="X1285" s="96"/>
      <c r="Y1285" s="97" t="str">
        <f t="shared" si="700"/>
        <v/>
      </c>
      <c r="Z1285" s="98" t="str">
        <f>SUBSTITUTE('Digitas UK Task 26'!$O1285, "Complet", "Not Requir")</f>
        <v/>
      </c>
      <c r="AA1285" s="98" t="str">
        <f t="shared" si="699"/>
        <v/>
      </c>
      <c r="AB1285" s="99"/>
      <c r="AF1285" s="84" t="str">
        <f t="shared" si="695"/>
        <v/>
      </c>
    </row>
    <row r="1286" spans="1:32" ht="15.75" customHeight="1" x14ac:dyDescent="0.3">
      <c r="A1286" s="85" t="str">
        <f t="shared" si="697"/>
        <v/>
      </c>
      <c r="C1286" s="87"/>
      <c r="E1286" s="87"/>
      <c r="H1286" s="87"/>
      <c r="I1286" s="87"/>
      <c r="O1286" s="90" t="str">
        <f t="shared" si="701"/>
        <v/>
      </c>
      <c r="Q1286" s="91" t="str">
        <f t="shared" si="693"/>
        <v/>
      </c>
      <c r="R1286" s="91" t="str">
        <f t="shared" si="696"/>
        <v/>
      </c>
      <c r="S1286" s="92" t="str">
        <f t="shared" si="694"/>
        <v/>
      </c>
      <c r="T1286" s="93"/>
      <c r="U1286" s="94" t="str">
        <f t="shared" si="698"/>
        <v/>
      </c>
      <c r="X1286" s="96"/>
      <c r="Y1286" s="97" t="str">
        <f t="shared" si="700"/>
        <v/>
      </c>
      <c r="Z1286" s="98" t="str">
        <f>SUBSTITUTE('Digitas UK Task 26'!$O1286, "Complet", "Not Requir")</f>
        <v/>
      </c>
      <c r="AA1286" s="98" t="str">
        <f t="shared" si="699"/>
        <v/>
      </c>
      <c r="AB1286" s="99"/>
      <c r="AF1286" s="84" t="str">
        <f t="shared" si="695"/>
        <v/>
      </c>
    </row>
    <row r="1287" spans="1:32" ht="15.75" customHeight="1" x14ac:dyDescent="0.3">
      <c r="A1287" s="85" t="str">
        <f t="shared" si="697"/>
        <v/>
      </c>
      <c r="C1287" s="87"/>
      <c r="E1287" s="87"/>
      <c r="H1287" s="87"/>
      <c r="I1287" s="87"/>
      <c r="O1287" s="90" t="str">
        <f t="shared" si="701"/>
        <v/>
      </c>
      <c r="Q1287" s="91" t="str">
        <f t="shared" si="693"/>
        <v/>
      </c>
      <c r="R1287" s="91" t="str">
        <f t="shared" si="696"/>
        <v/>
      </c>
      <c r="S1287" s="92" t="str">
        <f t="shared" si="694"/>
        <v/>
      </c>
      <c r="T1287" s="93"/>
      <c r="U1287" s="94" t="str">
        <f t="shared" si="698"/>
        <v/>
      </c>
      <c r="X1287" s="96"/>
      <c r="Y1287" s="97" t="str">
        <f t="shared" si="700"/>
        <v/>
      </c>
      <c r="Z1287" s="98" t="str">
        <f>SUBSTITUTE('Digitas UK Task 26'!$O1287, "Complet", "Not Requir")</f>
        <v/>
      </c>
      <c r="AA1287" s="98" t="str">
        <f t="shared" si="699"/>
        <v/>
      </c>
      <c r="AB1287" s="99"/>
      <c r="AF1287" s="84" t="str">
        <f t="shared" si="695"/>
        <v/>
      </c>
    </row>
    <row r="1288" spans="1:32" ht="15.75" customHeight="1" x14ac:dyDescent="0.3">
      <c r="A1288" s="85" t="str">
        <f t="shared" si="697"/>
        <v/>
      </c>
      <c r="C1288" s="87"/>
      <c r="E1288" s="87"/>
      <c r="H1288" s="87"/>
      <c r="I1288" s="87"/>
      <c r="O1288" s="90" t="str">
        <f t="shared" si="701"/>
        <v/>
      </c>
      <c r="Q1288" s="91" t="str">
        <f t="shared" si="693"/>
        <v/>
      </c>
      <c r="R1288" s="91" t="str">
        <f t="shared" si="696"/>
        <v/>
      </c>
      <c r="S1288" s="92" t="str">
        <f t="shared" si="694"/>
        <v/>
      </c>
      <c r="T1288" s="93"/>
      <c r="U1288" s="94" t="str">
        <f t="shared" si="698"/>
        <v/>
      </c>
      <c r="X1288" s="96"/>
      <c r="Y1288" s="97" t="str">
        <f t="shared" si="700"/>
        <v/>
      </c>
      <c r="Z1288" s="98" t="str">
        <f>SUBSTITUTE('Digitas UK Task 26'!$O1288, "Complet", "Not Requir")</f>
        <v/>
      </c>
      <c r="AA1288" s="98" t="str">
        <f t="shared" si="699"/>
        <v/>
      </c>
      <c r="AB1288" s="99"/>
      <c r="AF1288" s="84" t="str">
        <f t="shared" si="695"/>
        <v/>
      </c>
    </row>
    <row r="1289" spans="1:32" ht="15.75" customHeight="1" x14ac:dyDescent="0.3">
      <c r="A1289" s="85" t="str">
        <f t="shared" si="697"/>
        <v/>
      </c>
      <c r="C1289" s="87"/>
      <c r="E1289" s="87"/>
      <c r="H1289" s="87"/>
      <c r="I1289" s="87"/>
      <c r="O1289" s="90" t="str">
        <f t="shared" si="701"/>
        <v/>
      </c>
      <c r="Q1289" s="91" t="str">
        <f t="shared" si="693"/>
        <v/>
      </c>
      <c r="R1289" s="91" t="str">
        <f t="shared" si="696"/>
        <v/>
      </c>
      <c r="S1289" s="92" t="str">
        <f t="shared" si="694"/>
        <v/>
      </c>
      <c r="T1289" s="93"/>
      <c r="U1289" s="94" t="str">
        <f t="shared" si="698"/>
        <v/>
      </c>
      <c r="X1289" s="96"/>
      <c r="Y1289" s="97" t="str">
        <f t="shared" si="700"/>
        <v/>
      </c>
      <c r="Z1289" s="98" t="str">
        <f>SUBSTITUTE('Digitas UK Task 26'!$O1289, "Complet", "Not Requir")</f>
        <v/>
      </c>
      <c r="AA1289" s="98" t="str">
        <f t="shared" si="699"/>
        <v/>
      </c>
      <c r="AB1289" s="99"/>
      <c r="AF1289" s="84" t="str">
        <f t="shared" si="695"/>
        <v/>
      </c>
    </row>
    <row r="1290" spans="1:32" ht="15.75" customHeight="1" x14ac:dyDescent="0.3">
      <c r="A1290" s="85" t="str">
        <f t="shared" si="697"/>
        <v/>
      </c>
      <c r="C1290" s="87"/>
      <c r="E1290" s="87"/>
      <c r="H1290" s="87"/>
      <c r="I1290" s="87"/>
      <c r="O1290" s="90" t="str">
        <f t="shared" si="701"/>
        <v/>
      </c>
      <c r="Q1290" s="91" t="str">
        <f t="shared" si="693"/>
        <v/>
      </c>
      <c r="R1290" s="91" t="str">
        <f t="shared" si="696"/>
        <v/>
      </c>
      <c r="S1290" s="92" t="str">
        <f t="shared" si="694"/>
        <v/>
      </c>
      <c r="T1290" s="93"/>
      <c r="U1290" s="94" t="str">
        <f t="shared" si="698"/>
        <v/>
      </c>
      <c r="X1290" s="96"/>
      <c r="Y1290" s="97" t="str">
        <f t="shared" si="700"/>
        <v/>
      </c>
      <c r="Z1290" s="98" t="str">
        <f>SUBSTITUTE('Digitas UK Task 26'!$O1290, "Complet", "Not Requir")</f>
        <v/>
      </c>
      <c r="AA1290" s="98" t="str">
        <f t="shared" si="699"/>
        <v/>
      </c>
      <c r="AB1290" s="99"/>
      <c r="AF1290" s="84" t="str">
        <f t="shared" si="695"/>
        <v/>
      </c>
    </row>
    <row r="1291" spans="1:32" ht="15.75" customHeight="1" x14ac:dyDescent="0.3">
      <c r="A1291" s="85" t="str">
        <f t="shared" si="697"/>
        <v/>
      </c>
      <c r="C1291" s="87"/>
      <c r="E1291" s="87"/>
      <c r="H1291" s="87"/>
      <c r="I1291" s="87"/>
      <c r="O1291" s="90" t="str">
        <f t="shared" si="701"/>
        <v/>
      </c>
      <c r="Q1291" s="91" t="str">
        <f t="shared" si="693"/>
        <v/>
      </c>
      <c r="R1291" s="91" t="str">
        <f t="shared" si="696"/>
        <v/>
      </c>
      <c r="S1291" s="92" t="str">
        <f t="shared" si="694"/>
        <v/>
      </c>
      <c r="T1291" s="93"/>
      <c r="U1291" s="94" t="str">
        <f t="shared" si="698"/>
        <v/>
      </c>
      <c r="X1291" s="96"/>
      <c r="Y1291" s="97" t="str">
        <f t="shared" si="700"/>
        <v/>
      </c>
      <c r="Z1291" s="98" t="str">
        <f>SUBSTITUTE('Digitas UK Task 26'!$O1291, "Complet", "Not Requir")</f>
        <v/>
      </c>
      <c r="AA1291" s="98" t="str">
        <f t="shared" si="699"/>
        <v/>
      </c>
      <c r="AB1291" s="99"/>
      <c r="AF1291" s="84" t="str">
        <f t="shared" si="695"/>
        <v/>
      </c>
    </row>
    <row r="1292" spans="1:32" ht="15.75" customHeight="1" x14ac:dyDescent="0.3">
      <c r="A1292" s="85" t="str">
        <f t="shared" si="697"/>
        <v/>
      </c>
      <c r="C1292" s="87"/>
      <c r="E1292" s="87"/>
      <c r="H1292" s="87"/>
      <c r="I1292" s="87"/>
      <c r="O1292" s="90" t="str">
        <f t="shared" si="701"/>
        <v/>
      </c>
      <c r="Q1292" s="91" t="str">
        <f t="shared" si="693"/>
        <v/>
      </c>
      <c r="R1292" s="91" t="str">
        <f t="shared" si="696"/>
        <v/>
      </c>
      <c r="S1292" s="92" t="str">
        <f t="shared" si="694"/>
        <v/>
      </c>
      <c r="T1292" s="93"/>
      <c r="U1292" s="94" t="str">
        <f t="shared" si="698"/>
        <v/>
      </c>
      <c r="X1292" s="96"/>
      <c r="Y1292" s="97" t="str">
        <f t="shared" si="700"/>
        <v/>
      </c>
      <c r="Z1292" s="98" t="str">
        <f>SUBSTITUTE('Digitas UK Task 26'!$O1292, "Complet", "Not Requir")</f>
        <v/>
      </c>
      <c r="AA1292" s="98" t="str">
        <f t="shared" si="699"/>
        <v/>
      </c>
      <c r="AB1292" s="99"/>
      <c r="AF1292" s="84" t="str">
        <f t="shared" si="695"/>
        <v/>
      </c>
    </row>
    <row r="1293" spans="1:32" ht="15.75" customHeight="1" x14ac:dyDescent="0.3">
      <c r="A1293" s="85" t="str">
        <f t="shared" si="697"/>
        <v/>
      </c>
      <c r="C1293" s="87"/>
      <c r="E1293" s="87"/>
      <c r="H1293" s="87"/>
      <c r="I1293" s="87"/>
      <c r="O1293" s="90" t="str">
        <f t="shared" si="701"/>
        <v/>
      </c>
      <c r="Q1293" s="91" t="str">
        <f t="shared" si="693"/>
        <v/>
      </c>
      <c r="R1293" s="91" t="str">
        <f t="shared" si="696"/>
        <v/>
      </c>
      <c r="S1293" s="92" t="str">
        <f t="shared" si="694"/>
        <v/>
      </c>
      <c r="T1293" s="93"/>
      <c r="U1293" s="94" t="str">
        <f t="shared" si="698"/>
        <v/>
      </c>
      <c r="X1293" s="96"/>
      <c r="Y1293" s="97" t="str">
        <f t="shared" si="700"/>
        <v/>
      </c>
      <c r="Z1293" s="98" t="str">
        <f>SUBSTITUTE('Digitas UK Task 26'!$O1293, "Complet", "Not Requir")</f>
        <v/>
      </c>
      <c r="AA1293" s="98" t="str">
        <f t="shared" si="699"/>
        <v/>
      </c>
      <c r="AB1293" s="99"/>
      <c r="AF1293" s="84" t="str">
        <f t="shared" si="695"/>
        <v/>
      </c>
    </row>
    <row r="1294" spans="1:32" ht="15.75" customHeight="1" x14ac:dyDescent="0.3">
      <c r="A1294" s="85" t="str">
        <f t="shared" si="697"/>
        <v/>
      </c>
      <c r="C1294" s="87"/>
      <c r="E1294" s="87"/>
      <c r="H1294" s="87"/>
      <c r="I1294" s="87"/>
      <c r="O1294" s="90" t="str">
        <f t="shared" si="701"/>
        <v/>
      </c>
      <c r="Q1294" s="91" t="str">
        <f t="shared" si="693"/>
        <v/>
      </c>
      <c r="R1294" s="91" t="str">
        <f t="shared" si="696"/>
        <v/>
      </c>
      <c r="S1294" s="92" t="str">
        <f t="shared" si="694"/>
        <v/>
      </c>
      <c r="T1294" s="93"/>
      <c r="U1294" s="94" t="str">
        <f t="shared" si="698"/>
        <v/>
      </c>
      <c r="X1294" s="96"/>
      <c r="Y1294" s="97" t="str">
        <f t="shared" si="700"/>
        <v/>
      </c>
      <c r="Z1294" s="98" t="str">
        <f>SUBSTITUTE('Digitas UK Task 26'!$O1294, "Complet", "Not Requir")</f>
        <v/>
      </c>
      <c r="AA1294" s="98" t="str">
        <f t="shared" si="699"/>
        <v/>
      </c>
      <c r="AB1294" s="99"/>
      <c r="AF1294" s="84" t="str">
        <f t="shared" si="695"/>
        <v/>
      </c>
    </row>
    <row r="1295" spans="1:32" ht="15.75" customHeight="1" x14ac:dyDescent="0.3">
      <c r="A1295" s="85" t="str">
        <f t="shared" si="697"/>
        <v/>
      </c>
      <c r="C1295" s="87"/>
      <c r="E1295" s="87"/>
      <c r="H1295" s="87"/>
      <c r="I1295" s="87"/>
      <c r="O1295" s="90" t="str">
        <f t="shared" si="701"/>
        <v/>
      </c>
      <c r="Q1295" s="91" t="str">
        <f t="shared" ref="Q1295:Q1358" si="702">IF(B1295="","",WEEKNUM(B1295))</f>
        <v/>
      </c>
      <c r="R1295" s="91" t="str">
        <f t="shared" si="696"/>
        <v/>
      </c>
      <c r="S1295" s="92" t="str">
        <f t="shared" ref="S1295:S1358" si="703">IF(B1295="","",TEXT(B1295,"DDDD"))</f>
        <v/>
      </c>
      <c r="T1295" s="93"/>
      <c r="U1295" s="94" t="str">
        <f t="shared" si="698"/>
        <v/>
      </c>
      <c r="X1295" s="96"/>
      <c r="Y1295" s="97" t="str">
        <f t="shared" si="700"/>
        <v/>
      </c>
      <c r="Z1295" s="98" t="str">
        <f>SUBSTITUTE('Digitas UK Task 26'!$O1295, "Complet", "Not Requir")</f>
        <v/>
      </c>
      <c r="AA1295" s="98" t="str">
        <f t="shared" si="699"/>
        <v/>
      </c>
      <c r="AB1295" s="99"/>
      <c r="AF1295" s="84" t="str">
        <f t="shared" si="695"/>
        <v/>
      </c>
    </row>
    <row r="1296" spans="1:32" ht="15.75" customHeight="1" x14ac:dyDescent="0.3">
      <c r="A1296" s="85" t="str">
        <f t="shared" si="697"/>
        <v/>
      </c>
      <c r="C1296" s="87"/>
      <c r="E1296" s="87"/>
      <c r="H1296" s="87"/>
      <c r="I1296" s="87"/>
      <c r="O1296" s="90" t="str">
        <f t="shared" si="701"/>
        <v/>
      </c>
      <c r="Q1296" s="91" t="str">
        <f t="shared" si="702"/>
        <v/>
      </c>
      <c r="R1296" s="91" t="str">
        <f t="shared" si="696"/>
        <v/>
      </c>
      <c r="S1296" s="92" t="str">
        <f t="shared" si="703"/>
        <v/>
      </c>
      <c r="T1296" s="93"/>
      <c r="U1296" s="94" t="str">
        <f t="shared" si="698"/>
        <v/>
      </c>
      <c r="X1296" s="96"/>
      <c r="Y1296" s="97" t="str">
        <f t="shared" si="700"/>
        <v/>
      </c>
      <c r="Z1296" s="98" t="str">
        <f>SUBSTITUTE('Digitas UK Task 26'!$O1296, "Complet", "Not Requir")</f>
        <v/>
      </c>
      <c r="AA1296" s="98" t="str">
        <f t="shared" si="699"/>
        <v/>
      </c>
      <c r="AB1296" s="99"/>
      <c r="AF1296" s="84" t="str">
        <f t="shared" si="695"/>
        <v/>
      </c>
    </row>
    <row r="1297" spans="1:32" ht="15.75" customHeight="1" x14ac:dyDescent="0.3">
      <c r="A1297" s="85" t="str">
        <f t="shared" si="697"/>
        <v/>
      </c>
      <c r="C1297" s="87"/>
      <c r="E1297" s="87"/>
      <c r="H1297" s="87"/>
      <c r="I1297" s="87"/>
      <c r="O1297" s="90" t="str">
        <f t="shared" si="701"/>
        <v/>
      </c>
      <c r="Q1297" s="91" t="str">
        <f t="shared" si="702"/>
        <v/>
      </c>
      <c r="R1297" s="91" t="str">
        <f t="shared" si="696"/>
        <v/>
      </c>
      <c r="S1297" s="92" t="str">
        <f t="shared" si="703"/>
        <v/>
      </c>
      <c r="T1297" s="93"/>
      <c r="U1297" s="94" t="str">
        <f t="shared" si="698"/>
        <v/>
      </c>
      <c r="X1297" s="96"/>
      <c r="Y1297" s="97" t="str">
        <f t="shared" si="700"/>
        <v/>
      </c>
      <c r="Z1297" s="98" t="str">
        <f>SUBSTITUTE('Digitas UK Task 26'!$O1297, "Complet", "Not Requir")</f>
        <v/>
      </c>
      <c r="AA1297" s="98" t="str">
        <f t="shared" si="699"/>
        <v/>
      </c>
      <c r="AB1297" s="99"/>
      <c r="AF1297" s="84" t="str">
        <f t="shared" si="695"/>
        <v/>
      </c>
    </row>
    <row r="1298" spans="1:32" ht="15.75" customHeight="1" x14ac:dyDescent="0.3">
      <c r="A1298" s="85" t="str">
        <f t="shared" si="697"/>
        <v/>
      </c>
      <c r="C1298" s="87"/>
      <c r="E1298" s="87"/>
      <c r="H1298" s="87"/>
      <c r="I1298" s="87"/>
      <c r="O1298" s="90" t="str">
        <f t="shared" si="701"/>
        <v/>
      </c>
      <c r="Q1298" s="91" t="str">
        <f t="shared" si="702"/>
        <v/>
      </c>
      <c r="R1298" s="91" t="str">
        <f t="shared" si="696"/>
        <v/>
      </c>
      <c r="S1298" s="92" t="str">
        <f t="shared" si="703"/>
        <v/>
      </c>
      <c r="T1298" s="93"/>
      <c r="U1298" s="94" t="str">
        <f t="shared" si="698"/>
        <v/>
      </c>
      <c r="X1298" s="96"/>
      <c r="Y1298" s="97" t="str">
        <f t="shared" si="700"/>
        <v/>
      </c>
      <c r="Z1298" s="98" t="str">
        <f>SUBSTITUTE('Digitas UK Task 26'!$O1298, "Complet", "Not Requir")</f>
        <v/>
      </c>
      <c r="AA1298" s="98" t="str">
        <f t="shared" si="699"/>
        <v/>
      </c>
      <c r="AB1298" s="99"/>
      <c r="AF1298" s="84" t="str">
        <f t="shared" si="695"/>
        <v/>
      </c>
    </row>
    <row r="1299" spans="1:32" ht="15.75" customHeight="1" x14ac:dyDescent="0.3">
      <c r="A1299" s="85" t="str">
        <f t="shared" si="697"/>
        <v/>
      </c>
      <c r="C1299" s="87"/>
      <c r="E1299" s="87"/>
      <c r="H1299" s="87"/>
      <c r="I1299" s="87"/>
      <c r="O1299" s="90" t="str">
        <f t="shared" si="701"/>
        <v/>
      </c>
      <c r="Q1299" s="91" t="str">
        <f t="shared" si="702"/>
        <v/>
      </c>
      <c r="R1299" s="91" t="str">
        <f t="shared" si="696"/>
        <v/>
      </c>
      <c r="S1299" s="92" t="str">
        <f t="shared" si="703"/>
        <v/>
      </c>
      <c r="T1299" s="93"/>
      <c r="U1299" s="94" t="str">
        <f t="shared" si="698"/>
        <v/>
      </c>
      <c r="X1299" s="96"/>
      <c r="Y1299" s="97" t="str">
        <f t="shared" si="700"/>
        <v/>
      </c>
      <c r="Z1299" s="98" t="str">
        <f>SUBSTITUTE('Digitas UK Task 26'!$O1299, "Complet", "Not Requir")</f>
        <v/>
      </c>
      <c r="AA1299" s="98" t="str">
        <f t="shared" si="699"/>
        <v/>
      </c>
      <c r="AB1299" s="99"/>
      <c r="AF1299" s="84" t="str">
        <f t="shared" si="695"/>
        <v/>
      </c>
    </row>
    <row r="1300" spans="1:32" ht="15.75" customHeight="1" x14ac:dyDescent="0.3">
      <c r="A1300" s="85" t="str">
        <f t="shared" si="697"/>
        <v/>
      </c>
      <c r="C1300" s="87"/>
      <c r="E1300" s="87"/>
      <c r="H1300" s="87"/>
      <c r="I1300" s="87"/>
      <c r="O1300" s="90" t="str">
        <f t="shared" si="701"/>
        <v/>
      </c>
      <c r="Q1300" s="91" t="str">
        <f t="shared" si="702"/>
        <v/>
      </c>
      <c r="R1300" s="91" t="str">
        <f t="shared" si="696"/>
        <v/>
      </c>
      <c r="S1300" s="92" t="str">
        <f t="shared" si="703"/>
        <v/>
      </c>
      <c r="T1300" s="93"/>
      <c r="U1300" s="94" t="str">
        <f t="shared" si="698"/>
        <v/>
      </c>
      <c r="X1300" s="96"/>
      <c r="Y1300" s="97" t="str">
        <f t="shared" si="700"/>
        <v/>
      </c>
      <c r="Z1300" s="98" t="str">
        <f>SUBSTITUTE('Digitas UK Task 26'!$O1300, "Complet", "Not Requir")</f>
        <v/>
      </c>
      <c r="AA1300" s="98" t="str">
        <f t="shared" si="699"/>
        <v/>
      </c>
      <c r="AB1300" s="99"/>
      <c r="AF1300" s="84" t="str">
        <f t="shared" si="695"/>
        <v/>
      </c>
    </row>
    <row r="1301" spans="1:32" ht="15.75" customHeight="1" x14ac:dyDescent="0.3">
      <c r="A1301" s="85" t="str">
        <f t="shared" si="697"/>
        <v/>
      </c>
      <c r="C1301" s="87"/>
      <c r="E1301" s="87"/>
      <c r="H1301" s="87"/>
      <c r="I1301" s="87"/>
      <c r="O1301" s="90" t="str">
        <f t="shared" si="701"/>
        <v/>
      </c>
      <c r="Q1301" s="91" t="str">
        <f t="shared" si="702"/>
        <v/>
      </c>
      <c r="R1301" s="91" t="str">
        <f t="shared" si="696"/>
        <v/>
      </c>
      <c r="S1301" s="92" t="str">
        <f t="shared" si="703"/>
        <v/>
      </c>
      <c r="T1301" s="93"/>
      <c r="U1301" s="94" t="str">
        <f t="shared" si="698"/>
        <v/>
      </c>
      <c r="X1301" s="96"/>
      <c r="Y1301" s="97" t="str">
        <f t="shared" si="700"/>
        <v/>
      </c>
      <c r="Z1301" s="98" t="str">
        <f>SUBSTITUTE('Digitas UK Task 26'!$O1301, "Complet", "Not Requir")</f>
        <v/>
      </c>
      <c r="AA1301" s="98" t="str">
        <f t="shared" si="699"/>
        <v/>
      </c>
      <c r="AB1301" s="99"/>
      <c r="AF1301" s="84" t="str">
        <f t="shared" ref="AF1301:AF1364" si="704">IF(AD1301="","",WEEKNUM(AD1301))</f>
        <v/>
      </c>
    </row>
    <row r="1302" spans="1:32" ht="15.75" customHeight="1" x14ac:dyDescent="0.3">
      <c r="A1302" s="85" t="str">
        <f t="shared" si="697"/>
        <v/>
      </c>
      <c r="C1302" s="87"/>
      <c r="E1302" s="87"/>
      <c r="H1302" s="87"/>
      <c r="I1302" s="87"/>
      <c r="O1302" s="90" t="str">
        <f t="shared" si="701"/>
        <v/>
      </c>
      <c r="Q1302" s="91" t="str">
        <f t="shared" si="702"/>
        <v/>
      </c>
      <c r="R1302" s="91" t="str">
        <f t="shared" ref="R1302:R1365" si="705">IF(B1302="","",TEXT(B1302,"MMM"))</f>
        <v/>
      </c>
      <c r="S1302" s="92" t="str">
        <f t="shared" si="703"/>
        <v/>
      </c>
      <c r="T1302" s="93"/>
      <c r="U1302" s="94" t="str">
        <f t="shared" si="698"/>
        <v/>
      </c>
      <c r="X1302" s="96"/>
      <c r="Y1302" s="97" t="str">
        <f t="shared" si="700"/>
        <v/>
      </c>
      <c r="Z1302" s="98" t="str">
        <f>SUBSTITUTE('Digitas UK Task 26'!$O1302, "Complet", "Not Requir")</f>
        <v/>
      </c>
      <c r="AA1302" s="98" t="str">
        <f t="shared" si="699"/>
        <v/>
      </c>
      <c r="AB1302" s="99"/>
      <c r="AF1302" s="84" t="str">
        <f t="shared" si="704"/>
        <v/>
      </c>
    </row>
    <row r="1303" spans="1:32" ht="15.75" customHeight="1" x14ac:dyDescent="0.3">
      <c r="A1303" s="85" t="str">
        <f t="shared" si="697"/>
        <v/>
      </c>
      <c r="C1303" s="87"/>
      <c r="E1303" s="87"/>
      <c r="H1303" s="87"/>
      <c r="I1303" s="87"/>
      <c r="O1303" s="90" t="str">
        <f t="shared" si="701"/>
        <v/>
      </c>
      <c r="Q1303" s="91" t="str">
        <f t="shared" si="702"/>
        <v/>
      </c>
      <c r="R1303" s="91" t="str">
        <f t="shared" si="705"/>
        <v/>
      </c>
      <c r="S1303" s="92" t="str">
        <f t="shared" si="703"/>
        <v/>
      </c>
      <c r="T1303" s="93"/>
      <c r="U1303" s="94" t="str">
        <f t="shared" si="698"/>
        <v/>
      </c>
      <c r="X1303" s="96"/>
      <c r="Y1303" s="97" t="str">
        <f t="shared" si="700"/>
        <v/>
      </c>
      <c r="Z1303" s="98" t="str">
        <f>SUBSTITUTE('Digitas UK Task 26'!$O1303, "Complet", "Not Requir")</f>
        <v/>
      </c>
      <c r="AA1303" s="98" t="str">
        <f t="shared" si="699"/>
        <v/>
      </c>
      <c r="AB1303" s="99"/>
      <c r="AF1303" s="84" t="str">
        <f t="shared" si="704"/>
        <v/>
      </c>
    </row>
    <row r="1304" spans="1:32" ht="15.75" customHeight="1" x14ac:dyDescent="0.3">
      <c r="A1304" s="85" t="str">
        <f t="shared" si="697"/>
        <v/>
      </c>
      <c r="C1304" s="87"/>
      <c r="E1304" s="87"/>
      <c r="H1304" s="87"/>
      <c r="I1304" s="87"/>
      <c r="O1304" s="90" t="str">
        <f t="shared" si="701"/>
        <v/>
      </c>
      <c r="Q1304" s="91" t="str">
        <f t="shared" si="702"/>
        <v/>
      </c>
      <c r="R1304" s="91" t="str">
        <f t="shared" si="705"/>
        <v/>
      </c>
      <c r="S1304" s="92" t="str">
        <f t="shared" si="703"/>
        <v/>
      </c>
      <c r="T1304" s="93"/>
      <c r="U1304" s="94" t="str">
        <f t="shared" si="698"/>
        <v/>
      </c>
      <c r="X1304" s="96"/>
      <c r="Y1304" s="97" t="str">
        <f t="shared" si="700"/>
        <v/>
      </c>
      <c r="Z1304" s="98" t="str">
        <f>SUBSTITUTE('Digitas UK Task 26'!$O1304, "Complet", "Not Requir")</f>
        <v/>
      </c>
      <c r="AA1304" s="98" t="str">
        <f t="shared" si="699"/>
        <v/>
      </c>
      <c r="AB1304" s="99"/>
      <c r="AF1304" s="84" t="str">
        <f t="shared" si="704"/>
        <v/>
      </c>
    </row>
    <row r="1305" spans="1:32" ht="15.75" customHeight="1" x14ac:dyDescent="0.3">
      <c r="A1305" s="85" t="str">
        <f t="shared" si="697"/>
        <v/>
      </c>
      <c r="C1305" s="87"/>
      <c r="E1305" s="87"/>
      <c r="H1305" s="87"/>
      <c r="I1305" s="87"/>
      <c r="O1305" s="90" t="str">
        <f t="shared" si="701"/>
        <v/>
      </c>
      <c r="Q1305" s="91" t="str">
        <f t="shared" si="702"/>
        <v/>
      </c>
      <c r="R1305" s="91" t="str">
        <f t="shared" si="705"/>
        <v/>
      </c>
      <c r="S1305" s="92" t="str">
        <f t="shared" si="703"/>
        <v/>
      </c>
      <c r="T1305" s="93"/>
      <c r="U1305" s="94" t="str">
        <f t="shared" si="698"/>
        <v/>
      </c>
      <c r="X1305" s="96"/>
      <c r="Y1305" s="97" t="str">
        <f t="shared" si="700"/>
        <v/>
      </c>
      <c r="Z1305" s="98" t="str">
        <f>SUBSTITUTE('Digitas UK Task 26'!$O1305, "Complet", "Not Requir")</f>
        <v/>
      </c>
      <c r="AA1305" s="98" t="str">
        <f t="shared" si="699"/>
        <v/>
      </c>
      <c r="AB1305" s="99"/>
      <c r="AF1305" s="84" t="str">
        <f t="shared" si="704"/>
        <v/>
      </c>
    </row>
    <row r="1306" spans="1:32" ht="15.75" customHeight="1" x14ac:dyDescent="0.3">
      <c r="A1306" s="85" t="str">
        <f t="shared" si="697"/>
        <v/>
      </c>
      <c r="C1306" s="87"/>
      <c r="E1306" s="87"/>
      <c r="H1306" s="87"/>
      <c r="I1306" s="87"/>
      <c r="O1306" s="90" t="str">
        <f t="shared" si="701"/>
        <v/>
      </c>
      <c r="Q1306" s="91" t="str">
        <f t="shared" si="702"/>
        <v/>
      </c>
      <c r="R1306" s="91" t="str">
        <f t="shared" si="705"/>
        <v/>
      </c>
      <c r="S1306" s="92" t="str">
        <f t="shared" si="703"/>
        <v/>
      </c>
      <c r="T1306" s="93"/>
      <c r="U1306" s="94" t="str">
        <f t="shared" si="698"/>
        <v/>
      </c>
      <c r="X1306" s="96"/>
      <c r="Y1306" s="97" t="str">
        <f t="shared" si="700"/>
        <v/>
      </c>
      <c r="Z1306" s="98" t="str">
        <f>SUBSTITUTE('Digitas UK Task 26'!$O1306, "Complet", "Not Requir")</f>
        <v/>
      </c>
      <c r="AA1306" s="98" t="str">
        <f t="shared" si="699"/>
        <v/>
      </c>
      <c r="AB1306" s="99"/>
      <c r="AF1306" s="84" t="str">
        <f t="shared" si="704"/>
        <v/>
      </c>
    </row>
    <row r="1307" spans="1:32" ht="15.75" customHeight="1" x14ac:dyDescent="0.3">
      <c r="A1307" s="85" t="str">
        <f t="shared" si="697"/>
        <v/>
      </c>
      <c r="C1307" s="87"/>
      <c r="E1307" s="87"/>
      <c r="H1307" s="87"/>
      <c r="I1307" s="87"/>
      <c r="O1307" s="90" t="str">
        <f t="shared" si="701"/>
        <v/>
      </c>
      <c r="Q1307" s="91" t="str">
        <f t="shared" si="702"/>
        <v/>
      </c>
      <c r="R1307" s="91" t="str">
        <f t="shared" si="705"/>
        <v/>
      </c>
      <c r="S1307" s="92" t="str">
        <f t="shared" si="703"/>
        <v/>
      </c>
      <c r="T1307" s="93"/>
      <c r="U1307" s="94" t="str">
        <f t="shared" si="698"/>
        <v/>
      </c>
      <c r="X1307" s="96"/>
      <c r="Y1307" s="97" t="str">
        <f t="shared" si="700"/>
        <v/>
      </c>
      <c r="Z1307" s="98" t="str">
        <f>SUBSTITUTE('Digitas UK Task 26'!$O1307, "Complet", "Not Requir")</f>
        <v/>
      </c>
      <c r="AA1307" s="98" t="str">
        <f t="shared" si="699"/>
        <v/>
      </c>
      <c r="AB1307" s="99"/>
      <c r="AF1307" s="84" t="str">
        <f t="shared" si="704"/>
        <v/>
      </c>
    </row>
    <row r="1308" spans="1:32" ht="15.75" customHeight="1" x14ac:dyDescent="0.3">
      <c r="A1308" s="85" t="str">
        <f t="shared" si="697"/>
        <v/>
      </c>
      <c r="C1308" s="87"/>
      <c r="E1308" s="87"/>
      <c r="H1308" s="87"/>
      <c r="I1308" s="87"/>
      <c r="O1308" s="90" t="str">
        <f t="shared" si="701"/>
        <v/>
      </c>
      <c r="Q1308" s="91" t="str">
        <f t="shared" si="702"/>
        <v/>
      </c>
      <c r="R1308" s="91" t="str">
        <f t="shared" si="705"/>
        <v/>
      </c>
      <c r="S1308" s="92" t="str">
        <f t="shared" si="703"/>
        <v/>
      </c>
      <c r="T1308" s="93"/>
      <c r="U1308" s="94" t="str">
        <f t="shared" si="698"/>
        <v/>
      </c>
      <c r="X1308" s="96"/>
      <c r="Y1308" s="97" t="str">
        <f t="shared" si="700"/>
        <v/>
      </c>
      <c r="Z1308" s="98" t="str">
        <f>SUBSTITUTE('Digitas UK Task 26'!$O1308, "Complet", "Not Requir")</f>
        <v/>
      </c>
      <c r="AA1308" s="98" t="str">
        <f t="shared" si="699"/>
        <v/>
      </c>
      <c r="AB1308" s="99"/>
      <c r="AF1308" s="84" t="str">
        <f t="shared" si="704"/>
        <v/>
      </c>
    </row>
    <row r="1309" spans="1:32" ht="15.75" customHeight="1" x14ac:dyDescent="0.3">
      <c r="A1309" s="85" t="str">
        <f t="shared" si="697"/>
        <v/>
      </c>
      <c r="C1309" s="87"/>
      <c r="E1309" s="87"/>
      <c r="H1309" s="87"/>
      <c r="I1309" s="87"/>
      <c r="O1309" s="90" t="str">
        <f t="shared" si="701"/>
        <v/>
      </c>
      <c r="Q1309" s="91" t="str">
        <f t="shared" si="702"/>
        <v/>
      </c>
      <c r="R1309" s="91" t="str">
        <f t="shared" si="705"/>
        <v/>
      </c>
      <c r="S1309" s="92" t="str">
        <f t="shared" si="703"/>
        <v/>
      </c>
      <c r="T1309" s="93"/>
      <c r="U1309" s="94" t="str">
        <f t="shared" si="698"/>
        <v/>
      </c>
      <c r="X1309" s="96"/>
      <c r="Y1309" s="97" t="str">
        <f t="shared" si="700"/>
        <v/>
      </c>
      <c r="Z1309" s="98" t="str">
        <f>SUBSTITUTE('Digitas UK Task 26'!$O1309, "Complet", "Not Requir")</f>
        <v/>
      </c>
      <c r="AA1309" s="98" t="str">
        <f t="shared" si="699"/>
        <v/>
      </c>
      <c r="AB1309" s="99"/>
      <c r="AF1309" s="84" t="str">
        <f t="shared" si="704"/>
        <v/>
      </c>
    </row>
    <row r="1310" spans="1:32" ht="15.75" customHeight="1" x14ac:dyDescent="0.3">
      <c r="A1310" s="85" t="str">
        <f t="shared" si="697"/>
        <v/>
      </c>
      <c r="C1310" s="87"/>
      <c r="E1310" s="87"/>
      <c r="H1310" s="87"/>
      <c r="I1310" s="87"/>
      <c r="O1310" s="90" t="str">
        <f t="shared" si="701"/>
        <v/>
      </c>
      <c r="Q1310" s="91" t="str">
        <f t="shared" si="702"/>
        <v/>
      </c>
      <c r="R1310" s="91" t="str">
        <f t="shared" si="705"/>
        <v/>
      </c>
      <c r="S1310" s="92" t="str">
        <f t="shared" si="703"/>
        <v/>
      </c>
      <c r="T1310" s="93"/>
      <c r="U1310" s="94" t="str">
        <f t="shared" si="698"/>
        <v/>
      </c>
      <c r="X1310" s="96"/>
      <c r="Y1310" s="97" t="str">
        <f t="shared" si="700"/>
        <v/>
      </c>
      <c r="Z1310" s="98" t="str">
        <f>SUBSTITUTE('Digitas UK Task 26'!$O1310, "Complet", "Not Requir")</f>
        <v/>
      </c>
      <c r="AA1310" s="98" t="str">
        <f t="shared" si="699"/>
        <v/>
      </c>
      <c r="AB1310" s="99"/>
      <c r="AF1310" s="84" t="str">
        <f t="shared" si="704"/>
        <v/>
      </c>
    </row>
    <row r="1311" spans="1:32" ht="15.75" customHeight="1" x14ac:dyDescent="0.3">
      <c r="A1311" s="85" t="str">
        <f t="shared" si="697"/>
        <v/>
      </c>
      <c r="C1311" s="87"/>
      <c r="E1311" s="87"/>
      <c r="H1311" s="87"/>
      <c r="I1311" s="87"/>
      <c r="O1311" s="90" t="str">
        <f t="shared" si="701"/>
        <v/>
      </c>
      <c r="Q1311" s="91" t="str">
        <f t="shared" si="702"/>
        <v/>
      </c>
      <c r="R1311" s="91" t="str">
        <f t="shared" si="705"/>
        <v/>
      </c>
      <c r="S1311" s="92" t="str">
        <f t="shared" si="703"/>
        <v/>
      </c>
      <c r="T1311" s="93"/>
      <c r="U1311" s="94" t="str">
        <f t="shared" si="698"/>
        <v/>
      </c>
      <c r="X1311" s="96"/>
      <c r="Y1311" s="97" t="str">
        <f t="shared" si="700"/>
        <v/>
      </c>
      <c r="Z1311" s="98" t="str">
        <f>SUBSTITUTE('Digitas UK Task 26'!$O1311, "Complet", "Not Requir")</f>
        <v/>
      </c>
      <c r="AA1311" s="98" t="str">
        <f t="shared" si="699"/>
        <v/>
      </c>
      <c r="AB1311" s="99"/>
      <c r="AF1311" s="84" t="str">
        <f t="shared" si="704"/>
        <v/>
      </c>
    </row>
    <row r="1312" spans="1:32" ht="15.75" customHeight="1" x14ac:dyDescent="0.3">
      <c r="A1312" s="85" t="str">
        <f t="shared" si="697"/>
        <v/>
      </c>
      <c r="C1312" s="87"/>
      <c r="E1312" s="87"/>
      <c r="H1312" s="87"/>
      <c r="I1312" s="87"/>
      <c r="O1312" s="90" t="str">
        <f t="shared" si="701"/>
        <v/>
      </c>
      <c r="Q1312" s="91" t="str">
        <f t="shared" si="702"/>
        <v/>
      </c>
      <c r="R1312" s="91" t="str">
        <f t="shared" si="705"/>
        <v/>
      </c>
      <c r="S1312" s="92" t="str">
        <f t="shared" si="703"/>
        <v/>
      </c>
      <c r="T1312" s="93"/>
      <c r="U1312" s="94" t="str">
        <f t="shared" si="698"/>
        <v/>
      </c>
      <c r="X1312" s="96"/>
      <c r="Y1312" s="97" t="str">
        <f t="shared" si="700"/>
        <v/>
      </c>
      <c r="Z1312" s="98" t="str">
        <f>SUBSTITUTE('Digitas UK Task 26'!$O1312, "Complet", "Not Requir")</f>
        <v/>
      </c>
      <c r="AA1312" s="98" t="str">
        <f t="shared" si="699"/>
        <v/>
      </c>
      <c r="AB1312" s="99"/>
      <c r="AF1312" s="84" t="str">
        <f t="shared" si="704"/>
        <v/>
      </c>
    </row>
    <row r="1313" spans="1:32" ht="15.75" customHeight="1" x14ac:dyDescent="0.3">
      <c r="A1313" s="85" t="str">
        <f t="shared" ref="A1313:A1370" si="706">IF(B1313="","",TEXT(B1313,"MMM : DDDD"))</f>
        <v/>
      </c>
      <c r="C1313" s="87"/>
      <c r="E1313" s="87"/>
      <c r="H1313" s="87"/>
      <c r="I1313" s="87"/>
      <c r="O1313" s="90" t="str">
        <f t="shared" si="701"/>
        <v/>
      </c>
      <c r="Q1313" s="91" t="str">
        <f t="shared" si="702"/>
        <v/>
      </c>
      <c r="R1313" s="91" t="str">
        <f t="shared" si="705"/>
        <v/>
      </c>
      <c r="S1313" s="92" t="str">
        <f t="shared" si="703"/>
        <v/>
      </c>
      <c r="T1313" s="93"/>
      <c r="U1313" s="94" t="str">
        <f t="shared" ref="U1313:U1370" si="707">IF(O1313="Completed","Pending","")</f>
        <v/>
      </c>
      <c r="X1313" s="96"/>
      <c r="Y1313" s="97" t="str">
        <f t="shared" si="700"/>
        <v/>
      </c>
      <c r="Z1313" s="98" t="str">
        <f>SUBSTITUTE('Digitas UK Task 26'!$O1313, "Complet", "Not Requir")</f>
        <v/>
      </c>
      <c r="AA1313" s="98" t="str">
        <f t="shared" ref="AA1313:AA1370" si="708">IF(G1313="","",G1313)</f>
        <v/>
      </c>
      <c r="AB1313" s="99"/>
      <c r="AF1313" s="84" t="str">
        <f t="shared" si="704"/>
        <v/>
      </c>
    </row>
    <row r="1314" spans="1:32" ht="15.75" customHeight="1" x14ac:dyDescent="0.3">
      <c r="A1314" s="85" t="str">
        <f t="shared" si="706"/>
        <v/>
      </c>
      <c r="C1314" s="87"/>
      <c r="E1314" s="87"/>
      <c r="H1314" s="87"/>
      <c r="I1314" s="87"/>
      <c r="O1314" s="90" t="str">
        <f t="shared" si="701"/>
        <v/>
      </c>
      <c r="Q1314" s="91" t="str">
        <f t="shared" si="702"/>
        <v/>
      </c>
      <c r="R1314" s="91" t="str">
        <f t="shared" si="705"/>
        <v/>
      </c>
      <c r="S1314" s="92" t="str">
        <f t="shared" si="703"/>
        <v/>
      </c>
      <c r="T1314" s="93"/>
      <c r="U1314" s="94" t="str">
        <f t="shared" si="707"/>
        <v/>
      </c>
      <c r="X1314" s="96"/>
      <c r="Y1314" s="97" t="str">
        <f t="shared" si="700"/>
        <v/>
      </c>
      <c r="Z1314" s="98" t="str">
        <f>SUBSTITUTE('Digitas UK Task 26'!$O1314, "Complet", "Not Requir")</f>
        <v/>
      </c>
      <c r="AA1314" s="98" t="str">
        <f t="shared" si="708"/>
        <v/>
      </c>
      <c r="AB1314" s="99"/>
      <c r="AF1314" s="84" t="str">
        <f t="shared" si="704"/>
        <v/>
      </c>
    </row>
    <row r="1315" spans="1:32" ht="15.75" customHeight="1" x14ac:dyDescent="0.3">
      <c r="A1315" s="85" t="str">
        <f t="shared" si="706"/>
        <v/>
      </c>
      <c r="C1315" s="87"/>
      <c r="E1315" s="87"/>
      <c r="H1315" s="87"/>
      <c r="I1315" s="87"/>
      <c r="O1315" s="90" t="str">
        <f t="shared" si="701"/>
        <v/>
      </c>
      <c r="Q1315" s="91" t="str">
        <f t="shared" si="702"/>
        <v/>
      </c>
      <c r="R1315" s="91" t="str">
        <f t="shared" si="705"/>
        <v/>
      </c>
      <c r="S1315" s="92" t="str">
        <f t="shared" si="703"/>
        <v/>
      </c>
      <c r="T1315" s="93"/>
      <c r="U1315" s="94" t="str">
        <f t="shared" si="707"/>
        <v/>
      </c>
      <c r="X1315" s="96"/>
      <c r="Y1315" s="97" t="str">
        <f t="shared" si="700"/>
        <v/>
      </c>
      <c r="Z1315" s="98" t="str">
        <f>SUBSTITUTE('Digitas UK Task 26'!$O1315, "Complet", "Not Requir")</f>
        <v/>
      </c>
      <c r="AA1315" s="98" t="str">
        <f t="shared" si="708"/>
        <v/>
      </c>
      <c r="AB1315" s="99"/>
      <c r="AF1315" s="84" t="str">
        <f t="shared" si="704"/>
        <v/>
      </c>
    </row>
    <row r="1316" spans="1:32" ht="15.75" customHeight="1" x14ac:dyDescent="0.3">
      <c r="A1316" s="85" t="str">
        <f t="shared" si="706"/>
        <v/>
      </c>
      <c r="C1316" s="87"/>
      <c r="E1316" s="87"/>
      <c r="H1316" s="87"/>
      <c r="I1316" s="87"/>
      <c r="O1316" s="90" t="str">
        <f t="shared" si="701"/>
        <v/>
      </c>
      <c r="Q1316" s="91" t="str">
        <f t="shared" si="702"/>
        <v/>
      </c>
      <c r="R1316" s="91" t="str">
        <f t="shared" si="705"/>
        <v/>
      </c>
      <c r="S1316" s="92" t="str">
        <f t="shared" si="703"/>
        <v/>
      </c>
      <c r="T1316" s="93"/>
      <c r="U1316" s="94" t="str">
        <f t="shared" si="707"/>
        <v/>
      </c>
      <c r="X1316" s="96"/>
      <c r="Y1316" s="97" t="str">
        <f t="shared" si="700"/>
        <v/>
      </c>
      <c r="Z1316" s="98" t="str">
        <f>SUBSTITUTE('Digitas UK Task 26'!$O1316, "Complet", "Not Requir")</f>
        <v/>
      </c>
      <c r="AA1316" s="98" t="str">
        <f t="shared" si="708"/>
        <v/>
      </c>
      <c r="AB1316" s="99"/>
      <c r="AF1316" s="84" t="str">
        <f t="shared" si="704"/>
        <v/>
      </c>
    </row>
    <row r="1317" spans="1:32" ht="15.75" customHeight="1" x14ac:dyDescent="0.3">
      <c r="A1317" s="85" t="str">
        <f t="shared" si="706"/>
        <v/>
      </c>
      <c r="C1317" s="87"/>
      <c r="E1317" s="87"/>
      <c r="H1317" s="87"/>
      <c r="I1317" s="87"/>
      <c r="O1317" s="90" t="str">
        <f t="shared" si="701"/>
        <v/>
      </c>
      <c r="Q1317" s="91" t="str">
        <f t="shared" si="702"/>
        <v/>
      </c>
      <c r="R1317" s="91" t="str">
        <f t="shared" si="705"/>
        <v/>
      </c>
      <c r="S1317" s="92" t="str">
        <f t="shared" si="703"/>
        <v/>
      </c>
      <c r="T1317" s="93"/>
      <c r="U1317" s="94" t="str">
        <f t="shared" si="707"/>
        <v/>
      </c>
      <c r="X1317" s="96"/>
      <c r="Y1317" s="97" t="str">
        <f t="shared" si="700"/>
        <v/>
      </c>
      <c r="Z1317" s="98" t="str">
        <f>SUBSTITUTE('Digitas UK Task 26'!$O1317, "Complet", "Not Requir")</f>
        <v/>
      </c>
      <c r="AA1317" s="98" t="str">
        <f t="shared" si="708"/>
        <v/>
      </c>
      <c r="AB1317" s="99"/>
      <c r="AF1317" s="84" t="str">
        <f t="shared" si="704"/>
        <v/>
      </c>
    </row>
    <row r="1318" spans="1:32" ht="15.75" customHeight="1" x14ac:dyDescent="0.3">
      <c r="A1318" s="85" t="str">
        <f t="shared" si="706"/>
        <v/>
      </c>
      <c r="C1318" s="87"/>
      <c r="E1318" s="87"/>
      <c r="H1318" s="87"/>
      <c r="I1318" s="87"/>
      <c r="O1318" s="90" t="str">
        <f t="shared" si="701"/>
        <v/>
      </c>
      <c r="Q1318" s="91" t="str">
        <f t="shared" si="702"/>
        <v/>
      </c>
      <c r="R1318" s="91" t="str">
        <f t="shared" si="705"/>
        <v/>
      </c>
      <c r="S1318" s="92" t="str">
        <f t="shared" si="703"/>
        <v/>
      </c>
      <c r="T1318" s="93"/>
      <c r="U1318" s="94" t="str">
        <f t="shared" si="707"/>
        <v/>
      </c>
      <c r="X1318" s="96"/>
      <c r="Y1318" s="97" t="str">
        <f t="shared" si="700"/>
        <v/>
      </c>
      <c r="Z1318" s="98" t="str">
        <f>SUBSTITUTE('Digitas UK Task 26'!$O1318, "Complet", "Not Requir")</f>
        <v/>
      </c>
      <c r="AA1318" s="98" t="str">
        <f t="shared" si="708"/>
        <v/>
      </c>
      <c r="AB1318" s="99"/>
      <c r="AF1318" s="84" t="str">
        <f t="shared" si="704"/>
        <v/>
      </c>
    </row>
    <row r="1319" spans="1:32" ht="15.75" customHeight="1" x14ac:dyDescent="0.3">
      <c r="A1319" s="85" t="str">
        <f t="shared" si="706"/>
        <v/>
      </c>
      <c r="C1319" s="87"/>
      <c r="E1319" s="87"/>
      <c r="H1319" s="87"/>
      <c r="I1319" s="87"/>
      <c r="O1319" s="90" t="str">
        <f t="shared" si="701"/>
        <v/>
      </c>
      <c r="Q1319" s="91" t="str">
        <f t="shared" si="702"/>
        <v/>
      </c>
      <c r="R1319" s="91" t="str">
        <f t="shared" si="705"/>
        <v/>
      </c>
      <c r="S1319" s="92" t="str">
        <f t="shared" si="703"/>
        <v/>
      </c>
      <c r="T1319" s="93"/>
      <c r="U1319" s="94" t="str">
        <f t="shared" si="707"/>
        <v/>
      </c>
      <c r="X1319" s="96"/>
      <c r="Y1319" s="97" t="str">
        <f t="shared" ref="Y1319:Y1370" si="709">IF(M1319="","",M1319)</f>
        <v/>
      </c>
      <c r="Z1319" s="98" t="str">
        <f>SUBSTITUTE('Digitas UK Task 26'!$O1319, "Complet", "Not Requir")</f>
        <v/>
      </c>
      <c r="AA1319" s="98" t="str">
        <f t="shared" si="708"/>
        <v/>
      </c>
      <c r="AB1319" s="99"/>
      <c r="AF1319" s="84" t="str">
        <f t="shared" si="704"/>
        <v/>
      </c>
    </row>
    <row r="1320" spans="1:32" ht="15.75" customHeight="1" x14ac:dyDescent="0.3">
      <c r="A1320" s="85" t="str">
        <f t="shared" si="706"/>
        <v/>
      </c>
      <c r="C1320" s="87"/>
      <c r="E1320" s="87"/>
      <c r="H1320" s="87"/>
      <c r="I1320" s="87"/>
      <c r="O1320" s="90" t="str">
        <f t="shared" si="701"/>
        <v/>
      </c>
      <c r="Q1320" s="91" t="str">
        <f t="shared" si="702"/>
        <v/>
      </c>
      <c r="R1320" s="91" t="str">
        <f t="shared" si="705"/>
        <v/>
      </c>
      <c r="S1320" s="92" t="str">
        <f t="shared" si="703"/>
        <v/>
      </c>
      <c r="T1320" s="93"/>
      <c r="U1320" s="94" t="str">
        <f t="shared" si="707"/>
        <v/>
      </c>
      <c r="X1320" s="96"/>
      <c r="Y1320" s="97" t="str">
        <f t="shared" si="709"/>
        <v/>
      </c>
      <c r="Z1320" s="98" t="str">
        <f>SUBSTITUTE('Digitas UK Task 26'!$O1320, "Complet", "Not Requir")</f>
        <v/>
      </c>
      <c r="AA1320" s="98" t="str">
        <f t="shared" si="708"/>
        <v/>
      </c>
      <c r="AB1320" s="99"/>
      <c r="AF1320" s="84" t="str">
        <f t="shared" si="704"/>
        <v/>
      </c>
    </row>
    <row r="1321" spans="1:32" ht="15.75" customHeight="1" x14ac:dyDescent="0.3">
      <c r="A1321" s="85" t="str">
        <f t="shared" si="706"/>
        <v/>
      </c>
      <c r="C1321" s="87"/>
      <c r="E1321" s="87"/>
      <c r="H1321" s="87"/>
      <c r="I1321" s="87"/>
      <c r="O1321" s="90" t="str">
        <f t="shared" si="701"/>
        <v/>
      </c>
      <c r="Q1321" s="91" t="str">
        <f t="shared" si="702"/>
        <v/>
      </c>
      <c r="R1321" s="91" t="str">
        <f t="shared" si="705"/>
        <v/>
      </c>
      <c r="S1321" s="92" t="str">
        <f t="shared" si="703"/>
        <v/>
      </c>
      <c r="T1321" s="93"/>
      <c r="U1321" s="94" t="str">
        <f t="shared" si="707"/>
        <v/>
      </c>
      <c r="X1321" s="96"/>
      <c r="Y1321" s="97" t="str">
        <f t="shared" si="709"/>
        <v/>
      </c>
      <c r="Z1321" s="98" t="str">
        <f>SUBSTITUTE('Digitas UK Task 26'!$O1321, "Complet", "Not Requir")</f>
        <v/>
      </c>
      <c r="AA1321" s="98" t="str">
        <f t="shared" si="708"/>
        <v/>
      </c>
      <c r="AB1321" s="99"/>
      <c r="AF1321" s="84" t="str">
        <f t="shared" si="704"/>
        <v/>
      </c>
    </row>
    <row r="1322" spans="1:32" ht="15.75" customHeight="1" x14ac:dyDescent="0.3">
      <c r="A1322" s="85" t="str">
        <f t="shared" si="706"/>
        <v/>
      </c>
      <c r="C1322" s="87"/>
      <c r="E1322" s="87"/>
      <c r="H1322" s="87"/>
      <c r="I1322" s="87"/>
      <c r="O1322" s="90" t="str">
        <f t="shared" si="701"/>
        <v/>
      </c>
      <c r="Q1322" s="91" t="str">
        <f t="shared" si="702"/>
        <v/>
      </c>
      <c r="R1322" s="91" t="str">
        <f t="shared" si="705"/>
        <v/>
      </c>
      <c r="S1322" s="92" t="str">
        <f t="shared" si="703"/>
        <v/>
      </c>
      <c r="T1322" s="93"/>
      <c r="U1322" s="94" t="str">
        <f t="shared" si="707"/>
        <v/>
      </c>
      <c r="X1322" s="96"/>
      <c r="Y1322" s="97" t="str">
        <f t="shared" si="709"/>
        <v/>
      </c>
      <c r="Z1322" s="98" t="str">
        <f>SUBSTITUTE('Digitas UK Task 26'!$O1322, "Complet", "Not Requir")</f>
        <v/>
      </c>
      <c r="AA1322" s="98" t="str">
        <f t="shared" si="708"/>
        <v/>
      </c>
      <c r="AB1322" s="99"/>
      <c r="AF1322" s="84" t="str">
        <f t="shared" si="704"/>
        <v/>
      </c>
    </row>
    <row r="1323" spans="1:32" ht="15.75" customHeight="1" x14ac:dyDescent="0.3">
      <c r="A1323" s="85" t="str">
        <f t="shared" si="706"/>
        <v/>
      </c>
      <c r="C1323" s="87"/>
      <c r="E1323" s="87"/>
      <c r="H1323" s="87"/>
      <c r="I1323" s="87"/>
      <c r="O1323" s="90" t="str">
        <f t="shared" si="701"/>
        <v/>
      </c>
      <c r="Q1323" s="91" t="str">
        <f t="shared" si="702"/>
        <v/>
      </c>
      <c r="R1323" s="91" t="str">
        <f t="shared" si="705"/>
        <v/>
      </c>
      <c r="S1323" s="92" t="str">
        <f t="shared" si="703"/>
        <v/>
      </c>
      <c r="T1323" s="93"/>
      <c r="U1323" s="94" t="str">
        <f t="shared" si="707"/>
        <v/>
      </c>
      <c r="X1323" s="96"/>
      <c r="Y1323" s="97" t="str">
        <f t="shared" si="709"/>
        <v/>
      </c>
      <c r="Z1323" s="98" t="str">
        <f>SUBSTITUTE('Digitas UK Task 26'!$O1323, "Complet", "Not Requir")</f>
        <v/>
      </c>
      <c r="AA1323" s="98" t="str">
        <f t="shared" si="708"/>
        <v/>
      </c>
      <c r="AB1323" s="99"/>
      <c r="AF1323" s="84" t="str">
        <f t="shared" si="704"/>
        <v/>
      </c>
    </row>
    <row r="1324" spans="1:32" ht="15.75" customHeight="1" x14ac:dyDescent="0.3">
      <c r="A1324" s="85" t="str">
        <f t="shared" si="706"/>
        <v/>
      </c>
      <c r="C1324" s="87"/>
      <c r="E1324" s="87"/>
      <c r="H1324" s="87"/>
      <c r="I1324" s="87"/>
      <c r="O1324" s="90" t="str">
        <f t="shared" si="701"/>
        <v/>
      </c>
      <c r="Q1324" s="91" t="str">
        <f t="shared" si="702"/>
        <v/>
      </c>
      <c r="R1324" s="91" t="str">
        <f t="shared" si="705"/>
        <v/>
      </c>
      <c r="S1324" s="92" t="str">
        <f t="shared" si="703"/>
        <v/>
      </c>
      <c r="T1324" s="93"/>
      <c r="U1324" s="94" t="str">
        <f t="shared" si="707"/>
        <v/>
      </c>
      <c r="X1324" s="96"/>
      <c r="Y1324" s="97" t="str">
        <f t="shared" si="709"/>
        <v/>
      </c>
      <c r="Z1324" s="98" t="str">
        <f>SUBSTITUTE('Digitas UK Task 26'!$O1324, "Complet", "Not Requir")</f>
        <v/>
      </c>
      <c r="AA1324" s="98" t="str">
        <f t="shared" si="708"/>
        <v/>
      </c>
      <c r="AB1324" s="99"/>
      <c r="AF1324" s="84" t="str">
        <f t="shared" si="704"/>
        <v/>
      </c>
    </row>
    <row r="1325" spans="1:32" ht="15.75" customHeight="1" x14ac:dyDescent="0.3">
      <c r="A1325" s="85" t="str">
        <f t="shared" si="706"/>
        <v/>
      </c>
      <c r="C1325" s="87"/>
      <c r="E1325" s="87"/>
      <c r="H1325" s="87"/>
      <c r="I1325" s="87"/>
      <c r="O1325" s="90" t="str">
        <f t="shared" si="701"/>
        <v/>
      </c>
      <c r="Q1325" s="91" t="str">
        <f t="shared" si="702"/>
        <v/>
      </c>
      <c r="R1325" s="91" t="str">
        <f t="shared" si="705"/>
        <v/>
      </c>
      <c r="S1325" s="92" t="str">
        <f t="shared" si="703"/>
        <v/>
      </c>
      <c r="T1325" s="93"/>
      <c r="U1325" s="94" t="str">
        <f t="shared" si="707"/>
        <v/>
      </c>
      <c r="X1325" s="96"/>
      <c r="Y1325" s="97" t="str">
        <f t="shared" si="709"/>
        <v/>
      </c>
      <c r="Z1325" s="98" t="str">
        <f>SUBSTITUTE('Digitas UK Task 26'!$O1325, "Complet", "Not Requir")</f>
        <v/>
      </c>
      <c r="AA1325" s="98" t="str">
        <f t="shared" si="708"/>
        <v/>
      </c>
      <c r="AB1325" s="99"/>
      <c r="AF1325" s="84" t="str">
        <f t="shared" si="704"/>
        <v/>
      </c>
    </row>
    <row r="1326" spans="1:32" ht="15.75" customHeight="1" x14ac:dyDescent="0.3">
      <c r="A1326" s="85" t="str">
        <f t="shared" si="706"/>
        <v/>
      </c>
      <c r="C1326" s="87"/>
      <c r="E1326" s="87"/>
      <c r="H1326" s="87"/>
      <c r="I1326" s="87"/>
      <c r="O1326" s="90" t="str">
        <f t="shared" si="701"/>
        <v/>
      </c>
      <c r="Q1326" s="91" t="str">
        <f t="shared" si="702"/>
        <v/>
      </c>
      <c r="R1326" s="91" t="str">
        <f t="shared" si="705"/>
        <v/>
      </c>
      <c r="S1326" s="92" t="str">
        <f t="shared" si="703"/>
        <v/>
      </c>
      <c r="T1326" s="93"/>
      <c r="U1326" s="94" t="str">
        <f t="shared" si="707"/>
        <v/>
      </c>
      <c r="X1326" s="96"/>
      <c r="Y1326" s="97" t="str">
        <f t="shared" si="709"/>
        <v/>
      </c>
      <c r="Z1326" s="98" t="str">
        <f>SUBSTITUTE('Digitas UK Task 26'!$O1326, "Complet", "Not Requir")</f>
        <v/>
      </c>
      <c r="AA1326" s="98" t="str">
        <f t="shared" si="708"/>
        <v/>
      </c>
      <c r="AB1326" s="99"/>
      <c r="AF1326" s="84" t="str">
        <f t="shared" si="704"/>
        <v/>
      </c>
    </row>
    <row r="1327" spans="1:32" ht="15.75" customHeight="1" x14ac:dyDescent="0.3">
      <c r="A1327" s="85" t="str">
        <f t="shared" si="706"/>
        <v/>
      </c>
      <c r="C1327" s="87"/>
      <c r="E1327" s="87"/>
      <c r="H1327" s="87"/>
      <c r="I1327" s="87"/>
      <c r="O1327" s="90" t="str">
        <f t="shared" si="701"/>
        <v/>
      </c>
      <c r="Q1327" s="91" t="str">
        <f t="shared" si="702"/>
        <v/>
      </c>
      <c r="R1327" s="91" t="str">
        <f t="shared" si="705"/>
        <v/>
      </c>
      <c r="S1327" s="92" t="str">
        <f t="shared" si="703"/>
        <v/>
      </c>
      <c r="T1327" s="93"/>
      <c r="U1327" s="94" t="str">
        <f t="shared" si="707"/>
        <v/>
      </c>
      <c r="X1327" s="96"/>
      <c r="Y1327" s="97" t="str">
        <f t="shared" si="709"/>
        <v/>
      </c>
      <c r="Z1327" s="98" t="str">
        <f>SUBSTITUTE('Digitas UK Task 26'!$O1327, "Complet", "Not Requir")</f>
        <v/>
      </c>
      <c r="AA1327" s="98" t="str">
        <f t="shared" si="708"/>
        <v/>
      </c>
      <c r="AB1327" s="99"/>
      <c r="AF1327" s="84" t="str">
        <f t="shared" si="704"/>
        <v/>
      </c>
    </row>
    <row r="1328" spans="1:32" ht="15.75" customHeight="1" x14ac:dyDescent="0.3">
      <c r="A1328" s="85" t="str">
        <f t="shared" si="706"/>
        <v/>
      </c>
      <c r="C1328" s="87"/>
      <c r="E1328" s="87"/>
      <c r="H1328" s="87"/>
      <c r="I1328" s="87"/>
      <c r="O1328" s="90" t="str">
        <f t="shared" si="701"/>
        <v/>
      </c>
      <c r="Q1328" s="91" t="str">
        <f t="shared" si="702"/>
        <v/>
      </c>
      <c r="R1328" s="91" t="str">
        <f t="shared" si="705"/>
        <v/>
      </c>
      <c r="S1328" s="92" t="str">
        <f t="shared" si="703"/>
        <v/>
      </c>
      <c r="T1328" s="93"/>
      <c r="U1328" s="94" t="str">
        <f t="shared" si="707"/>
        <v/>
      </c>
      <c r="X1328" s="96"/>
      <c r="Y1328" s="97" t="str">
        <f t="shared" si="709"/>
        <v/>
      </c>
      <c r="Z1328" s="98" t="str">
        <f>SUBSTITUTE('Digitas UK Task 26'!$O1328, "Complet", "Not Requir")</f>
        <v/>
      </c>
      <c r="AA1328" s="98" t="str">
        <f t="shared" si="708"/>
        <v/>
      </c>
      <c r="AB1328" s="99"/>
      <c r="AF1328" s="84" t="str">
        <f t="shared" si="704"/>
        <v/>
      </c>
    </row>
    <row r="1329" spans="1:32" ht="15.75" customHeight="1" x14ac:dyDescent="0.3">
      <c r="A1329" s="85" t="str">
        <f t="shared" si="706"/>
        <v/>
      </c>
      <c r="C1329" s="87"/>
      <c r="E1329" s="87"/>
      <c r="H1329" s="87"/>
      <c r="I1329" s="87"/>
      <c r="O1329" s="90" t="str">
        <f t="shared" si="701"/>
        <v/>
      </c>
      <c r="Q1329" s="91" t="str">
        <f t="shared" si="702"/>
        <v/>
      </c>
      <c r="R1329" s="91" t="str">
        <f t="shared" si="705"/>
        <v/>
      </c>
      <c r="S1329" s="92" t="str">
        <f t="shared" si="703"/>
        <v/>
      </c>
      <c r="T1329" s="93"/>
      <c r="U1329" s="94" t="str">
        <f t="shared" si="707"/>
        <v/>
      </c>
      <c r="X1329" s="96"/>
      <c r="Y1329" s="97" t="str">
        <f t="shared" si="709"/>
        <v/>
      </c>
      <c r="Z1329" s="98" t="str">
        <f>SUBSTITUTE('Digitas UK Task 26'!$O1329, "Complet", "Not Requir")</f>
        <v/>
      </c>
      <c r="AA1329" s="98" t="str">
        <f t="shared" si="708"/>
        <v/>
      </c>
      <c r="AB1329" s="99"/>
      <c r="AF1329" s="84" t="str">
        <f t="shared" si="704"/>
        <v/>
      </c>
    </row>
    <row r="1330" spans="1:32" ht="15.75" customHeight="1" x14ac:dyDescent="0.3">
      <c r="A1330" s="85" t="str">
        <f t="shared" si="706"/>
        <v/>
      </c>
      <c r="C1330" s="87"/>
      <c r="E1330" s="87"/>
      <c r="H1330" s="87"/>
      <c r="I1330" s="87"/>
      <c r="O1330" s="90" t="str">
        <f t="shared" si="701"/>
        <v/>
      </c>
      <c r="Q1330" s="91" t="str">
        <f t="shared" si="702"/>
        <v/>
      </c>
      <c r="R1330" s="91" t="str">
        <f t="shared" si="705"/>
        <v/>
      </c>
      <c r="S1330" s="92" t="str">
        <f t="shared" si="703"/>
        <v/>
      </c>
      <c r="T1330" s="93"/>
      <c r="U1330" s="94" t="str">
        <f t="shared" si="707"/>
        <v/>
      </c>
      <c r="X1330" s="96"/>
      <c r="Y1330" s="97" t="str">
        <f t="shared" si="709"/>
        <v/>
      </c>
      <c r="Z1330" s="98" t="str">
        <f>SUBSTITUTE('Digitas UK Task 26'!$O1330, "Complet", "Not Requir")</f>
        <v/>
      </c>
      <c r="AA1330" s="98" t="str">
        <f t="shared" si="708"/>
        <v/>
      </c>
      <c r="AB1330" s="99"/>
      <c r="AF1330" s="84" t="str">
        <f t="shared" si="704"/>
        <v/>
      </c>
    </row>
    <row r="1331" spans="1:32" ht="15.75" customHeight="1" x14ac:dyDescent="0.3">
      <c r="A1331" s="85" t="str">
        <f t="shared" si="706"/>
        <v/>
      </c>
      <c r="C1331" s="87"/>
      <c r="E1331" s="87"/>
      <c r="H1331" s="87"/>
      <c r="I1331" s="87"/>
      <c r="O1331" s="90" t="str">
        <f t="shared" si="701"/>
        <v/>
      </c>
      <c r="Q1331" s="91" t="str">
        <f t="shared" si="702"/>
        <v/>
      </c>
      <c r="R1331" s="91" t="str">
        <f t="shared" si="705"/>
        <v/>
      </c>
      <c r="S1331" s="92" t="str">
        <f t="shared" si="703"/>
        <v/>
      </c>
      <c r="T1331" s="93"/>
      <c r="U1331" s="94" t="str">
        <f t="shared" si="707"/>
        <v/>
      </c>
      <c r="X1331" s="96"/>
      <c r="Y1331" s="97" t="str">
        <f t="shared" si="709"/>
        <v/>
      </c>
      <c r="Z1331" s="98" t="str">
        <f>SUBSTITUTE('Digitas UK Task 26'!$O1331, "Complet", "Not Requir")</f>
        <v/>
      </c>
      <c r="AA1331" s="98" t="str">
        <f t="shared" si="708"/>
        <v/>
      </c>
      <c r="AB1331" s="99"/>
      <c r="AF1331" s="84" t="str">
        <f t="shared" si="704"/>
        <v/>
      </c>
    </row>
    <row r="1332" spans="1:32" ht="15.75" customHeight="1" x14ac:dyDescent="0.3">
      <c r="A1332" s="85" t="str">
        <f t="shared" si="706"/>
        <v/>
      </c>
      <c r="C1332" s="87"/>
      <c r="E1332" s="87"/>
      <c r="H1332" s="87"/>
      <c r="I1332" s="87"/>
      <c r="O1332" s="90" t="str">
        <f t="shared" si="701"/>
        <v/>
      </c>
      <c r="Q1332" s="91" t="str">
        <f t="shared" si="702"/>
        <v/>
      </c>
      <c r="R1332" s="91" t="str">
        <f t="shared" si="705"/>
        <v/>
      </c>
      <c r="S1332" s="92" t="str">
        <f t="shared" si="703"/>
        <v/>
      </c>
      <c r="T1332" s="93"/>
      <c r="U1332" s="94" t="str">
        <f t="shared" si="707"/>
        <v/>
      </c>
      <c r="X1332" s="96"/>
      <c r="Y1332" s="97" t="str">
        <f t="shared" si="709"/>
        <v/>
      </c>
      <c r="Z1332" s="98" t="str">
        <f>SUBSTITUTE('Digitas UK Task 26'!$O1332, "Complet", "Not Requir")</f>
        <v/>
      </c>
      <c r="AA1332" s="98" t="str">
        <f t="shared" si="708"/>
        <v/>
      </c>
      <c r="AB1332" s="99"/>
      <c r="AF1332" s="84" t="str">
        <f t="shared" si="704"/>
        <v/>
      </c>
    </row>
    <row r="1333" spans="1:32" ht="15.75" customHeight="1" x14ac:dyDescent="0.3">
      <c r="A1333" s="85" t="str">
        <f t="shared" si="706"/>
        <v/>
      </c>
      <c r="C1333" s="87"/>
      <c r="E1333" s="87"/>
      <c r="H1333" s="87"/>
      <c r="I1333" s="87"/>
      <c r="O1333" s="90" t="str">
        <f t="shared" si="701"/>
        <v/>
      </c>
      <c r="Q1333" s="91" t="str">
        <f t="shared" si="702"/>
        <v/>
      </c>
      <c r="R1333" s="91" t="str">
        <f t="shared" si="705"/>
        <v/>
      </c>
      <c r="S1333" s="92" t="str">
        <f t="shared" si="703"/>
        <v/>
      </c>
      <c r="T1333" s="93"/>
      <c r="U1333" s="94" t="str">
        <f t="shared" si="707"/>
        <v/>
      </c>
      <c r="X1333" s="96"/>
      <c r="Y1333" s="97" t="str">
        <f t="shared" si="709"/>
        <v/>
      </c>
      <c r="Z1333" s="98" t="str">
        <f>SUBSTITUTE('Digitas UK Task 26'!$O1333, "Complet", "Not Requir")</f>
        <v/>
      </c>
      <c r="AA1333" s="98" t="str">
        <f t="shared" si="708"/>
        <v/>
      </c>
      <c r="AB1333" s="99"/>
      <c r="AF1333" s="84" t="str">
        <f t="shared" si="704"/>
        <v/>
      </c>
    </row>
    <row r="1334" spans="1:32" ht="15.75" customHeight="1" x14ac:dyDescent="0.3">
      <c r="A1334" s="85" t="str">
        <f t="shared" si="706"/>
        <v/>
      </c>
      <c r="C1334" s="87"/>
      <c r="E1334" s="87"/>
      <c r="H1334" s="87"/>
      <c r="I1334" s="87"/>
      <c r="O1334" s="90" t="str">
        <f t="shared" si="701"/>
        <v/>
      </c>
      <c r="Q1334" s="91" t="str">
        <f t="shared" si="702"/>
        <v/>
      </c>
      <c r="R1334" s="91" t="str">
        <f t="shared" si="705"/>
        <v/>
      </c>
      <c r="S1334" s="92" t="str">
        <f t="shared" si="703"/>
        <v/>
      </c>
      <c r="T1334" s="93"/>
      <c r="U1334" s="94" t="str">
        <f t="shared" si="707"/>
        <v/>
      </c>
      <c r="X1334" s="96"/>
      <c r="Y1334" s="97" t="str">
        <f t="shared" si="709"/>
        <v/>
      </c>
      <c r="Z1334" s="98" t="str">
        <f>SUBSTITUTE('Digitas UK Task 26'!$O1334, "Complet", "Not Requir")</f>
        <v/>
      </c>
      <c r="AA1334" s="98" t="str">
        <f t="shared" si="708"/>
        <v/>
      </c>
      <c r="AB1334" s="99"/>
      <c r="AF1334" s="84" t="str">
        <f t="shared" si="704"/>
        <v/>
      </c>
    </row>
    <row r="1335" spans="1:32" ht="15.75" customHeight="1" x14ac:dyDescent="0.3">
      <c r="A1335" s="85" t="str">
        <f t="shared" si="706"/>
        <v/>
      </c>
      <c r="C1335" s="87"/>
      <c r="E1335" s="87"/>
      <c r="H1335" s="87"/>
      <c r="I1335" s="87"/>
      <c r="O1335" s="90" t="str">
        <f t="shared" ref="O1335:O1370" si="710">IF(F1335="","","In-process")</f>
        <v/>
      </c>
      <c r="Q1335" s="91" t="str">
        <f t="shared" si="702"/>
        <v/>
      </c>
      <c r="R1335" s="91" t="str">
        <f t="shared" si="705"/>
        <v/>
      </c>
      <c r="S1335" s="92" t="str">
        <f t="shared" si="703"/>
        <v/>
      </c>
      <c r="T1335" s="93"/>
      <c r="U1335" s="94" t="str">
        <f t="shared" si="707"/>
        <v/>
      </c>
      <c r="X1335" s="96"/>
      <c r="Y1335" s="97" t="str">
        <f t="shared" si="709"/>
        <v/>
      </c>
      <c r="Z1335" s="98" t="str">
        <f>SUBSTITUTE('Digitas UK Task 26'!$O1335, "Complet", "Not Requir")</f>
        <v/>
      </c>
      <c r="AA1335" s="98" t="str">
        <f t="shared" si="708"/>
        <v/>
      </c>
      <c r="AB1335" s="99"/>
      <c r="AF1335" s="84" t="str">
        <f t="shared" si="704"/>
        <v/>
      </c>
    </row>
    <row r="1336" spans="1:32" ht="15.75" customHeight="1" x14ac:dyDescent="0.3">
      <c r="A1336" s="85" t="str">
        <f t="shared" si="706"/>
        <v/>
      </c>
      <c r="C1336" s="87"/>
      <c r="E1336" s="87"/>
      <c r="H1336" s="87"/>
      <c r="I1336" s="87"/>
      <c r="O1336" s="90" t="str">
        <f t="shared" si="710"/>
        <v/>
      </c>
      <c r="Q1336" s="91" t="str">
        <f t="shared" si="702"/>
        <v/>
      </c>
      <c r="R1336" s="91" t="str">
        <f t="shared" si="705"/>
        <v/>
      </c>
      <c r="S1336" s="92" t="str">
        <f t="shared" si="703"/>
        <v/>
      </c>
      <c r="T1336" s="93"/>
      <c r="U1336" s="94" t="str">
        <f t="shared" si="707"/>
        <v/>
      </c>
      <c r="X1336" s="96"/>
      <c r="Y1336" s="97" t="str">
        <f t="shared" si="709"/>
        <v/>
      </c>
      <c r="Z1336" s="98" t="str">
        <f>SUBSTITUTE('Digitas UK Task 26'!$O1336, "Complet", "Not Requir")</f>
        <v/>
      </c>
      <c r="AA1336" s="98" t="str">
        <f t="shared" si="708"/>
        <v/>
      </c>
      <c r="AB1336" s="99"/>
      <c r="AF1336" s="84" t="str">
        <f t="shared" si="704"/>
        <v/>
      </c>
    </row>
    <row r="1337" spans="1:32" ht="15.75" customHeight="1" x14ac:dyDescent="0.3">
      <c r="A1337" s="85" t="str">
        <f t="shared" si="706"/>
        <v/>
      </c>
      <c r="C1337" s="87"/>
      <c r="E1337" s="87"/>
      <c r="H1337" s="87"/>
      <c r="I1337" s="87"/>
      <c r="O1337" s="90" t="str">
        <f t="shared" si="710"/>
        <v/>
      </c>
      <c r="Q1337" s="91" t="str">
        <f t="shared" si="702"/>
        <v/>
      </c>
      <c r="R1337" s="91" t="str">
        <f t="shared" si="705"/>
        <v/>
      </c>
      <c r="S1337" s="92" t="str">
        <f t="shared" si="703"/>
        <v/>
      </c>
      <c r="T1337" s="93"/>
      <c r="U1337" s="94" t="str">
        <f t="shared" si="707"/>
        <v/>
      </c>
      <c r="X1337" s="96"/>
      <c r="Y1337" s="97" t="str">
        <f t="shared" si="709"/>
        <v/>
      </c>
      <c r="Z1337" s="98" t="str">
        <f>SUBSTITUTE('Digitas UK Task 26'!$O1337, "Complet", "Not Requir")</f>
        <v/>
      </c>
      <c r="AA1337" s="98" t="str">
        <f t="shared" si="708"/>
        <v/>
      </c>
      <c r="AB1337" s="99"/>
      <c r="AF1337" s="84" t="str">
        <f t="shared" si="704"/>
        <v/>
      </c>
    </row>
    <row r="1338" spans="1:32" ht="15.75" customHeight="1" x14ac:dyDescent="0.3">
      <c r="A1338" s="85" t="str">
        <f t="shared" si="706"/>
        <v/>
      </c>
      <c r="C1338" s="87"/>
      <c r="E1338" s="87"/>
      <c r="H1338" s="87"/>
      <c r="I1338" s="87"/>
      <c r="O1338" s="90" t="str">
        <f t="shared" si="710"/>
        <v/>
      </c>
      <c r="Q1338" s="91" t="str">
        <f t="shared" si="702"/>
        <v/>
      </c>
      <c r="R1338" s="91" t="str">
        <f t="shared" si="705"/>
        <v/>
      </c>
      <c r="S1338" s="92" t="str">
        <f t="shared" si="703"/>
        <v/>
      </c>
      <c r="T1338" s="93"/>
      <c r="U1338" s="94" t="str">
        <f t="shared" si="707"/>
        <v/>
      </c>
      <c r="X1338" s="96"/>
      <c r="Y1338" s="97" t="str">
        <f t="shared" si="709"/>
        <v/>
      </c>
      <c r="Z1338" s="98" t="str">
        <f>SUBSTITUTE('Digitas UK Task 26'!$O1338, "Complet", "Not Requir")</f>
        <v/>
      </c>
      <c r="AA1338" s="98" t="str">
        <f t="shared" si="708"/>
        <v/>
      </c>
      <c r="AB1338" s="99"/>
      <c r="AF1338" s="84" t="str">
        <f t="shared" si="704"/>
        <v/>
      </c>
    </row>
    <row r="1339" spans="1:32" ht="15.75" customHeight="1" x14ac:dyDescent="0.3">
      <c r="A1339" s="85" t="str">
        <f t="shared" si="706"/>
        <v/>
      </c>
      <c r="C1339" s="87"/>
      <c r="E1339" s="87"/>
      <c r="H1339" s="87"/>
      <c r="I1339" s="87"/>
      <c r="O1339" s="90" t="str">
        <f t="shared" si="710"/>
        <v/>
      </c>
      <c r="Q1339" s="91" t="str">
        <f t="shared" si="702"/>
        <v/>
      </c>
      <c r="R1339" s="91" t="str">
        <f t="shared" si="705"/>
        <v/>
      </c>
      <c r="S1339" s="92" t="str">
        <f t="shared" si="703"/>
        <v/>
      </c>
      <c r="T1339" s="93"/>
      <c r="U1339" s="94" t="str">
        <f t="shared" si="707"/>
        <v/>
      </c>
      <c r="X1339" s="96"/>
      <c r="Y1339" s="97" t="str">
        <f t="shared" si="709"/>
        <v/>
      </c>
      <c r="Z1339" s="98" t="str">
        <f>SUBSTITUTE('Digitas UK Task 26'!$O1339, "Complet", "Not Requir")</f>
        <v/>
      </c>
      <c r="AA1339" s="98" t="str">
        <f t="shared" si="708"/>
        <v/>
      </c>
      <c r="AB1339" s="99"/>
      <c r="AF1339" s="84" t="str">
        <f t="shared" si="704"/>
        <v/>
      </c>
    </row>
    <row r="1340" spans="1:32" ht="15.75" customHeight="1" x14ac:dyDescent="0.3">
      <c r="A1340" s="85" t="str">
        <f t="shared" si="706"/>
        <v/>
      </c>
      <c r="C1340" s="87"/>
      <c r="E1340" s="87"/>
      <c r="H1340" s="87"/>
      <c r="I1340" s="87"/>
      <c r="O1340" s="90" t="str">
        <f t="shared" si="710"/>
        <v/>
      </c>
      <c r="Q1340" s="91" t="str">
        <f t="shared" si="702"/>
        <v/>
      </c>
      <c r="R1340" s="91" t="str">
        <f t="shared" si="705"/>
        <v/>
      </c>
      <c r="S1340" s="92" t="str">
        <f t="shared" si="703"/>
        <v/>
      </c>
      <c r="T1340" s="93"/>
      <c r="U1340" s="94" t="str">
        <f t="shared" si="707"/>
        <v/>
      </c>
      <c r="X1340" s="96"/>
      <c r="Y1340" s="97" t="str">
        <f t="shared" si="709"/>
        <v/>
      </c>
      <c r="Z1340" s="98" t="str">
        <f>SUBSTITUTE('Digitas UK Task 26'!$O1340, "Complet", "Not Requir")</f>
        <v/>
      </c>
      <c r="AA1340" s="98" t="str">
        <f t="shared" si="708"/>
        <v/>
      </c>
      <c r="AB1340" s="99"/>
      <c r="AF1340" s="84" t="str">
        <f t="shared" si="704"/>
        <v/>
      </c>
    </row>
    <row r="1341" spans="1:32" ht="15.75" customHeight="1" x14ac:dyDescent="0.3">
      <c r="A1341" s="85" t="str">
        <f t="shared" si="706"/>
        <v/>
      </c>
      <c r="C1341" s="87"/>
      <c r="E1341" s="87"/>
      <c r="H1341" s="87"/>
      <c r="I1341" s="87"/>
      <c r="O1341" s="90" t="str">
        <f t="shared" si="710"/>
        <v/>
      </c>
      <c r="Q1341" s="91" t="str">
        <f t="shared" si="702"/>
        <v/>
      </c>
      <c r="R1341" s="91" t="str">
        <f t="shared" si="705"/>
        <v/>
      </c>
      <c r="S1341" s="92" t="str">
        <f t="shared" si="703"/>
        <v/>
      </c>
      <c r="T1341" s="93"/>
      <c r="U1341" s="94" t="str">
        <f t="shared" si="707"/>
        <v/>
      </c>
      <c r="X1341" s="96"/>
      <c r="Y1341" s="97" t="str">
        <f t="shared" si="709"/>
        <v/>
      </c>
      <c r="Z1341" s="98" t="str">
        <f>SUBSTITUTE('Digitas UK Task 26'!$O1341, "Complet", "Not Requir")</f>
        <v/>
      </c>
      <c r="AA1341" s="98" t="str">
        <f t="shared" si="708"/>
        <v/>
      </c>
      <c r="AB1341" s="99"/>
      <c r="AF1341" s="84" t="str">
        <f t="shared" si="704"/>
        <v/>
      </c>
    </row>
    <row r="1342" spans="1:32" ht="15.75" customHeight="1" x14ac:dyDescent="0.3">
      <c r="A1342" s="85" t="str">
        <f t="shared" si="706"/>
        <v/>
      </c>
      <c r="C1342" s="87"/>
      <c r="E1342" s="87"/>
      <c r="H1342" s="87"/>
      <c r="I1342" s="87"/>
      <c r="O1342" s="90" t="str">
        <f t="shared" si="710"/>
        <v/>
      </c>
      <c r="Q1342" s="91" t="str">
        <f t="shared" si="702"/>
        <v/>
      </c>
      <c r="R1342" s="91" t="str">
        <f t="shared" si="705"/>
        <v/>
      </c>
      <c r="S1342" s="92" t="str">
        <f t="shared" si="703"/>
        <v/>
      </c>
      <c r="T1342" s="93"/>
      <c r="U1342" s="94" t="str">
        <f t="shared" si="707"/>
        <v/>
      </c>
      <c r="X1342" s="96"/>
      <c r="Y1342" s="97" t="str">
        <f t="shared" si="709"/>
        <v/>
      </c>
      <c r="Z1342" s="98" t="str">
        <f>SUBSTITUTE('Digitas UK Task 26'!$O1342, "Complet", "Not Requir")</f>
        <v/>
      </c>
      <c r="AA1342" s="98" t="str">
        <f t="shared" si="708"/>
        <v/>
      </c>
      <c r="AB1342" s="99"/>
      <c r="AF1342" s="84" t="str">
        <f t="shared" si="704"/>
        <v/>
      </c>
    </row>
    <row r="1343" spans="1:32" ht="15.75" customHeight="1" x14ac:dyDescent="0.3">
      <c r="A1343" s="85" t="str">
        <f t="shared" si="706"/>
        <v/>
      </c>
      <c r="C1343" s="87"/>
      <c r="E1343" s="87"/>
      <c r="H1343" s="87"/>
      <c r="I1343" s="87"/>
      <c r="O1343" s="90" t="str">
        <f t="shared" si="710"/>
        <v/>
      </c>
      <c r="Q1343" s="91" t="str">
        <f t="shared" si="702"/>
        <v/>
      </c>
      <c r="R1343" s="91" t="str">
        <f t="shared" si="705"/>
        <v/>
      </c>
      <c r="S1343" s="92" t="str">
        <f t="shared" si="703"/>
        <v/>
      </c>
      <c r="T1343" s="93"/>
      <c r="U1343" s="94" t="str">
        <f t="shared" si="707"/>
        <v/>
      </c>
      <c r="X1343" s="96"/>
      <c r="Y1343" s="97" t="str">
        <f t="shared" si="709"/>
        <v/>
      </c>
      <c r="Z1343" s="98" t="str">
        <f>SUBSTITUTE('Digitas UK Task 26'!$O1343, "Complet", "Not Requir")</f>
        <v/>
      </c>
      <c r="AA1343" s="98" t="str">
        <f t="shared" si="708"/>
        <v/>
      </c>
      <c r="AB1343" s="99"/>
      <c r="AF1343" s="84" t="str">
        <f t="shared" si="704"/>
        <v/>
      </c>
    </row>
    <row r="1344" spans="1:32" ht="15.75" customHeight="1" x14ac:dyDescent="0.3">
      <c r="A1344" s="85" t="str">
        <f t="shared" si="706"/>
        <v/>
      </c>
      <c r="C1344" s="87"/>
      <c r="E1344" s="87"/>
      <c r="H1344" s="87"/>
      <c r="I1344" s="87"/>
      <c r="O1344" s="90" t="str">
        <f t="shared" si="710"/>
        <v/>
      </c>
      <c r="Q1344" s="91" t="str">
        <f t="shared" si="702"/>
        <v/>
      </c>
      <c r="R1344" s="91" t="str">
        <f t="shared" si="705"/>
        <v/>
      </c>
      <c r="S1344" s="92" t="str">
        <f t="shared" si="703"/>
        <v/>
      </c>
      <c r="T1344" s="93"/>
      <c r="U1344" s="94" t="str">
        <f t="shared" si="707"/>
        <v/>
      </c>
      <c r="X1344" s="96"/>
      <c r="Y1344" s="97" t="str">
        <f t="shared" si="709"/>
        <v/>
      </c>
      <c r="Z1344" s="98" t="str">
        <f>SUBSTITUTE('Digitas UK Task 26'!$O1344, "Complet", "Not Requir")</f>
        <v/>
      </c>
      <c r="AA1344" s="98" t="str">
        <f t="shared" si="708"/>
        <v/>
      </c>
      <c r="AB1344" s="99"/>
      <c r="AF1344" s="84" t="str">
        <f t="shared" si="704"/>
        <v/>
      </c>
    </row>
    <row r="1345" spans="1:32" ht="15.75" customHeight="1" x14ac:dyDescent="0.3">
      <c r="A1345" s="85" t="str">
        <f t="shared" si="706"/>
        <v/>
      </c>
      <c r="C1345" s="87"/>
      <c r="E1345" s="87"/>
      <c r="H1345" s="87"/>
      <c r="I1345" s="87"/>
      <c r="O1345" s="90" t="str">
        <f t="shared" si="710"/>
        <v/>
      </c>
      <c r="Q1345" s="91" t="str">
        <f t="shared" si="702"/>
        <v/>
      </c>
      <c r="R1345" s="91" t="str">
        <f t="shared" si="705"/>
        <v/>
      </c>
      <c r="S1345" s="92" t="str">
        <f t="shared" si="703"/>
        <v/>
      </c>
      <c r="T1345" s="93"/>
      <c r="U1345" s="94" t="str">
        <f t="shared" si="707"/>
        <v/>
      </c>
      <c r="X1345" s="96"/>
      <c r="Y1345" s="97" t="str">
        <f t="shared" si="709"/>
        <v/>
      </c>
      <c r="Z1345" s="98" t="str">
        <f>SUBSTITUTE('Digitas UK Task 26'!$O1345, "Complet", "Not Requir")</f>
        <v/>
      </c>
      <c r="AA1345" s="98" t="str">
        <f t="shared" si="708"/>
        <v/>
      </c>
      <c r="AB1345" s="99"/>
      <c r="AF1345" s="84" t="str">
        <f t="shared" si="704"/>
        <v/>
      </c>
    </row>
    <row r="1346" spans="1:32" ht="15.75" customHeight="1" x14ac:dyDescent="0.3">
      <c r="A1346" s="85" t="str">
        <f t="shared" si="706"/>
        <v/>
      </c>
      <c r="C1346" s="87"/>
      <c r="E1346" s="87"/>
      <c r="H1346" s="87"/>
      <c r="I1346" s="87"/>
      <c r="O1346" s="90" t="str">
        <f t="shared" si="710"/>
        <v/>
      </c>
      <c r="Q1346" s="91" t="str">
        <f t="shared" si="702"/>
        <v/>
      </c>
      <c r="R1346" s="91" t="str">
        <f t="shared" si="705"/>
        <v/>
      </c>
      <c r="S1346" s="92" t="str">
        <f t="shared" si="703"/>
        <v/>
      </c>
      <c r="T1346" s="93"/>
      <c r="U1346" s="94" t="str">
        <f t="shared" si="707"/>
        <v/>
      </c>
      <c r="X1346" s="96"/>
      <c r="Y1346" s="97" t="str">
        <f t="shared" si="709"/>
        <v/>
      </c>
      <c r="Z1346" s="98" t="str">
        <f>SUBSTITUTE('Digitas UK Task 26'!$O1346, "Complet", "Not Requir")</f>
        <v/>
      </c>
      <c r="AA1346" s="98" t="str">
        <f t="shared" si="708"/>
        <v/>
      </c>
      <c r="AB1346" s="99"/>
      <c r="AF1346" s="84" t="str">
        <f t="shared" si="704"/>
        <v/>
      </c>
    </row>
    <row r="1347" spans="1:32" ht="15.75" customHeight="1" x14ac:dyDescent="0.3">
      <c r="A1347" s="85" t="str">
        <f t="shared" si="706"/>
        <v/>
      </c>
      <c r="C1347" s="87"/>
      <c r="E1347" s="87"/>
      <c r="H1347" s="87"/>
      <c r="I1347" s="87"/>
      <c r="O1347" s="90" t="str">
        <f t="shared" si="710"/>
        <v/>
      </c>
      <c r="Q1347" s="91" t="str">
        <f t="shared" si="702"/>
        <v/>
      </c>
      <c r="R1347" s="91" t="str">
        <f t="shared" si="705"/>
        <v/>
      </c>
      <c r="S1347" s="92" t="str">
        <f t="shared" si="703"/>
        <v/>
      </c>
      <c r="T1347" s="93"/>
      <c r="U1347" s="94" t="str">
        <f t="shared" si="707"/>
        <v/>
      </c>
      <c r="X1347" s="96"/>
      <c r="Y1347" s="97" t="str">
        <f t="shared" si="709"/>
        <v/>
      </c>
      <c r="Z1347" s="98" t="str">
        <f>SUBSTITUTE('Digitas UK Task 26'!$O1347, "Complet", "Not Requir")</f>
        <v/>
      </c>
      <c r="AA1347" s="98" t="str">
        <f t="shared" si="708"/>
        <v/>
      </c>
      <c r="AB1347" s="99"/>
      <c r="AF1347" s="84" t="str">
        <f t="shared" si="704"/>
        <v/>
      </c>
    </row>
    <row r="1348" spans="1:32" ht="15.75" customHeight="1" x14ac:dyDescent="0.3">
      <c r="A1348" s="85" t="str">
        <f t="shared" si="706"/>
        <v/>
      </c>
      <c r="C1348" s="87"/>
      <c r="E1348" s="87"/>
      <c r="H1348" s="87"/>
      <c r="I1348" s="87"/>
      <c r="O1348" s="90" t="str">
        <f t="shared" si="710"/>
        <v/>
      </c>
      <c r="Q1348" s="91" t="str">
        <f t="shared" si="702"/>
        <v/>
      </c>
      <c r="R1348" s="91" t="str">
        <f t="shared" si="705"/>
        <v/>
      </c>
      <c r="S1348" s="92" t="str">
        <f t="shared" si="703"/>
        <v/>
      </c>
      <c r="T1348" s="93"/>
      <c r="U1348" s="94" t="str">
        <f t="shared" si="707"/>
        <v/>
      </c>
      <c r="X1348" s="96"/>
      <c r="Y1348" s="97" t="str">
        <f t="shared" si="709"/>
        <v/>
      </c>
      <c r="Z1348" s="98" t="str">
        <f>SUBSTITUTE('Digitas UK Task 26'!$O1348, "Complet", "Not Requir")</f>
        <v/>
      </c>
      <c r="AA1348" s="98" t="str">
        <f t="shared" si="708"/>
        <v/>
      </c>
      <c r="AB1348" s="99"/>
      <c r="AF1348" s="84" t="str">
        <f t="shared" si="704"/>
        <v/>
      </c>
    </row>
    <row r="1349" spans="1:32" ht="15.75" customHeight="1" x14ac:dyDescent="0.3">
      <c r="A1349" s="85" t="str">
        <f t="shared" si="706"/>
        <v/>
      </c>
      <c r="C1349" s="87"/>
      <c r="E1349" s="87"/>
      <c r="H1349" s="87"/>
      <c r="I1349" s="87"/>
      <c r="O1349" s="90" t="str">
        <f t="shared" si="710"/>
        <v/>
      </c>
      <c r="Q1349" s="91" t="str">
        <f t="shared" si="702"/>
        <v/>
      </c>
      <c r="R1349" s="91" t="str">
        <f t="shared" si="705"/>
        <v/>
      </c>
      <c r="S1349" s="92" t="str">
        <f t="shared" si="703"/>
        <v/>
      </c>
      <c r="T1349" s="93"/>
      <c r="U1349" s="94" t="str">
        <f t="shared" si="707"/>
        <v/>
      </c>
      <c r="X1349" s="96"/>
      <c r="Y1349" s="97" t="str">
        <f t="shared" si="709"/>
        <v/>
      </c>
      <c r="Z1349" s="98" t="str">
        <f>SUBSTITUTE('Digitas UK Task 26'!$O1349, "Complet", "Not Requir")</f>
        <v/>
      </c>
      <c r="AA1349" s="98" t="str">
        <f t="shared" si="708"/>
        <v/>
      </c>
      <c r="AB1349" s="99"/>
      <c r="AF1349" s="84" t="str">
        <f t="shared" si="704"/>
        <v/>
      </c>
    </row>
    <row r="1350" spans="1:32" ht="15.75" customHeight="1" x14ac:dyDescent="0.3">
      <c r="A1350" s="85" t="str">
        <f t="shared" si="706"/>
        <v/>
      </c>
      <c r="C1350" s="87"/>
      <c r="E1350" s="87"/>
      <c r="H1350" s="87"/>
      <c r="I1350" s="87"/>
      <c r="O1350" s="90" t="str">
        <f t="shared" si="710"/>
        <v/>
      </c>
      <c r="Q1350" s="91" t="str">
        <f t="shared" si="702"/>
        <v/>
      </c>
      <c r="R1350" s="91" t="str">
        <f t="shared" si="705"/>
        <v/>
      </c>
      <c r="S1350" s="92" t="str">
        <f t="shared" si="703"/>
        <v/>
      </c>
      <c r="T1350" s="93"/>
      <c r="U1350" s="94" t="str">
        <f t="shared" si="707"/>
        <v/>
      </c>
      <c r="X1350" s="96"/>
      <c r="Y1350" s="97" t="str">
        <f t="shared" si="709"/>
        <v/>
      </c>
      <c r="Z1350" s="98" t="str">
        <f>SUBSTITUTE('Digitas UK Task 26'!$O1350, "Complet", "Not Requir")</f>
        <v/>
      </c>
      <c r="AA1350" s="98" t="str">
        <f t="shared" si="708"/>
        <v/>
      </c>
      <c r="AB1350" s="99"/>
      <c r="AF1350" s="84" t="str">
        <f t="shared" si="704"/>
        <v/>
      </c>
    </row>
    <row r="1351" spans="1:32" ht="15.75" customHeight="1" x14ac:dyDescent="0.3">
      <c r="A1351" s="85" t="str">
        <f t="shared" si="706"/>
        <v/>
      </c>
      <c r="C1351" s="87"/>
      <c r="E1351" s="87"/>
      <c r="H1351" s="87"/>
      <c r="I1351" s="87"/>
      <c r="O1351" s="90" t="str">
        <f t="shared" si="710"/>
        <v/>
      </c>
      <c r="Q1351" s="91" t="str">
        <f t="shared" si="702"/>
        <v/>
      </c>
      <c r="R1351" s="91" t="str">
        <f t="shared" si="705"/>
        <v/>
      </c>
      <c r="S1351" s="92" t="str">
        <f t="shared" si="703"/>
        <v/>
      </c>
      <c r="T1351" s="93"/>
      <c r="U1351" s="94" t="str">
        <f t="shared" si="707"/>
        <v/>
      </c>
      <c r="X1351" s="96"/>
      <c r="Y1351" s="97" t="str">
        <f t="shared" si="709"/>
        <v/>
      </c>
      <c r="Z1351" s="98" t="str">
        <f>SUBSTITUTE('Digitas UK Task 26'!$O1351, "Complet", "Not Requir")</f>
        <v/>
      </c>
      <c r="AA1351" s="98" t="str">
        <f t="shared" si="708"/>
        <v/>
      </c>
      <c r="AB1351" s="99"/>
      <c r="AF1351" s="84" t="str">
        <f t="shared" si="704"/>
        <v/>
      </c>
    </row>
    <row r="1352" spans="1:32" ht="15.75" customHeight="1" x14ac:dyDescent="0.3">
      <c r="A1352" s="85" t="str">
        <f t="shared" si="706"/>
        <v/>
      </c>
      <c r="C1352" s="87"/>
      <c r="E1352" s="87"/>
      <c r="H1352" s="87"/>
      <c r="I1352" s="87"/>
      <c r="O1352" s="90" t="str">
        <f t="shared" si="710"/>
        <v/>
      </c>
      <c r="Q1352" s="91" t="str">
        <f t="shared" si="702"/>
        <v/>
      </c>
      <c r="R1352" s="91" t="str">
        <f t="shared" si="705"/>
        <v/>
      </c>
      <c r="S1352" s="92" t="str">
        <f t="shared" si="703"/>
        <v/>
      </c>
      <c r="T1352" s="93"/>
      <c r="U1352" s="94" t="str">
        <f t="shared" si="707"/>
        <v/>
      </c>
      <c r="X1352" s="96"/>
      <c r="Y1352" s="97" t="str">
        <f t="shared" si="709"/>
        <v/>
      </c>
      <c r="Z1352" s="98" t="str">
        <f>SUBSTITUTE('Digitas UK Task 26'!$O1352, "Complet", "Not Requir")</f>
        <v/>
      </c>
      <c r="AA1352" s="98" t="str">
        <f t="shared" si="708"/>
        <v/>
      </c>
      <c r="AB1352" s="99"/>
      <c r="AF1352" s="84" t="str">
        <f t="shared" si="704"/>
        <v/>
      </c>
    </row>
    <row r="1353" spans="1:32" ht="15.75" customHeight="1" x14ac:dyDescent="0.3">
      <c r="A1353" s="85" t="str">
        <f t="shared" si="706"/>
        <v/>
      </c>
      <c r="C1353" s="87"/>
      <c r="E1353" s="87"/>
      <c r="H1353" s="87"/>
      <c r="I1353" s="87"/>
      <c r="O1353" s="90" t="str">
        <f t="shared" si="710"/>
        <v/>
      </c>
      <c r="Q1353" s="91" t="str">
        <f t="shared" si="702"/>
        <v/>
      </c>
      <c r="R1353" s="91" t="str">
        <f t="shared" si="705"/>
        <v/>
      </c>
      <c r="S1353" s="92" t="str">
        <f t="shared" si="703"/>
        <v/>
      </c>
      <c r="T1353" s="93"/>
      <c r="U1353" s="94" t="str">
        <f t="shared" si="707"/>
        <v/>
      </c>
      <c r="X1353" s="96"/>
      <c r="Y1353" s="97" t="str">
        <f t="shared" si="709"/>
        <v/>
      </c>
      <c r="Z1353" s="98" t="str">
        <f>SUBSTITUTE('Digitas UK Task 26'!$O1353, "Complet", "Not Requir")</f>
        <v/>
      </c>
      <c r="AA1353" s="98" t="str">
        <f t="shared" si="708"/>
        <v/>
      </c>
      <c r="AB1353" s="99"/>
      <c r="AF1353" s="84" t="str">
        <f t="shared" si="704"/>
        <v/>
      </c>
    </row>
    <row r="1354" spans="1:32" ht="15.75" customHeight="1" x14ac:dyDescent="0.3">
      <c r="A1354" s="85" t="str">
        <f t="shared" si="706"/>
        <v/>
      </c>
      <c r="C1354" s="87"/>
      <c r="E1354" s="87"/>
      <c r="H1354" s="87"/>
      <c r="I1354" s="87"/>
      <c r="O1354" s="90" t="str">
        <f t="shared" si="710"/>
        <v/>
      </c>
      <c r="Q1354" s="91" t="str">
        <f t="shared" si="702"/>
        <v/>
      </c>
      <c r="R1354" s="91" t="str">
        <f t="shared" si="705"/>
        <v/>
      </c>
      <c r="S1354" s="92" t="str">
        <f t="shared" si="703"/>
        <v/>
      </c>
      <c r="T1354" s="93"/>
      <c r="U1354" s="94" t="str">
        <f t="shared" si="707"/>
        <v/>
      </c>
      <c r="X1354" s="96"/>
      <c r="Y1354" s="97" t="str">
        <f t="shared" si="709"/>
        <v/>
      </c>
      <c r="Z1354" s="98" t="str">
        <f>SUBSTITUTE('Digitas UK Task 26'!$O1354, "Complet", "Not Requir")</f>
        <v/>
      </c>
      <c r="AA1354" s="98" t="str">
        <f t="shared" si="708"/>
        <v/>
      </c>
      <c r="AB1354" s="99"/>
      <c r="AF1354" s="84" t="str">
        <f t="shared" si="704"/>
        <v/>
      </c>
    </row>
    <row r="1355" spans="1:32" ht="15.75" customHeight="1" x14ac:dyDescent="0.3">
      <c r="A1355" s="85" t="str">
        <f t="shared" si="706"/>
        <v/>
      </c>
      <c r="C1355" s="87"/>
      <c r="E1355" s="87"/>
      <c r="H1355" s="87"/>
      <c r="I1355" s="87"/>
      <c r="O1355" s="90" t="str">
        <f t="shared" si="710"/>
        <v/>
      </c>
      <c r="Q1355" s="91" t="str">
        <f t="shared" si="702"/>
        <v/>
      </c>
      <c r="R1355" s="91" t="str">
        <f t="shared" si="705"/>
        <v/>
      </c>
      <c r="S1355" s="92" t="str">
        <f t="shared" si="703"/>
        <v/>
      </c>
      <c r="T1355" s="93"/>
      <c r="U1355" s="94" t="str">
        <f t="shared" si="707"/>
        <v/>
      </c>
      <c r="X1355" s="96"/>
      <c r="Y1355" s="97" t="str">
        <f t="shared" si="709"/>
        <v/>
      </c>
      <c r="Z1355" s="98" t="str">
        <f>SUBSTITUTE('Digitas UK Task 26'!$O1355, "Complet", "Not Requir")</f>
        <v/>
      </c>
      <c r="AA1355" s="98" t="str">
        <f t="shared" si="708"/>
        <v/>
      </c>
      <c r="AB1355" s="99"/>
      <c r="AF1355" s="84" t="str">
        <f t="shared" si="704"/>
        <v/>
      </c>
    </row>
    <row r="1356" spans="1:32" ht="15.75" customHeight="1" x14ac:dyDescent="0.3">
      <c r="A1356" s="85" t="str">
        <f t="shared" si="706"/>
        <v/>
      </c>
      <c r="C1356" s="87"/>
      <c r="E1356" s="87"/>
      <c r="H1356" s="87"/>
      <c r="I1356" s="87"/>
      <c r="O1356" s="90" t="str">
        <f t="shared" si="710"/>
        <v/>
      </c>
      <c r="Q1356" s="91" t="str">
        <f t="shared" si="702"/>
        <v/>
      </c>
      <c r="R1356" s="91" t="str">
        <f t="shared" si="705"/>
        <v/>
      </c>
      <c r="S1356" s="92" t="str">
        <f t="shared" si="703"/>
        <v/>
      </c>
      <c r="T1356" s="93"/>
      <c r="U1356" s="94" t="str">
        <f t="shared" si="707"/>
        <v/>
      </c>
      <c r="X1356" s="96"/>
      <c r="Y1356" s="97" t="str">
        <f t="shared" si="709"/>
        <v/>
      </c>
      <c r="Z1356" s="98" t="str">
        <f>SUBSTITUTE('Digitas UK Task 26'!$O1356, "Complet", "Not Requir")</f>
        <v/>
      </c>
      <c r="AA1356" s="98" t="str">
        <f t="shared" si="708"/>
        <v/>
      </c>
      <c r="AB1356" s="99"/>
      <c r="AF1356" s="84" t="str">
        <f t="shared" si="704"/>
        <v/>
      </c>
    </row>
    <row r="1357" spans="1:32" ht="15.75" customHeight="1" x14ac:dyDescent="0.3">
      <c r="A1357" s="85" t="str">
        <f t="shared" si="706"/>
        <v/>
      </c>
      <c r="C1357" s="87"/>
      <c r="E1357" s="87"/>
      <c r="H1357" s="87"/>
      <c r="I1357" s="87"/>
      <c r="O1357" s="90" t="str">
        <f t="shared" si="710"/>
        <v/>
      </c>
      <c r="Q1357" s="91" t="str">
        <f t="shared" si="702"/>
        <v/>
      </c>
      <c r="R1357" s="91" t="str">
        <f t="shared" si="705"/>
        <v/>
      </c>
      <c r="S1357" s="92" t="str">
        <f t="shared" si="703"/>
        <v/>
      </c>
      <c r="T1357" s="93"/>
      <c r="U1357" s="94" t="str">
        <f t="shared" si="707"/>
        <v/>
      </c>
      <c r="X1357" s="96"/>
      <c r="Y1357" s="97" t="str">
        <f t="shared" si="709"/>
        <v/>
      </c>
      <c r="Z1357" s="98" t="str">
        <f>SUBSTITUTE('Digitas UK Task 26'!$O1357, "Complet", "Not Requir")</f>
        <v/>
      </c>
      <c r="AA1357" s="98" t="str">
        <f t="shared" si="708"/>
        <v/>
      </c>
      <c r="AB1357" s="99"/>
      <c r="AF1357" s="84" t="str">
        <f t="shared" si="704"/>
        <v/>
      </c>
    </row>
    <row r="1358" spans="1:32" ht="15.75" customHeight="1" x14ac:dyDescent="0.3">
      <c r="A1358" s="85" t="str">
        <f t="shared" si="706"/>
        <v/>
      </c>
      <c r="C1358" s="87"/>
      <c r="E1358" s="87"/>
      <c r="H1358" s="87"/>
      <c r="I1358" s="87"/>
      <c r="O1358" s="90" t="str">
        <f t="shared" si="710"/>
        <v/>
      </c>
      <c r="Q1358" s="91" t="str">
        <f t="shared" si="702"/>
        <v/>
      </c>
      <c r="R1358" s="91" t="str">
        <f t="shared" si="705"/>
        <v/>
      </c>
      <c r="S1358" s="92" t="str">
        <f t="shared" si="703"/>
        <v/>
      </c>
      <c r="T1358" s="93"/>
      <c r="U1358" s="94" t="str">
        <f t="shared" si="707"/>
        <v/>
      </c>
      <c r="X1358" s="96"/>
      <c r="Y1358" s="97" t="str">
        <f t="shared" si="709"/>
        <v/>
      </c>
      <c r="Z1358" s="98" t="str">
        <f>SUBSTITUTE('Digitas UK Task 26'!$O1358, "Complet", "Not Requir")</f>
        <v/>
      </c>
      <c r="AA1358" s="98" t="str">
        <f t="shared" si="708"/>
        <v/>
      </c>
      <c r="AB1358" s="99"/>
      <c r="AF1358" s="84" t="str">
        <f t="shared" si="704"/>
        <v/>
      </c>
    </row>
    <row r="1359" spans="1:32" ht="15.75" customHeight="1" x14ac:dyDescent="0.3">
      <c r="A1359" s="85" t="str">
        <f t="shared" si="706"/>
        <v/>
      </c>
      <c r="C1359" s="87"/>
      <c r="E1359" s="87"/>
      <c r="H1359" s="87"/>
      <c r="I1359" s="87"/>
      <c r="O1359" s="90" t="str">
        <f t="shared" si="710"/>
        <v/>
      </c>
      <c r="Q1359" s="91" t="str">
        <f t="shared" ref="Q1359:Q1370" si="711">IF(B1359="","",WEEKNUM(B1359))</f>
        <v/>
      </c>
      <c r="R1359" s="91" t="str">
        <f t="shared" si="705"/>
        <v/>
      </c>
      <c r="S1359" s="92" t="str">
        <f t="shared" ref="S1359:S1370" si="712">IF(B1359="","",TEXT(B1359,"DDDD"))</f>
        <v/>
      </c>
      <c r="T1359" s="93"/>
      <c r="U1359" s="94" t="str">
        <f t="shared" si="707"/>
        <v/>
      </c>
      <c r="X1359" s="96"/>
      <c r="Y1359" s="97" t="str">
        <f t="shared" si="709"/>
        <v/>
      </c>
      <c r="Z1359" s="98" t="str">
        <f>SUBSTITUTE('Digitas UK Task 26'!$O1359, "Complet", "Not Requir")</f>
        <v/>
      </c>
      <c r="AA1359" s="98" t="str">
        <f t="shared" si="708"/>
        <v/>
      </c>
      <c r="AB1359" s="99"/>
      <c r="AF1359" s="84" t="str">
        <f t="shared" si="704"/>
        <v/>
      </c>
    </row>
    <row r="1360" spans="1:32" ht="15.75" customHeight="1" x14ac:dyDescent="0.3">
      <c r="A1360" s="85" t="str">
        <f t="shared" si="706"/>
        <v/>
      </c>
      <c r="C1360" s="87"/>
      <c r="E1360" s="87"/>
      <c r="H1360" s="87"/>
      <c r="I1360" s="87"/>
      <c r="O1360" s="90" t="str">
        <f t="shared" si="710"/>
        <v/>
      </c>
      <c r="Q1360" s="91" t="str">
        <f t="shared" si="711"/>
        <v/>
      </c>
      <c r="R1360" s="91" t="str">
        <f t="shared" si="705"/>
        <v/>
      </c>
      <c r="S1360" s="92" t="str">
        <f t="shared" si="712"/>
        <v/>
      </c>
      <c r="T1360" s="93"/>
      <c r="U1360" s="94" t="str">
        <f t="shared" si="707"/>
        <v/>
      </c>
      <c r="X1360" s="96"/>
      <c r="Y1360" s="97" t="str">
        <f t="shared" si="709"/>
        <v/>
      </c>
      <c r="Z1360" s="98" t="str">
        <f>SUBSTITUTE('Digitas UK Task 26'!$O1360, "Complet", "Not Requir")</f>
        <v/>
      </c>
      <c r="AA1360" s="98" t="str">
        <f t="shared" si="708"/>
        <v/>
      </c>
      <c r="AB1360" s="99"/>
      <c r="AF1360" s="84" t="str">
        <f t="shared" si="704"/>
        <v/>
      </c>
    </row>
    <row r="1361" spans="1:32" ht="15.75" customHeight="1" x14ac:dyDescent="0.3">
      <c r="A1361" s="85" t="str">
        <f t="shared" si="706"/>
        <v/>
      </c>
      <c r="C1361" s="87"/>
      <c r="E1361" s="87"/>
      <c r="H1361" s="87"/>
      <c r="I1361" s="87"/>
      <c r="O1361" s="90" t="str">
        <f t="shared" si="710"/>
        <v/>
      </c>
      <c r="Q1361" s="91" t="str">
        <f t="shared" si="711"/>
        <v/>
      </c>
      <c r="R1361" s="91" t="str">
        <f t="shared" si="705"/>
        <v/>
      </c>
      <c r="S1361" s="92" t="str">
        <f t="shared" si="712"/>
        <v/>
      </c>
      <c r="T1361" s="93"/>
      <c r="U1361" s="94" t="str">
        <f t="shared" si="707"/>
        <v/>
      </c>
      <c r="X1361" s="96"/>
      <c r="Y1361" s="97" t="str">
        <f t="shared" si="709"/>
        <v/>
      </c>
      <c r="Z1361" s="98" t="str">
        <f>SUBSTITUTE('Digitas UK Task 26'!$O1361, "Complet", "Not Requir")</f>
        <v/>
      </c>
      <c r="AA1361" s="98" t="str">
        <f t="shared" si="708"/>
        <v/>
      </c>
      <c r="AB1361" s="99"/>
      <c r="AF1361" s="84" t="str">
        <f t="shared" si="704"/>
        <v/>
      </c>
    </row>
    <row r="1362" spans="1:32" ht="15.75" customHeight="1" x14ac:dyDescent="0.3">
      <c r="A1362" s="85" t="str">
        <f t="shared" si="706"/>
        <v/>
      </c>
      <c r="C1362" s="87"/>
      <c r="E1362" s="87"/>
      <c r="H1362" s="87"/>
      <c r="I1362" s="87"/>
      <c r="O1362" s="90" t="str">
        <f t="shared" si="710"/>
        <v/>
      </c>
      <c r="Q1362" s="91" t="str">
        <f t="shared" si="711"/>
        <v/>
      </c>
      <c r="R1362" s="91" t="str">
        <f t="shared" si="705"/>
        <v/>
      </c>
      <c r="S1362" s="92" t="str">
        <f t="shared" si="712"/>
        <v/>
      </c>
      <c r="T1362" s="93"/>
      <c r="U1362" s="94" t="str">
        <f t="shared" si="707"/>
        <v/>
      </c>
      <c r="X1362" s="96"/>
      <c r="Y1362" s="97" t="str">
        <f t="shared" si="709"/>
        <v/>
      </c>
      <c r="Z1362" s="98" t="str">
        <f>SUBSTITUTE('Digitas UK Task 26'!$O1362, "Complet", "Not Requir")</f>
        <v/>
      </c>
      <c r="AA1362" s="98" t="str">
        <f t="shared" si="708"/>
        <v/>
      </c>
      <c r="AB1362" s="99"/>
      <c r="AF1362" s="84" t="str">
        <f t="shared" si="704"/>
        <v/>
      </c>
    </row>
    <row r="1363" spans="1:32" ht="15.75" customHeight="1" x14ac:dyDescent="0.3">
      <c r="A1363" s="85" t="str">
        <f t="shared" si="706"/>
        <v/>
      </c>
      <c r="C1363" s="87"/>
      <c r="E1363" s="87"/>
      <c r="H1363" s="87"/>
      <c r="I1363" s="87"/>
      <c r="O1363" s="90" t="str">
        <f t="shared" si="710"/>
        <v/>
      </c>
      <c r="Q1363" s="91" t="str">
        <f t="shared" si="711"/>
        <v/>
      </c>
      <c r="R1363" s="91" t="str">
        <f t="shared" si="705"/>
        <v/>
      </c>
      <c r="S1363" s="92" t="str">
        <f t="shared" si="712"/>
        <v/>
      </c>
      <c r="T1363" s="93"/>
      <c r="U1363" s="94" t="str">
        <f t="shared" si="707"/>
        <v/>
      </c>
      <c r="X1363" s="96"/>
      <c r="Y1363" s="97" t="str">
        <f t="shared" si="709"/>
        <v/>
      </c>
      <c r="Z1363" s="98" t="str">
        <f>SUBSTITUTE('Digitas UK Task 26'!$O1363, "Complet", "Not Requir")</f>
        <v/>
      </c>
      <c r="AA1363" s="98" t="str">
        <f t="shared" si="708"/>
        <v/>
      </c>
      <c r="AB1363" s="99"/>
      <c r="AF1363" s="84" t="str">
        <f t="shared" si="704"/>
        <v/>
      </c>
    </row>
    <row r="1364" spans="1:32" ht="15.75" customHeight="1" x14ac:dyDescent="0.3">
      <c r="A1364" s="85" t="str">
        <f t="shared" si="706"/>
        <v/>
      </c>
      <c r="C1364" s="87"/>
      <c r="E1364" s="87"/>
      <c r="H1364" s="87"/>
      <c r="I1364" s="87"/>
      <c r="O1364" s="90" t="str">
        <f t="shared" si="710"/>
        <v/>
      </c>
      <c r="Q1364" s="91" t="str">
        <f t="shared" si="711"/>
        <v/>
      </c>
      <c r="R1364" s="91" t="str">
        <f t="shared" si="705"/>
        <v/>
      </c>
      <c r="S1364" s="92" t="str">
        <f t="shared" si="712"/>
        <v/>
      </c>
      <c r="T1364" s="93"/>
      <c r="U1364" s="94" t="str">
        <f t="shared" si="707"/>
        <v/>
      </c>
      <c r="X1364" s="96"/>
      <c r="Y1364" s="97" t="str">
        <f t="shared" si="709"/>
        <v/>
      </c>
      <c r="Z1364" s="98" t="str">
        <f>SUBSTITUTE('Digitas UK Task 26'!$O1364, "Complet", "Not Requir")</f>
        <v/>
      </c>
      <c r="AA1364" s="98" t="str">
        <f t="shared" si="708"/>
        <v/>
      </c>
      <c r="AB1364" s="99"/>
      <c r="AF1364" s="84" t="str">
        <f t="shared" si="704"/>
        <v/>
      </c>
    </row>
    <row r="1365" spans="1:32" ht="15.75" customHeight="1" x14ac:dyDescent="0.3">
      <c r="A1365" s="85" t="str">
        <f t="shared" si="706"/>
        <v/>
      </c>
      <c r="C1365" s="87"/>
      <c r="E1365" s="87"/>
      <c r="H1365" s="87"/>
      <c r="I1365" s="87"/>
      <c r="O1365" s="90" t="str">
        <f t="shared" si="710"/>
        <v/>
      </c>
      <c r="Q1365" s="91" t="str">
        <f t="shared" si="711"/>
        <v/>
      </c>
      <c r="R1365" s="91" t="str">
        <f t="shared" si="705"/>
        <v/>
      </c>
      <c r="S1365" s="92" t="str">
        <f t="shared" si="712"/>
        <v/>
      </c>
      <c r="T1365" s="93"/>
      <c r="U1365" s="94" t="str">
        <f t="shared" si="707"/>
        <v/>
      </c>
      <c r="X1365" s="96"/>
      <c r="Y1365" s="97" t="str">
        <f t="shared" si="709"/>
        <v/>
      </c>
      <c r="Z1365" s="98" t="str">
        <f>SUBSTITUTE('Digitas UK Task 26'!$O1365, "Complet", "Not Requir")</f>
        <v/>
      </c>
      <c r="AA1365" s="98" t="str">
        <f t="shared" si="708"/>
        <v/>
      </c>
      <c r="AB1365" s="99"/>
      <c r="AF1365" s="84" t="str">
        <f t="shared" ref="AF1365:AF1370" si="713">IF(AD1365="","",WEEKNUM(AD1365))</f>
        <v/>
      </c>
    </row>
    <row r="1366" spans="1:32" ht="15.75" customHeight="1" x14ac:dyDescent="0.3">
      <c r="A1366" s="85" t="str">
        <f t="shared" si="706"/>
        <v/>
      </c>
      <c r="C1366" s="87"/>
      <c r="E1366" s="87"/>
      <c r="H1366" s="87"/>
      <c r="I1366" s="87"/>
      <c r="O1366" s="90" t="str">
        <f t="shared" si="710"/>
        <v/>
      </c>
      <c r="Q1366" s="91" t="str">
        <f t="shared" si="711"/>
        <v/>
      </c>
      <c r="R1366" s="91" t="str">
        <f t="shared" ref="R1366:R1370" si="714">IF(B1366="","",TEXT(B1366,"MMM"))</f>
        <v/>
      </c>
      <c r="S1366" s="92" t="str">
        <f t="shared" si="712"/>
        <v/>
      </c>
      <c r="T1366" s="93"/>
      <c r="U1366" s="94" t="str">
        <f t="shared" si="707"/>
        <v/>
      </c>
      <c r="X1366" s="96"/>
      <c r="Y1366" s="97" t="str">
        <f t="shared" si="709"/>
        <v/>
      </c>
      <c r="Z1366" s="98" t="str">
        <f>SUBSTITUTE('Digitas UK Task 26'!$O1366, "Complet", "Not Requir")</f>
        <v/>
      </c>
      <c r="AA1366" s="98" t="str">
        <f t="shared" si="708"/>
        <v/>
      </c>
      <c r="AB1366" s="99"/>
      <c r="AF1366" s="84" t="str">
        <f t="shared" si="713"/>
        <v/>
      </c>
    </row>
    <row r="1367" spans="1:32" ht="15.75" customHeight="1" x14ac:dyDescent="0.3">
      <c r="A1367" s="85" t="str">
        <f t="shared" si="706"/>
        <v/>
      </c>
      <c r="C1367" s="87"/>
      <c r="E1367" s="87"/>
      <c r="H1367" s="87"/>
      <c r="I1367" s="87"/>
      <c r="O1367" s="90" t="str">
        <f t="shared" si="710"/>
        <v/>
      </c>
      <c r="Q1367" s="91" t="str">
        <f t="shared" si="711"/>
        <v/>
      </c>
      <c r="R1367" s="91" t="str">
        <f t="shared" si="714"/>
        <v/>
      </c>
      <c r="S1367" s="92" t="str">
        <f t="shared" si="712"/>
        <v/>
      </c>
      <c r="T1367" s="93"/>
      <c r="U1367" s="94" t="str">
        <f t="shared" si="707"/>
        <v/>
      </c>
      <c r="X1367" s="96"/>
      <c r="Y1367" s="97" t="str">
        <f t="shared" si="709"/>
        <v/>
      </c>
      <c r="Z1367" s="98" t="str">
        <f>SUBSTITUTE('Digitas UK Task 26'!$O1367, "Complet", "Not Requir")</f>
        <v/>
      </c>
      <c r="AA1367" s="98" t="str">
        <f t="shared" si="708"/>
        <v/>
      </c>
      <c r="AB1367" s="99"/>
      <c r="AF1367" s="84" t="str">
        <f t="shared" si="713"/>
        <v/>
      </c>
    </row>
    <row r="1368" spans="1:32" ht="15.75" customHeight="1" x14ac:dyDescent="0.3">
      <c r="A1368" s="85" t="str">
        <f t="shared" si="706"/>
        <v/>
      </c>
      <c r="C1368" s="87"/>
      <c r="E1368" s="87"/>
      <c r="H1368" s="87"/>
      <c r="I1368" s="87"/>
      <c r="O1368" s="90" t="str">
        <f t="shared" si="710"/>
        <v/>
      </c>
      <c r="Q1368" s="91" t="str">
        <f t="shared" si="711"/>
        <v/>
      </c>
      <c r="R1368" s="91" t="str">
        <f t="shared" si="714"/>
        <v/>
      </c>
      <c r="S1368" s="92" t="str">
        <f t="shared" si="712"/>
        <v/>
      </c>
      <c r="T1368" s="93"/>
      <c r="U1368" s="94" t="str">
        <f t="shared" si="707"/>
        <v/>
      </c>
      <c r="X1368" s="96"/>
      <c r="Y1368" s="97" t="str">
        <f t="shared" si="709"/>
        <v/>
      </c>
      <c r="Z1368" s="98" t="str">
        <f>SUBSTITUTE('Digitas UK Task 26'!$O1368, "Complet", "Not Requir")</f>
        <v/>
      </c>
      <c r="AA1368" s="98" t="str">
        <f t="shared" si="708"/>
        <v/>
      </c>
      <c r="AB1368" s="99"/>
      <c r="AF1368" s="84" t="str">
        <f t="shared" si="713"/>
        <v/>
      </c>
    </row>
    <row r="1369" spans="1:32" ht="15.75" customHeight="1" x14ac:dyDescent="0.3">
      <c r="A1369" s="85" t="str">
        <f t="shared" si="706"/>
        <v/>
      </c>
      <c r="C1369" s="87"/>
      <c r="E1369" s="87"/>
      <c r="H1369" s="87"/>
      <c r="I1369" s="87"/>
      <c r="O1369" s="90" t="str">
        <f t="shared" si="710"/>
        <v/>
      </c>
      <c r="Q1369" s="91" t="str">
        <f t="shared" si="711"/>
        <v/>
      </c>
      <c r="R1369" s="91" t="str">
        <f t="shared" si="714"/>
        <v/>
      </c>
      <c r="S1369" s="92" t="str">
        <f t="shared" si="712"/>
        <v/>
      </c>
      <c r="T1369" s="93"/>
      <c r="U1369" s="94" t="str">
        <f t="shared" si="707"/>
        <v/>
      </c>
      <c r="X1369" s="96"/>
      <c r="Y1369" s="97" t="str">
        <f t="shared" si="709"/>
        <v/>
      </c>
      <c r="Z1369" s="98" t="str">
        <f>SUBSTITUTE('Digitas UK Task 26'!$O1369, "Complet", "Not Requir")</f>
        <v/>
      </c>
      <c r="AA1369" s="98" t="str">
        <f t="shared" si="708"/>
        <v/>
      </c>
      <c r="AB1369" s="99"/>
      <c r="AF1369" s="84" t="str">
        <f t="shared" si="713"/>
        <v/>
      </c>
    </row>
    <row r="1370" spans="1:32" ht="15.75" customHeight="1" x14ac:dyDescent="0.3">
      <c r="A1370" s="85" t="str">
        <f t="shared" si="706"/>
        <v/>
      </c>
      <c r="C1370" s="87"/>
      <c r="E1370" s="87"/>
      <c r="H1370" s="87"/>
      <c r="I1370" s="87"/>
      <c r="O1370" s="90" t="str">
        <f t="shared" si="710"/>
        <v/>
      </c>
      <c r="Q1370" s="91" t="str">
        <f t="shared" si="711"/>
        <v/>
      </c>
      <c r="R1370" s="91" t="str">
        <f t="shared" si="714"/>
        <v/>
      </c>
      <c r="S1370" s="92" t="str">
        <f t="shared" si="712"/>
        <v/>
      </c>
      <c r="T1370" s="93"/>
      <c r="U1370" s="94" t="str">
        <f t="shared" si="707"/>
        <v/>
      </c>
      <c r="X1370" s="96"/>
      <c r="Y1370" s="97" t="str">
        <f t="shared" si="709"/>
        <v/>
      </c>
      <c r="Z1370" s="98" t="str">
        <f>SUBSTITUTE('Digitas UK Task 26'!$O1370, "Complet", "Not Requir")</f>
        <v/>
      </c>
      <c r="AA1370" s="98" t="str">
        <f t="shared" si="708"/>
        <v/>
      </c>
      <c r="AB1370" s="99"/>
      <c r="AF1370" s="84" t="str">
        <f t="shared" si="713"/>
        <v/>
      </c>
    </row>
    <row r="1371" spans="1:32" ht="15.75" customHeight="1" x14ac:dyDescent="0.3">
      <c r="A1371" s="85"/>
      <c r="C1371" s="87"/>
      <c r="E1371" s="87"/>
      <c r="H1371" s="87"/>
      <c r="I1371" s="87"/>
      <c r="O1371" s="90"/>
      <c r="S1371" s="92"/>
      <c r="T1371" s="93"/>
      <c r="U1371" s="94"/>
      <c r="X1371" s="96"/>
      <c r="Y1371" s="97"/>
      <c r="Z1371" s="98"/>
      <c r="AA1371" s="98"/>
      <c r="AB1371" s="99"/>
    </row>
    <row r="1372" spans="1:32" ht="15.75" customHeight="1" x14ac:dyDescent="0.3">
      <c r="A1372" s="85"/>
      <c r="C1372" s="87"/>
      <c r="E1372" s="87"/>
      <c r="H1372" s="87"/>
      <c r="I1372" s="87"/>
      <c r="O1372" s="90"/>
      <c r="S1372" s="92"/>
      <c r="T1372" s="93"/>
      <c r="U1372" s="94"/>
      <c r="X1372" s="96"/>
      <c r="Y1372" s="97"/>
      <c r="Z1372" s="98"/>
      <c r="AA1372" s="98"/>
      <c r="AB1372" s="99"/>
    </row>
    <row r="1373" spans="1:32" ht="15.75" customHeight="1" x14ac:dyDescent="0.3">
      <c r="A1373" s="85"/>
      <c r="C1373" s="87"/>
      <c r="E1373" s="87"/>
      <c r="H1373" s="87"/>
      <c r="I1373" s="87"/>
      <c r="O1373" s="90"/>
      <c r="S1373" s="92"/>
      <c r="T1373" s="93"/>
      <c r="U1373" s="94"/>
      <c r="X1373" s="96"/>
      <c r="Y1373" s="97"/>
      <c r="Z1373" s="98"/>
      <c r="AA1373" s="98"/>
      <c r="AB1373" s="99"/>
    </row>
    <row r="1374" spans="1:32" ht="15.75" customHeight="1" x14ac:dyDescent="0.3">
      <c r="A1374" s="85"/>
      <c r="C1374" s="87"/>
      <c r="E1374" s="87"/>
      <c r="H1374" s="87"/>
      <c r="I1374" s="87"/>
      <c r="O1374" s="90"/>
      <c r="S1374" s="92"/>
      <c r="T1374" s="93"/>
      <c r="U1374" s="94"/>
      <c r="X1374" s="96"/>
      <c r="Y1374" s="97"/>
      <c r="Z1374" s="98"/>
      <c r="AA1374" s="98"/>
      <c r="AB1374" s="99"/>
    </row>
    <row r="1375" spans="1:32" ht="15.75" customHeight="1" x14ac:dyDescent="0.3">
      <c r="A1375" s="85"/>
      <c r="C1375" s="87"/>
      <c r="E1375" s="87"/>
      <c r="H1375" s="87"/>
      <c r="I1375" s="87"/>
      <c r="O1375" s="90"/>
      <c r="S1375" s="92"/>
      <c r="T1375" s="93"/>
      <c r="U1375" s="94"/>
      <c r="X1375" s="96"/>
      <c r="Y1375" s="97"/>
      <c r="Z1375" s="98"/>
      <c r="AA1375" s="98"/>
      <c r="AB1375" s="99"/>
    </row>
    <row r="1376" spans="1:32" ht="15.75" customHeight="1" x14ac:dyDescent="0.3">
      <c r="A1376" s="85"/>
      <c r="C1376" s="87"/>
      <c r="E1376" s="87"/>
      <c r="H1376" s="87"/>
      <c r="I1376" s="87"/>
      <c r="O1376" s="90"/>
      <c r="S1376" s="92"/>
      <c r="T1376" s="93"/>
      <c r="U1376" s="94"/>
      <c r="X1376" s="96"/>
      <c r="Y1376" s="97"/>
      <c r="Z1376" s="98"/>
      <c r="AA1376" s="98"/>
      <c r="AB1376" s="99"/>
    </row>
    <row r="1377" spans="1:28" ht="15.75" customHeight="1" x14ac:dyDescent="0.3">
      <c r="A1377" s="85"/>
      <c r="C1377" s="87"/>
      <c r="E1377" s="87"/>
      <c r="H1377" s="87"/>
      <c r="I1377" s="87"/>
      <c r="O1377" s="90"/>
      <c r="S1377" s="92"/>
      <c r="T1377" s="93"/>
      <c r="U1377" s="94"/>
      <c r="X1377" s="96"/>
      <c r="Y1377" s="97"/>
      <c r="Z1377" s="98"/>
      <c r="AA1377" s="98"/>
      <c r="AB1377" s="99"/>
    </row>
    <row r="1378" spans="1:28" ht="15.75" customHeight="1" x14ac:dyDescent="0.3">
      <c r="A1378" s="85"/>
      <c r="C1378" s="87"/>
      <c r="E1378" s="87"/>
      <c r="H1378" s="87"/>
      <c r="I1378" s="87"/>
      <c r="O1378" s="90"/>
      <c r="S1378" s="92"/>
      <c r="T1378" s="93"/>
      <c r="U1378" s="94"/>
      <c r="X1378" s="96"/>
      <c r="Y1378" s="97"/>
      <c r="Z1378" s="98"/>
      <c r="AA1378" s="98"/>
      <c r="AB1378" s="99"/>
    </row>
    <row r="1379" spans="1:28" ht="15.75" customHeight="1" x14ac:dyDescent="0.3">
      <c r="A1379" s="85"/>
      <c r="C1379" s="87"/>
      <c r="E1379" s="87"/>
      <c r="H1379" s="87"/>
      <c r="I1379" s="87"/>
      <c r="O1379" s="90"/>
      <c r="S1379" s="92"/>
      <c r="T1379" s="93"/>
      <c r="U1379" s="94"/>
      <c r="X1379" s="96"/>
      <c r="Y1379" s="97"/>
      <c r="Z1379" s="98"/>
      <c r="AA1379" s="98"/>
      <c r="AB1379" s="99"/>
    </row>
    <row r="1380" spans="1:28" ht="15.75" customHeight="1" x14ac:dyDescent="0.3">
      <c r="A1380" s="85"/>
      <c r="C1380" s="87"/>
      <c r="E1380" s="87"/>
      <c r="H1380" s="87"/>
      <c r="I1380" s="87"/>
      <c r="O1380" s="90"/>
      <c r="S1380" s="92"/>
      <c r="T1380" s="93"/>
      <c r="U1380" s="94"/>
      <c r="X1380" s="96"/>
      <c r="Y1380" s="97"/>
      <c r="Z1380" s="98"/>
      <c r="AA1380" s="98"/>
      <c r="AB1380" s="99"/>
    </row>
    <row r="1381" spans="1:28" ht="15.75" customHeight="1" x14ac:dyDescent="0.3">
      <c r="A1381" s="85"/>
      <c r="C1381" s="87"/>
      <c r="E1381" s="87"/>
      <c r="H1381" s="87"/>
      <c r="I1381" s="87"/>
      <c r="O1381" s="90"/>
      <c r="S1381" s="92"/>
      <c r="T1381" s="93"/>
      <c r="U1381" s="94"/>
      <c r="X1381" s="96"/>
      <c r="Y1381" s="97"/>
      <c r="Z1381" s="98"/>
      <c r="AA1381" s="98"/>
      <c r="AB1381" s="99"/>
    </row>
    <row r="1382" spans="1:28" ht="15.75" customHeight="1" x14ac:dyDescent="0.3">
      <c r="A1382" s="85"/>
      <c r="C1382" s="87"/>
      <c r="E1382" s="87"/>
      <c r="H1382" s="87"/>
      <c r="I1382" s="87"/>
      <c r="O1382" s="90"/>
      <c r="S1382" s="92"/>
      <c r="T1382" s="93"/>
      <c r="U1382" s="94"/>
      <c r="X1382" s="96"/>
      <c r="Y1382" s="97"/>
      <c r="Z1382" s="98"/>
      <c r="AA1382" s="98"/>
      <c r="AB1382" s="99"/>
    </row>
    <row r="1383" spans="1:28" ht="15.75" customHeight="1" x14ac:dyDescent="0.3">
      <c r="A1383" s="85"/>
      <c r="C1383" s="87"/>
      <c r="E1383" s="87"/>
      <c r="H1383" s="87"/>
      <c r="I1383" s="87"/>
      <c r="O1383" s="90"/>
      <c r="S1383" s="92"/>
      <c r="T1383" s="93"/>
      <c r="U1383" s="94"/>
      <c r="X1383" s="96"/>
      <c r="Y1383" s="97"/>
      <c r="Z1383" s="98"/>
      <c r="AA1383" s="98"/>
      <c r="AB1383" s="99"/>
    </row>
    <row r="1384" spans="1:28" ht="15.75" customHeight="1" x14ac:dyDescent="0.3">
      <c r="A1384" s="85"/>
      <c r="C1384" s="87"/>
      <c r="E1384" s="87"/>
      <c r="H1384" s="87"/>
      <c r="I1384" s="87"/>
      <c r="O1384" s="90"/>
      <c r="S1384" s="92"/>
      <c r="T1384" s="93"/>
      <c r="U1384" s="94"/>
      <c r="X1384" s="96"/>
      <c r="Y1384" s="97"/>
      <c r="Z1384" s="98"/>
      <c r="AA1384" s="98"/>
      <c r="AB1384" s="99"/>
    </row>
    <row r="1385" spans="1:28" ht="15.75" customHeight="1" x14ac:dyDescent="0.3">
      <c r="A1385" s="85"/>
      <c r="C1385" s="87"/>
      <c r="E1385" s="87"/>
      <c r="H1385" s="87"/>
      <c r="I1385" s="87"/>
      <c r="O1385" s="90"/>
      <c r="S1385" s="92"/>
      <c r="T1385" s="93"/>
      <c r="U1385" s="94"/>
      <c r="X1385" s="96"/>
      <c r="Y1385" s="97"/>
      <c r="Z1385" s="98"/>
      <c r="AA1385" s="98"/>
      <c r="AB1385" s="99"/>
    </row>
    <row r="1386" spans="1:28" ht="15.75" customHeight="1" x14ac:dyDescent="0.3">
      <c r="A1386" s="85"/>
      <c r="C1386" s="87"/>
      <c r="E1386" s="87"/>
      <c r="H1386" s="87"/>
      <c r="I1386" s="87"/>
      <c r="O1386" s="90"/>
      <c r="S1386" s="92"/>
      <c r="T1386" s="93"/>
      <c r="U1386" s="94"/>
      <c r="X1386" s="96"/>
      <c r="Y1386" s="97"/>
      <c r="Z1386" s="98"/>
      <c r="AA1386" s="98"/>
      <c r="AB1386" s="99"/>
    </row>
    <row r="1387" spans="1:28" ht="15.75" customHeight="1" x14ac:dyDescent="0.3">
      <c r="A1387" s="85"/>
      <c r="C1387" s="87"/>
      <c r="E1387" s="87"/>
      <c r="H1387" s="87"/>
      <c r="I1387" s="87"/>
      <c r="O1387" s="90"/>
      <c r="S1387" s="92"/>
      <c r="T1387" s="93"/>
      <c r="U1387" s="94"/>
      <c r="X1387" s="96"/>
      <c r="Y1387" s="97"/>
      <c r="Z1387" s="98"/>
      <c r="AA1387" s="98"/>
      <c r="AB1387" s="99"/>
    </row>
    <row r="1388" spans="1:28" ht="15.75" customHeight="1" x14ac:dyDescent="0.3">
      <c r="A1388" s="85"/>
      <c r="C1388" s="87"/>
      <c r="E1388" s="87"/>
      <c r="H1388" s="87"/>
      <c r="I1388" s="87"/>
      <c r="O1388" s="90"/>
      <c r="S1388" s="92"/>
      <c r="T1388" s="93"/>
      <c r="U1388" s="94"/>
      <c r="X1388" s="96"/>
      <c r="Y1388" s="97"/>
      <c r="Z1388" s="98"/>
      <c r="AA1388" s="98"/>
      <c r="AB1388" s="99"/>
    </row>
    <row r="1389" spans="1:28" ht="15.75" customHeight="1" x14ac:dyDescent="0.3">
      <c r="A1389" s="85"/>
      <c r="C1389" s="87"/>
      <c r="E1389" s="87"/>
      <c r="H1389" s="87"/>
      <c r="I1389" s="87"/>
      <c r="O1389" s="90"/>
      <c r="S1389" s="92"/>
      <c r="T1389" s="93"/>
      <c r="U1389" s="94"/>
      <c r="X1389" s="96"/>
      <c r="Y1389" s="97"/>
      <c r="Z1389" s="98"/>
      <c r="AA1389" s="98"/>
      <c r="AB1389" s="99"/>
    </row>
    <row r="1390" spans="1:28" ht="15.75" customHeight="1" x14ac:dyDescent="0.3">
      <c r="A1390" s="85"/>
      <c r="C1390" s="87"/>
      <c r="E1390" s="87"/>
      <c r="H1390" s="87"/>
      <c r="I1390" s="87"/>
      <c r="O1390" s="90"/>
      <c r="S1390" s="92"/>
      <c r="T1390" s="93"/>
      <c r="U1390" s="94"/>
      <c r="X1390" s="96"/>
      <c r="Y1390" s="97"/>
      <c r="Z1390" s="98"/>
      <c r="AA1390" s="98"/>
      <c r="AB1390" s="99"/>
    </row>
    <row r="1391" spans="1:28" ht="15.75" customHeight="1" x14ac:dyDescent="0.3">
      <c r="A1391" s="85"/>
      <c r="C1391" s="87"/>
      <c r="E1391" s="87"/>
      <c r="H1391" s="87"/>
      <c r="I1391" s="87"/>
      <c r="O1391" s="90"/>
      <c r="S1391" s="92"/>
      <c r="T1391" s="93"/>
      <c r="U1391" s="94"/>
      <c r="X1391" s="96"/>
      <c r="Y1391" s="97"/>
      <c r="Z1391" s="98"/>
      <c r="AA1391" s="98"/>
      <c r="AB1391" s="99"/>
    </row>
    <row r="1392" spans="1:28" ht="15.75" customHeight="1" x14ac:dyDescent="0.3">
      <c r="A1392" s="85"/>
      <c r="C1392" s="87"/>
      <c r="E1392" s="87"/>
      <c r="H1392" s="87"/>
      <c r="I1392" s="87"/>
      <c r="O1392" s="90"/>
      <c r="S1392" s="92"/>
      <c r="T1392" s="93"/>
      <c r="U1392" s="94"/>
      <c r="X1392" s="96"/>
      <c r="Y1392" s="97"/>
      <c r="Z1392" s="98"/>
      <c r="AA1392" s="98"/>
      <c r="AB1392" s="99"/>
    </row>
    <row r="1393" spans="1:28" ht="15.75" customHeight="1" x14ac:dyDescent="0.3">
      <c r="A1393" s="85"/>
      <c r="C1393" s="87"/>
      <c r="E1393" s="87"/>
      <c r="H1393" s="87"/>
      <c r="I1393" s="87"/>
      <c r="O1393" s="90"/>
      <c r="S1393" s="92"/>
      <c r="T1393" s="93"/>
      <c r="U1393" s="94"/>
      <c r="X1393" s="96"/>
      <c r="Y1393" s="97"/>
      <c r="Z1393" s="98"/>
      <c r="AA1393" s="98"/>
      <c r="AB1393" s="99"/>
    </row>
    <row r="1394" spans="1:28" ht="15.75" customHeight="1" x14ac:dyDescent="0.3">
      <c r="A1394" s="85"/>
      <c r="C1394" s="87"/>
      <c r="E1394" s="87"/>
      <c r="H1394" s="87"/>
      <c r="I1394" s="87"/>
      <c r="O1394" s="90"/>
      <c r="S1394" s="92"/>
      <c r="T1394" s="93"/>
      <c r="U1394" s="94"/>
      <c r="X1394" s="96"/>
      <c r="Y1394" s="97"/>
      <c r="Z1394" s="98"/>
      <c r="AA1394" s="98"/>
      <c r="AB1394" s="99"/>
    </row>
    <row r="1395" spans="1:28" ht="15.75" customHeight="1" x14ac:dyDescent="0.3">
      <c r="A1395" s="85"/>
      <c r="C1395" s="87"/>
      <c r="E1395" s="87"/>
      <c r="H1395" s="87"/>
      <c r="I1395" s="87"/>
      <c r="O1395" s="90"/>
      <c r="S1395" s="92"/>
      <c r="T1395" s="93"/>
      <c r="U1395" s="94"/>
      <c r="X1395" s="96"/>
      <c r="Y1395" s="97"/>
      <c r="Z1395" s="98"/>
      <c r="AA1395" s="98"/>
      <c r="AB1395" s="99"/>
    </row>
    <row r="1396" spans="1:28" ht="15.75" customHeight="1" x14ac:dyDescent="0.3">
      <c r="A1396" s="85"/>
      <c r="C1396" s="87"/>
      <c r="E1396" s="87"/>
      <c r="H1396" s="87"/>
      <c r="I1396" s="87"/>
      <c r="O1396" s="90"/>
      <c r="S1396" s="92"/>
      <c r="T1396" s="93"/>
      <c r="U1396" s="94"/>
      <c r="X1396" s="96"/>
      <c r="Y1396" s="97"/>
      <c r="Z1396" s="98"/>
      <c r="AA1396" s="98"/>
      <c r="AB1396" s="99"/>
    </row>
    <row r="1397" spans="1:28" ht="15.75" customHeight="1" x14ac:dyDescent="0.3">
      <c r="A1397" s="85"/>
      <c r="C1397" s="87"/>
      <c r="E1397" s="87"/>
      <c r="H1397" s="87"/>
      <c r="I1397" s="87"/>
      <c r="O1397" s="90"/>
      <c r="S1397" s="92"/>
      <c r="T1397" s="93"/>
      <c r="U1397" s="94"/>
      <c r="X1397" s="96"/>
      <c r="Y1397" s="97"/>
      <c r="Z1397" s="98"/>
      <c r="AA1397" s="98"/>
      <c r="AB1397" s="99"/>
    </row>
    <row r="1398" spans="1:28" ht="15.75" customHeight="1" x14ac:dyDescent="0.3">
      <c r="A1398" s="85"/>
      <c r="C1398" s="87"/>
      <c r="E1398" s="87"/>
      <c r="H1398" s="87"/>
      <c r="I1398" s="87"/>
      <c r="O1398" s="90"/>
      <c r="S1398" s="92"/>
      <c r="T1398" s="93"/>
      <c r="U1398" s="94"/>
      <c r="X1398" s="96"/>
      <c r="Y1398" s="97"/>
      <c r="Z1398" s="98"/>
      <c r="AA1398" s="98"/>
      <c r="AB1398" s="99"/>
    </row>
    <row r="1399" spans="1:28" ht="15.75" customHeight="1" x14ac:dyDescent="0.3">
      <c r="A1399" s="85"/>
      <c r="C1399" s="87"/>
      <c r="E1399" s="87"/>
      <c r="H1399" s="87"/>
      <c r="I1399" s="87"/>
      <c r="O1399" s="90"/>
      <c r="S1399" s="92"/>
      <c r="T1399" s="93"/>
      <c r="U1399" s="94"/>
      <c r="X1399" s="96"/>
      <c r="Y1399" s="97"/>
      <c r="Z1399" s="98"/>
      <c r="AA1399" s="98"/>
      <c r="AB1399" s="99"/>
    </row>
    <row r="1400" spans="1:28" ht="15.75" customHeight="1" x14ac:dyDescent="0.3">
      <c r="A1400" s="85"/>
      <c r="C1400" s="87"/>
      <c r="E1400" s="87"/>
      <c r="H1400" s="87"/>
      <c r="I1400" s="87"/>
      <c r="O1400" s="90"/>
      <c r="S1400" s="92"/>
      <c r="T1400" s="93"/>
      <c r="U1400" s="94"/>
      <c r="X1400" s="96"/>
      <c r="Y1400" s="97"/>
      <c r="Z1400" s="98"/>
      <c r="AA1400" s="98"/>
      <c r="AB1400" s="99"/>
    </row>
    <row r="1401" spans="1:28" ht="15.75" customHeight="1" x14ac:dyDescent="0.3">
      <c r="A1401" s="85"/>
      <c r="C1401" s="87"/>
      <c r="E1401" s="87"/>
      <c r="H1401" s="87"/>
      <c r="I1401" s="87"/>
      <c r="O1401" s="90"/>
      <c r="S1401" s="92"/>
      <c r="T1401" s="93"/>
      <c r="U1401" s="94"/>
      <c r="X1401" s="96"/>
      <c r="Y1401" s="97"/>
      <c r="Z1401" s="98"/>
      <c r="AA1401" s="98"/>
      <c r="AB1401" s="99"/>
    </row>
    <row r="1402" spans="1:28" ht="15.75" customHeight="1" x14ac:dyDescent="0.3">
      <c r="A1402" s="85"/>
      <c r="C1402" s="87"/>
      <c r="E1402" s="87"/>
      <c r="H1402" s="87"/>
      <c r="I1402" s="87"/>
      <c r="O1402" s="90"/>
      <c r="S1402" s="92"/>
      <c r="T1402" s="93"/>
      <c r="U1402" s="94"/>
      <c r="X1402" s="96"/>
      <c r="Y1402" s="97"/>
      <c r="Z1402" s="98"/>
      <c r="AA1402" s="98"/>
      <c r="AB1402" s="99"/>
    </row>
    <row r="1403" spans="1:28" ht="15.75" customHeight="1" x14ac:dyDescent="0.3">
      <c r="A1403" s="85"/>
      <c r="C1403" s="87"/>
      <c r="E1403" s="87"/>
      <c r="H1403" s="87"/>
      <c r="I1403" s="87"/>
      <c r="O1403" s="90"/>
      <c r="S1403" s="92"/>
      <c r="T1403" s="93"/>
      <c r="U1403" s="94"/>
      <c r="X1403" s="96"/>
      <c r="Y1403" s="97"/>
      <c r="Z1403" s="98"/>
      <c r="AA1403" s="98"/>
      <c r="AB1403" s="99"/>
    </row>
    <row r="1404" spans="1:28" ht="15.75" customHeight="1" x14ac:dyDescent="0.3">
      <c r="A1404" s="85"/>
      <c r="C1404" s="87"/>
      <c r="E1404" s="87"/>
      <c r="H1404" s="87"/>
      <c r="I1404" s="87"/>
      <c r="O1404" s="90"/>
      <c r="S1404" s="92"/>
      <c r="T1404" s="93"/>
      <c r="U1404" s="94"/>
      <c r="X1404" s="96"/>
      <c r="Y1404" s="97"/>
      <c r="Z1404" s="98"/>
      <c r="AA1404" s="98"/>
      <c r="AB1404" s="99"/>
    </row>
    <row r="1405" spans="1:28" ht="15.75" customHeight="1" x14ac:dyDescent="0.3">
      <c r="A1405" s="85"/>
      <c r="C1405" s="87"/>
      <c r="E1405" s="87"/>
      <c r="H1405" s="87"/>
      <c r="I1405" s="87"/>
      <c r="O1405" s="90"/>
      <c r="S1405" s="92"/>
      <c r="T1405" s="93"/>
      <c r="U1405" s="94"/>
      <c r="X1405" s="96"/>
      <c r="Y1405" s="97"/>
      <c r="Z1405" s="98"/>
      <c r="AA1405" s="98"/>
      <c r="AB1405" s="99"/>
    </row>
    <row r="1406" spans="1:28" ht="15.75" customHeight="1" x14ac:dyDescent="0.3">
      <c r="A1406" s="85"/>
      <c r="C1406" s="87"/>
      <c r="E1406" s="87"/>
      <c r="H1406" s="87"/>
      <c r="I1406" s="87"/>
      <c r="O1406" s="90"/>
      <c r="S1406" s="92"/>
      <c r="T1406" s="93"/>
      <c r="U1406" s="94"/>
      <c r="X1406" s="96"/>
      <c r="Y1406" s="97"/>
      <c r="Z1406" s="98"/>
      <c r="AA1406" s="98"/>
      <c r="AB1406" s="99"/>
    </row>
    <row r="1407" spans="1:28" ht="15.75" customHeight="1" x14ac:dyDescent="0.3">
      <c r="A1407" s="85"/>
      <c r="C1407" s="87"/>
      <c r="E1407" s="87"/>
      <c r="H1407" s="87"/>
      <c r="I1407" s="87"/>
      <c r="O1407" s="90"/>
      <c r="S1407" s="92"/>
      <c r="T1407" s="93"/>
      <c r="U1407" s="94"/>
      <c r="X1407" s="96"/>
      <c r="Y1407" s="97"/>
      <c r="Z1407" s="98"/>
      <c r="AA1407" s="98"/>
      <c r="AB1407" s="99"/>
    </row>
    <row r="1408" spans="1:28" ht="15.75" customHeight="1" x14ac:dyDescent="0.3">
      <c r="A1408" s="85"/>
      <c r="C1408" s="87"/>
      <c r="E1408" s="87"/>
      <c r="H1408" s="87"/>
      <c r="I1408" s="87"/>
      <c r="O1408" s="90"/>
      <c r="S1408" s="92"/>
      <c r="T1408" s="93"/>
      <c r="U1408" s="94"/>
      <c r="X1408" s="96"/>
      <c r="Y1408" s="97"/>
      <c r="Z1408" s="98"/>
      <c r="AA1408" s="98"/>
      <c r="AB1408" s="99"/>
    </row>
    <row r="1409" spans="1:28" ht="15.75" customHeight="1" x14ac:dyDescent="0.3">
      <c r="A1409" s="85"/>
      <c r="C1409" s="87"/>
      <c r="E1409" s="87"/>
      <c r="H1409" s="87"/>
      <c r="I1409" s="87"/>
      <c r="O1409" s="90"/>
      <c r="S1409" s="92"/>
      <c r="T1409" s="93"/>
      <c r="U1409" s="94"/>
      <c r="X1409" s="96"/>
      <c r="Y1409" s="97"/>
      <c r="Z1409" s="98"/>
      <c r="AA1409" s="98"/>
      <c r="AB1409" s="99"/>
    </row>
    <row r="1410" spans="1:28" ht="15.75" customHeight="1" x14ac:dyDescent="0.3">
      <c r="A1410" s="85"/>
      <c r="C1410" s="87"/>
      <c r="E1410" s="87"/>
      <c r="H1410" s="87"/>
      <c r="I1410" s="87"/>
      <c r="O1410" s="90"/>
      <c r="S1410" s="92"/>
      <c r="T1410" s="93"/>
      <c r="U1410" s="94"/>
      <c r="X1410" s="96"/>
      <c r="Y1410" s="97"/>
      <c r="Z1410" s="98"/>
      <c r="AA1410" s="98"/>
      <c r="AB1410" s="99"/>
    </row>
    <row r="1411" spans="1:28" ht="15.75" customHeight="1" x14ac:dyDescent="0.3">
      <c r="A1411" s="85"/>
      <c r="C1411" s="87"/>
      <c r="E1411" s="87"/>
      <c r="H1411" s="87"/>
      <c r="I1411" s="87"/>
      <c r="O1411" s="90"/>
      <c r="S1411" s="92"/>
      <c r="T1411" s="93"/>
      <c r="U1411" s="94"/>
      <c r="X1411" s="96"/>
      <c r="Y1411" s="97"/>
      <c r="Z1411" s="98"/>
      <c r="AA1411" s="98"/>
      <c r="AB1411" s="99"/>
    </row>
    <row r="1412" spans="1:28" ht="15.75" customHeight="1" x14ac:dyDescent="0.3">
      <c r="A1412" s="85"/>
      <c r="C1412" s="87"/>
      <c r="E1412" s="87"/>
      <c r="H1412" s="87"/>
      <c r="I1412" s="87"/>
      <c r="O1412" s="90"/>
      <c r="S1412" s="92"/>
      <c r="T1412" s="93"/>
      <c r="U1412" s="94"/>
      <c r="X1412" s="96"/>
      <c r="Y1412" s="97"/>
      <c r="Z1412" s="98"/>
      <c r="AA1412" s="98"/>
      <c r="AB1412" s="99"/>
    </row>
    <row r="1413" spans="1:28" ht="15.75" customHeight="1" x14ac:dyDescent="0.3">
      <c r="A1413" s="85"/>
      <c r="C1413" s="87"/>
      <c r="E1413" s="87"/>
      <c r="H1413" s="87"/>
      <c r="I1413" s="87"/>
      <c r="O1413" s="90"/>
      <c r="S1413" s="92"/>
      <c r="T1413" s="93"/>
      <c r="U1413" s="94"/>
      <c r="X1413" s="96"/>
      <c r="Y1413" s="97"/>
      <c r="Z1413" s="98"/>
      <c r="AA1413" s="98"/>
      <c r="AB1413" s="99"/>
    </row>
    <row r="1414" spans="1:28" ht="15.75" customHeight="1" x14ac:dyDescent="0.3">
      <c r="A1414" s="85"/>
      <c r="C1414" s="87"/>
      <c r="E1414" s="87"/>
      <c r="H1414" s="87"/>
      <c r="I1414" s="87"/>
      <c r="O1414" s="90"/>
      <c r="S1414" s="92"/>
      <c r="T1414" s="93"/>
      <c r="U1414" s="94"/>
      <c r="X1414" s="96"/>
      <c r="Y1414" s="97"/>
      <c r="Z1414" s="98"/>
      <c r="AA1414" s="98"/>
      <c r="AB1414" s="99"/>
    </row>
    <row r="1415" spans="1:28" ht="15.75" customHeight="1" x14ac:dyDescent="0.3">
      <c r="A1415" s="85"/>
      <c r="C1415" s="87"/>
      <c r="E1415" s="87"/>
      <c r="H1415" s="87"/>
      <c r="I1415" s="87"/>
      <c r="O1415" s="90"/>
      <c r="S1415" s="92"/>
      <c r="T1415" s="93"/>
      <c r="U1415" s="94"/>
      <c r="X1415" s="96"/>
      <c r="Y1415" s="97"/>
      <c r="Z1415" s="98"/>
      <c r="AA1415" s="98"/>
      <c r="AB1415" s="99"/>
    </row>
    <row r="1416" spans="1:28" ht="15.75" customHeight="1" x14ac:dyDescent="0.3">
      <c r="A1416" s="85"/>
      <c r="C1416" s="87"/>
      <c r="E1416" s="87"/>
      <c r="H1416" s="87"/>
      <c r="I1416" s="87"/>
      <c r="O1416" s="90"/>
      <c r="S1416" s="92"/>
      <c r="T1416" s="93"/>
      <c r="U1416" s="94"/>
      <c r="X1416" s="96"/>
      <c r="Y1416" s="97"/>
      <c r="Z1416" s="98"/>
      <c r="AA1416" s="98"/>
      <c r="AB1416" s="99"/>
    </row>
    <row r="1417" spans="1:28" ht="15.75" customHeight="1" x14ac:dyDescent="0.3">
      <c r="A1417" s="85"/>
      <c r="C1417" s="87"/>
      <c r="E1417" s="87"/>
      <c r="H1417" s="87"/>
      <c r="I1417" s="87"/>
      <c r="O1417" s="90"/>
      <c r="S1417" s="92"/>
      <c r="T1417" s="93"/>
      <c r="U1417" s="94"/>
      <c r="X1417" s="96"/>
      <c r="Y1417" s="97"/>
      <c r="Z1417" s="98"/>
      <c r="AA1417" s="98"/>
      <c r="AB1417" s="99"/>
    </row>
    <row r="1418" spans="1:28" ht="15.75" customHeight="1" x14ac:dyDescent="0.3">
      <c r="A1418" s="85"/>
      <c r="C1418" s="87"/>
      <c r="E1418" s="87"/>
      <c r="H1418" s="87"/>
      <c r="I1418" s="87"/>
      <c r="O1418" s="90"/>
      <c r="S1418" s="92"/>
      <c r="T1418" s="93"/>
      <c r="U1418" s="94"/>
      <c r="X1418" s="96"/>
      <c r="Y1418" s="97"/>
      <c r="Z1418" s="98"/>
      <c r="AA1418" s="98"/>
      <c r="AB1418" s="99"/>
    </row>
    <row r="1419" spans="1:28" ht="15.75" customHeight="1" x14ac:dyDescent="0.3">
      <c r="A1419" s="85"/>
      <c r="C1419" s="87"/>
      <c r="E1419" s="87"/>
      <c r="H1419" s="87"/>
      <c r="I1419" s="87"/>
      <c r="O1419" s="90"/>
      <c r="S1419" s="92"/>
      <c r="T1419" s="93"/>
      <c r="U1419" s="94"/>
      <c r="X1419" s="96"/>
      <c r="Y1419" s="97"/>
      <c r="Z1419" s="98"/>
      <c r="AA1419" s="98"/>
      <c r="AB1419" s="99"/>
    </row>
    <row r="1420" spans="1:28" ht="15.75" customHeight="1" x14ac:dyDescent="0.3">
      <c r="A1420" s="85"/>
      <c r="C1420" s="87"/>
      <c r="E1420" s="87"/>
      <c r="H1420" s="87"/>
      <c r="I1420" s="87"/>
      <c r="O1420" s="90"/>
      <c r="S1420" s="92"/>
      <c r="T1420" s="93"/>
      <c r="U1420" s="94"/>
      <c r="X1420" s="96"/>
      <c r="Y1420" s="97"/>
      <c r="Z1420" s="98"/>
      <c r="AA1420" s="98"/>
      <c r="AB1420" s="99"/>
    </row>
    <row r="1421" spans="1:28" ht="15.75" customHeight="1" x14ac:dyDescent="0.3">
      <c r="A1421" s="85"/>
      <c r="C1421" s="87"/>
      <c r="E1421" s="87"/>
      <c r="H1421" s="87"/>
      <c r="I1421" s="87"/>
      <c r="O1421" s="90"/>
      <c r="S1421" s="92"/>
      <c r="T1421" s="93"/>
      <c r="U1421" s="94"/>
      <c r="X1421" s="96"/>
      <c r="Y1421" s="97"/>
      <c r="Z1421" s="98"/>
      <c r="AA1421" s="98"/>
      <c r="AB1421" s="99"/>
    </row>
    <row r="1422" spans="1:28" ht="15.75" customHeight="1" x14ac:dyDescent="0.3">
      <c r="A1422" s="85"/>
      <c r="C1422" s="87"/>
      <c r="E1422" s="87"/>
      <c r="H1422" s="87"/>
      <c r="I1422" s="87"/>
      <c r="O1422" s="90"/>
      <c r="S1422" s="92"/>
      <c r="T1422" s="93"/>
      <c r="U1422" s="94"/>
      <c r="X1422" s="96"/>
      <c r="Y1422" s="97"/>
      <c r="Z1422" s="98"/>
      <c r="AA1422" s="98"/>
      <c r="AB1422" s="99"/>
    </row>
    <row r="1423" spans="1:28" ht="15.75" customHeight="1" x14ac:dyDescent="0.3">
      <c r="A1423" s="85"/>
      <c r="C1423" s="87"/>
      <c r="E1423" s="87"/>
      <c r="H1423" s="87"/>
      <c r="I1423" s="87"/>
      <c r="O1423" s="90"/>
      <c r="S1423" s="92"/>
      <c r="T1423" s="93"/>
      <c r="U1423" s="94"/>
      <c r="X1423" s="96"/>
      <c r="Y1423" s="97"/>
      <c r="Z1423" s="98"/>
      <c r="AA1423" s="98"/>
      <c r="AB1423" s="99"/>
    </row>
    <row r="1424" spans="1:28" ht="15.75" customHeight="1" x14ac:dyDescent="0.3">
      <c r="A1424" s="85"/>
      <c r="C1424" s="87"/>
      <c r="E1424" s="87"/>
      <c r="H1424" s="87"/>
      <c r="I1424" s="87"/>
      <c r="O1424" s="90"/>
      <c r="S1424" s="92"/>
      <c r="T1424" s="93"/>
      <c r="U1424" s="94"/>
      <c r="X1424" s="96"/>
      <c r="Y1424" s="97"/>
      <c r="Z1424" s="98"/>
      <c r="AA1424" s="98"/>
      <c r="AB1424" s="99"/>
    </row>
    <row r="1425" spans="1:28" ht="15.75" customHeight="1" x14ac:dyDescent="0.3">
      <c r="A1425" s="85"/>
      <c r="C1425" s="87"/>
      <c r="E1425" s="87"/>
      <c r="H1425" s="87"/>
      <c r="I1425" s="87"/>
      <c r="O1425" s="90"/>
      <c r="S1425" s="92"/>
      <c r="T1425" s="93"/>
      <c r="U1425" s="94"/>
      <c r="X1425" s="96"/>
      <c r="Y1425" s="97"/>
      <c r="Z1425" s="98"/>
      <c r="AA1425" s="98"/>
      <c r="AB1425" s="99"/>
    </row>
    <row r="1426" spans="1:28" ht="15.75" customHeight="1" x14ac:dyDescent="0.3">
      <c r="A1426" s="85"/>
      <c r="C1426" s="87"/>
      <c r="E1426" s="87"/>
      <c r="H1426" s="87"/>
      <c r="I1426" s="87"/>
      <c r="O1426" s="90"/>
      <c r="S1426" s="92"/>
      <c r="T1426" s="93"/>
      <c r="U1426" s="94"/>
      <c r="X1426" s="96"/>
      <c r="Y1426" s="97"/>
      <c r="Z1426" s="98"/>
      <c r="AA1426" s="98"/>
      <c r="AB1426" s="99"/>
    </row>
    <row r="1427" spans="1:28" ht="15.75" customHeight="1" x14ac:dyDescent="0.3">
      <c r="A1427" s="85"/>
      <c r="C1427" s="87"/>
      <c r="E1427" s="87"/>
      <c r="H1427" s="87"/>
      <c r="I1427" s="87"/>
      <c r="O1427" s="90"/>
      <c r="S1427" s="92"/>
      <c r="T1427" s="93"/>
      <c r="U1427" s="94"/>
      <c r="X1427" s="96"/>
      <c r="Y1427" s="97"/>
      <c r="Z1427" s="98"/>
      <c r="AA1427" s="98"/>
      <c r="AB1427" s="99"/>
    </row>
    <row r="1428" spans="1:28" ht="15.75" customHeight="1" x14ac:dyDescent="0.3">
      <c r="A1428" s="85"/>
      <c r="C1428" s="87"/>
      <c r="E1428" s="87"/>
      <c r="H1428" s="87"/>
      <c r="I1428" s="87"/>
      <c r="O1428" s="90"/>
      <c r="S1428" s="92"/>
      <c r="T1428" s="93"/>
      <c r="U1428" s="94"/>
      <c r="X1428" s="96"/>
      <c r="Y1428" s="97"/>
      <c r="Z1428" s="98"/>
      <c r="AA1428" s="98"/>
      <c r="AB1428" s="99"/>
    </row>
    <row r="1429" spans="1:28" ht="15.75" customHeight="1" x14ac:dyDescent="0.3">
      <c r="A1429" s="85"/>
      <c r="C1429" s="87"/>
      <c r="E1429" s="87"/>
      <c r="H1429" s="87"/>
      <c r="I1429" s="87"/>
      <c r="O1429" s="90"/>
      <c r="S1429" s="92"/>
      <c r="T1429" s="93"/>
      <c r="U1429" s="94"/>
      <c r="X1429" s="96"/>
      <c r="Y1429" s="97"/>
      <c r="Z1429" s="98"/>
      <c r="AA1429" s="98"/>
      <c r="AB1429" s="99"/>
    </row>
    <row r="1430" spans="1:28" ht="15.75" customHeight="1" x14ac:dyDescent="0.3">
      <c r="A1430" s="85"/>
      <c r="C1430" s="87"/>
      <c r="E1430" s="87"/>
      <c r="H1430" s="87"/>
      <c r="I1430" s="87"/>
      <c r="O1430" s="90"/>
      <c r="S1430" s="92"/>
      <c r="T1430" s="93"/>
      <c r="U1430" s="94"/>
      <c r="X1430" s="96"/>
      <c r="Y1430" s="97"/>
      <c r="Z1430" s="98"/>
      <c r="AA1430" s="98"/>
      <c r="AB1430" s="99"/>
    </row>
    <row r="1431" spans="1:28" ht="15.75" customHeight="1" x14ac:dyDescent="0.3">
      <c r="A1431" s="85"/>
      <c r="C1431" s="87"/>
      <c r="E1431" s="87"/>
      <c r="H1431" s="87"/>
      <c r="I1431" s="87"/>
      <c r="O1431" s="90"/>
      <c r="S1431" s="92"/>
      <c r="T1431" s="93"/>
      <c r="U1431" s="94"/>
      <c r="X1431" s="96"/>
      <c r="Y1431" s="97"/>
      <c r="Z1431" s="98"/>
      <c r="AA1431" s="98"/>
      <c r="AB1431" s="99"/>
    </row>
    <row r="1432" spans="1:28" ht="15.75" customHeight="1" x14ac:dyDescent="0.3">
      <c r="A1432" s="85"/>
      <c r="C1432" s="87"/>
      <c r="E1432" s="87"/>
      <c r="H1432" s="87"/>
      <c r="I1432" s="87"/>
      <c r="O1432" s="90"/>
      <c r="S1432" s="92"/>
      <c r="T1432" s="93"/>
      <c r="U1432" s="94"/>
      <c r="X1432" s="96"/>
      <c r="Y1432" s="97"/>
      <c r="Z1432" s="98"/>
      <c r="AA1432" s="98"/>
      <c r="AB1432" s="99"/>
    </row>
    <row r="1433" spans="1:28" ht="15.75" customHeight="1" x14ac:dyDescent="0.3">
      <c r="A1433" s="85"/>
      <c r="C1433" s="87"/>
      <c r="E1433" s="87"/>
      <c r="H1433" s="87"/>
      <c r="I1433" s="87"/>
      <c r="O1433" s="90"/>
      <c r="S1433" s="92"/>
      <c r="T1433" s="93"/>
      <c r="U1433" s="94"/>
      <c r="X1433" s="96"/>
      <c r="Y1433" s="97"/>
      <c r="Z1433" s="98"/>
      <c r="AA1433" s="98"/>
      <c r="AB1433" s="99"/>
    </row>
    <row r="1434" spans="1:28" ht="15.75" customHeight="1" x14ac:dyDescent="0.3">
      <c r="A1434" s="85"/>
      <c r="C1434" s="87"/>
      <c r="E1434" s="87"/>
      <c r="H1434" s="87"/>
      <c r="I1434" s="87"/>
      <c r="O1434" s="90"/>
      <c r="S1434" s="92"/>
      <c r="T1434" s="93"/>
      <c r="U1434" s="94"/>
      <c r="X1434" s="96"/>
      <c r="Y1434" s="97"/>
      <c r="Z1434" s="98"/>
      <c r="AA1434" s="98"/>
      <c r="AB1434" s="99"/>
    </row>
    <row r="1435" spans="1:28" ht="15.75" customHeight="1" x14ac:dyDescent="0.3">
      <c r="A1435" s="85"/>
      <c r="C1435" s="87"/>
      <c r="E1435" s="87"/>
      <c r="H1435" s="87"/>
      <c r="I1435" s="87"/>
      <c r="O1435" s="90"/>
      <c r="S1435" s="92"/>
      <c r="T1435" s="93"/>
      <c r="U1435" s="94"/>
      <c r="X1435" s="96"/>
      <c r="Y1435" s="97"/>
      <c r="Z1435" s="98"/>
      <c r="AA1435" s="98"/>
      <c r="AB1435" s="99"/>
    </row>
    <row r="1436" spans="1:28" ht="15.75" customHeight="1" x14ac:dyDescent="0.3">
      <c r="A1436" s="85"/>
      <c r="C1436" s="87"/>
      <c r="E1436" s="87"/>
      <c r="H1436" s="87"/>
      <c r="I1436" s="87"/>
      <c r="O1436" s="90"/>
      <c r="S1436" s="92"/>
      <c r="T1436" s="93"/>
      <c r="U1436" s="94"/>
      <c r="X1436" s="96"/>
      <c r="Y1436" s="97"/>
      <c r="Z1436" s="98"/>
      <c r="AA1436" s="98"/>
      <c r="AB1436" s="99"/>
    </row>
    <row r="1437" spans="1:28" ht="15.75" customHeight="1" x14ac:dyDescent="0.3">
      <c r="A1437" s="85"/>
      <c r="C1437" s="87"/>
      <c r="E1437" s="87"/>
      <c r="H1437" s="87"/>
      <c r="I1437" s="87"/>
      <c r="O1437" s="90"/>
      <c r="S1437" s="92"/>
      <c r="T1437" s="93"/>
      <c r="U1437" s="94"/>
      <c r="X1437" s="96"/>
      <c r="Y1437" s="97"/>
      <c r="Z1437" s="98"/>
      <c r="AA1437" s="98"/>
      <c r="AB1437" s="99"/>
    </row>
    <row r="1438" spans="1:28" ht="15.75" customHeight="1" x14ac:dyDescent="0.3">
      <c r="A1438" s="85"/>
      <c r="C1438" s="87"/>
      <c r="E1438" s="87"/>
      <c r="H1438" s="87"/>
      <c r="I1438" s="87"/>
      <c r="O1438" s="90"/>
      <c r="S1438" s="92"/>
      <c r="T1438" s="93"/>
      <c r="U1438" s="94"/>
      <c r="X1438" s="96"/>
      <c r="Y1438" s="97"/>
      <c r="Z1438" s="98"/>
      <c r="AA1438" s="98"/>
      <c r="AB1438" s="99"/>
    </row>
    <row r="1439" spans="1:28" ht="15.75" customHeight="1" x14ac:dyDescent="0.3">
      <c r="A1439" s="85"/>
      <c r="C1439" s="87"/>
      <c r="E1439" s="87"/>
      <c r="H1439" s="87"/>
      <c r="I1439" s="87"/>
      <c r="O1439" s="90"/>
      <c r="S1439" s="92"/>
      <c r="T1439" s="93"/>
      <c r="U1439" s="94"/>
      <c r="X1439" s="96"/>
      <c r="Y1439" s="97"/>
      <c r="Z1439" s="98"/>
      <c r="AA1439" s="98"/>
      <c r="AB1439" s="99"/>
    </row>
    <row r="1440" spans="1:28" ht="15.75" customHeight="1" x14ac:dyDescent="0.3">
      <c r="A1440" s="85"/>
      <c r="C1440" s="87"/>
      <c r="E1440" s="87"/>
      <c r="H1440" s="87"/>
      <c r="I1440" s="87"/>
      <c r="O1440" s="90"/>
      <c r="S1440" s="92"/>
      <c r="T1440" s="93"/>
      <c r="U1440" s="94"/>
      <c r="X1440" s="96"/>
      <c r="Y1440" s="97"/>
      <c r="Z1440" s="98"/>
      <c r="AA1440" s="98"/>
      <c r="AB1440" s="99"/>
    </row>
    <row r="1441" spans="1:28" ht="15.75" customHeight="1" x14ac:dyDescent="0.3">
      <c r="A1441" s="85"/>
      <c r="C1441" s="87"/>
      <c r="E1441" s="87"/>
      <c r="H1441" s="87"/>
      <c r="I1441" s="87"/>
      <c r="O1441" s="90"/>
      <c r="S1441" s="92"/>
      <c r="T1441" s="93"/>
      <c r="U1441" s="94"/>
      <c r="X1441" s="96"/>
      <c r="Y1441" s="97"/>
      <c r="Z1441" s="98"/>
      <c r="AA1441" s="98"/>
      <c r="AB1441" s="99"/>
    </row>
    <row r="1442" spans="1:28" ht="15.75" customHeight="1" x14ac:dyDescent="0.3">
      <c r="A1442" s="85"/>
      <c r="C1442" s="87"/>
      <c r="E1442" s="87"/>
      <c r="H1442" s="87"/>
      <c r="I1442" s="87"/>
      <c r="O1442" s="90"/>
      <c r="S1442" s="92"/>
      <c r="T1442" s="93"/>
      <c r="U1442" s="94"/>
      <c r="X1442" s="96"/>
      <c r="Y1442" s="97"/>
      <c r="Z1442" s="98"/>
      <c r="AA1442" s="98"/>
      <c r="AB1442" s="99"/>
    </row>
    <row r="1443" spans="1:28" ht="15.75" customHeight="1" x14ac:dyDescent="0.3">
      <c r="A1443" s="85"/>
      <c r="C1443" s="87"/>
      <c r="E1443" s="87"/>
      <c r="H1443" s="87"/>
      <c r="I1443" s="87"/>
      <c r="O1443" s="90"/>
      <c r="S1443" s="92"/>
      <c r="T1443" s="93"/>
      <c r="U1443" s="94"/>
      <c r="X1443" s="96"/>
      <c r="Y1443" s="97"/>
      <c r="Z1443" s="98"/>
      <c r="AA1443" s="98"/>
      <c r="AB1443" s="99"/>
    </row>
    <row r="1444" spans="1:28" ht="15.75" customHeight="1" x14ac:dyDescent="0.3">
      <c r="A1444" s="85"/>
      <c r="C1444" s="87"/>
      <c r="E1444" s="87"/>
      <c r="H1444" s="87"/>
      <c r="I1444" s="87"/>
      <c r="O1444" s="90"/>
      <c r="S1444" s="92"/>
      <c r="T1444" s="93"/>
      <c r="U1444" s="94"/>
      <c r="X1444" s="96"/>
      <c r="Y1444" s="97"/>
      <c r="Z1444" s="98"/>
      <c r="AA1444" s="98"/>
      <c r="AB1444" s="99"/>
    </row>
    <row r="1445" spans="1:28" ht="15.75" customHeight="1" x14ac:dyDescent="0.3">
      <c r="A1445" s="85"/>
      <c r="C1445" s="87"/>
      <c r="E1445" s="87"/>
      <c r="H1445" s="87"/>
      <c r="I1445" s="87"/>
      <c r="O1445" s="90"/>
      <c r="S1445" s="92"/>
      <c r="T1445" s="93"/>
      <c r="U1445" s="94"/>
      <c r="X1445" s="96"/>
      <c r="Y1445" s="97"/>
      <c r="Z1445" s="98"/>
      <c r="AA1445" s="98"/>
      <c r="AB1445" s="99"/>
    </row>
    <row r="1446" spans="1:28" ht="15.75" customHeight="1" x14ac:dyDescent="0.3">
      <c r="A1446" s="85"/>
      <c r="C1446" s="87"/>
      <c r="E1446" s="87"/>
      <c r="H1446" s="87"/>
      <c r="I1446" s="87"/>
      <c r="O1446" s="90"/>
      <c r="S1446" s="92"/>
      <c r="T1446" s="93"/>
      <c r="U1446" s="94"/>
      <c r="X1446" s="96"/>
      <c r="Y1446" s="97"/>
      <c r="Z1446" s="98"/>
      <c r="AA1446" s="98"/>
      <c r="AB1446" s="99"/>
    </row>
    <row r="1447" spans="1:28" ht="15.75" customHeight="1" x14ac:dyDescent="0.3">
      <c r="A1447" s="85"/>
      <c r="C1447" s="87"/>
      <c r="E1447" s="87"/>
      <c r="H1447" s="87"/>
      <c r="I1447" s="87"/>
      <c r="O1447" s="90"/>
      <c r="S1447" s="92"/>
      <c r="T1447" s="93"/>
      <c r="U1447" s="94"/>
      <c r="X1447" s="96"/>
      <c r="Y1447" s="97"/>
      <c r="Z1447" s="98"/>
      <c r="AA1447" s="98"/>
      <c r="AB1447" s="99"/>
    </row>
    <row r="1448" spans="1:28" ht="15.75" customHeight="1" x14ac:dyDescent="0.3">
      <c r="A1448" s="85"/>
      <c r="C1448" s="87"/>
      <c r="E1448" s="87"/>
      <c r="H1448" s="87"/>
      <c r="I1448" s="87"/>
      <c r="O1448" s="90"/>
      <c r="S1448" s="92"/>
      <c r="T1448" s="93"/>
      <c r="U1448" s="94"/>
      <c r="X1448" s="96"/>
      <c r="Y1448" s="97"/>
      <c r="Z1448" s="98"/>
      <c r="AA1448" s="98"/>
      <c r="AB1448" s="99"/>
    </row>
    <row r="1449" spans="1:28" ht="15.75" customHeight="1" x14ac:dyDescent="0.3">
      <c r="A1449" s="85"/>
      <c r="C1449" s="87"/>
      <c r="E1449" s="87"/>
      <c r="H1449" s="87"/>
      <c r="I1449" s="87"/>
      <c r="O1449" s="90"/>
      <c r="S1449" s="92"/>
      <c r="T1449" s="93"/>
      <c r="U1449" s="94"/>
      <c r="X1449" s="96"/>
      <c r="Y1449" s="97"/>
      <c r="Z1449" s="98"/>
      <c r="AA1449" s="98"/>
      <c r="AB1449" s="99"/>
    </row>
    <row r="1450" spans="1:28" ht="15.75" customHeight="1" x14ac:dyDescent="0.3">
      <c r="A1450" s="85"/>
      <c r="C1450" s="87"/>
      <c r="E1450" s="87"/>
      <c r="H1450" s="87"/>
      <c r="I1450" s="87"/>
      <c r="O1450" s="90"/>
      <c r="S1450" s="92"/>
      <c r="T1450" s="93"/>
      <c r="U1450" s="94"/>
      <c r="X1450" s="96"/>
      <c r="Y1450" s="97"/>
      <c r="Z1450" s="98"/>
      <c r="AA1450" s="98"/>
      <c r="AB1450" s="99"/>
    </row>
    <row r="1451" spans="1:28" ht="15.75" customHeight="1" x14ac:dyDescent="0.3">
      <c r="A1451" s="85"/>
      <c r="C1451" s="87"/>
      <c r="E1451" s="87"/>
      <c r="H1451" s="87"/>
      <c r="I1451" s="87"/>
      <c r="O1451" s="90"/>
      <c r="S1451" s="92"/>
      <c r="T1451" s="93"/>
      <c r="U1451" s="94"/>
      <c r="X1451" s="96"/>
      <c r="Y1451" s="97"/>
      <c r="Z1451" s="98"/>
      <c r="AA1451" s="98"/>
      <c r="AB1451" s="99"/>
    </row>
    <row r="1452" spans="1:28" ht="15.75" customHeight="1" x14ac:dyDescent="0.3">
      <c r="A1452" s="85"/>
      <c r="C1452" s="87"/>
      <c r="E1452" s="87"/>
      <c r="H1452" s="87"/>
      <c r="I1452" s="87"/>
      <c r="O1452" s="90"/>
      <c r="S1452" s="92"/>
      <c r="T1452" s="93"/>
      <c r="U1452" s="94"/>
      <c r="X1452" s="96"/>
      <c r="Y1452" s="97"/>
      <c r="Z1452" s="98"/>
      <c r="AA1452" s="98"/>
      <c r="AB1452" s="99"/>
    </row>
    <row r="1453" spans="1:28" ht="15.75" customHeight="1" x14ac:dyDescent="0.3">
      <c r="A1453" s="85"/>
      <c r="C1453" s="87"/>
      <c r="E1453" s="87"/>
      <c r="H1453" s="87"/>
      <c r="I1453" s="87"/>
      <c r="O1453" s="90"/>
      <c r="S1453" s="92"/>
      <c r="T1453" s="93"/>
      <c r="U1453" s="94"/>
      <c r="X1453" s="96"/>
      <c r="Y1453" s="97"/>
      <c r="Z1453" s="98"/>
      <c r="AA1453" s="98"/>
      <c r="AB1453" s="99"/>
    </row>
    <row r="1454" spans="1:28" ht="15.75" customHeight="1" x14ac:dyDescent="0.3">
      <c r="A1454" s="85"/>
      <c r="C1454" s="87"/>
      <c r="E1454" s="87"/>
      <c r="H1454" s="87"/>
      <c r="I1454" s="87"/>
      <c r="O1454" s="90"/>
      <c r="S1454" s="92"/>
      <c r="T1454" s="93"/>
      <c r="U1454" s="94"/>
      <c r="X1454" s="96"/>
      <c r="Y1454" s="97"/>
      <c r="Z1454" s="98"/>
      <c r="AA1454" s="98"/>
      <c r="AB1454" s="99"/>
    </row>
    <row r="1455" spans="1:28" ht="15.75" customHeight="1" x14ac:dyDescent="0.3">
      <c r="A1455" s="85"/>
      <c r="C1455" s="87"/>
      <c r="E1455" s="87"/>
      <c r="H1455" s="87"/>
      <c r="I1455" s="87"/>
      <c r="O1455" s="90"/>
      <c r="S1455" s="92"/>
      <c r="T1455" s="93"/>
      <c r="U1455" s="94"/>
      <c r="X1455" s="96"/>
      <c r="Y1455" s="97"/>
      <c r="Z1455" s="98"/>
      <c r="AA1455" s="98"/>
      <c r="AB1455" s="99"/>
    </row>
    <row r="1456" spans="1:28" ht="15.75" customHeight="1" x14ac:dyDescent="0.3">
      <c r="A1456" s="85"/>
      <c r="C1456" s="87"/>
      <c r="E1456" s="87"/>
      <c r="H1456" s="87"/>
      <c r="I1456" s="87"/>
      <c r="O1456" s="90"/>
      <c r="S1456" s="92"/>
      <c r="T1456" s="93"/>
      <c r="U1456" s="94"/>
      <c r="X1456" s="96"/>
      <c r="Y1456" s="97"/>
      <c r="Z1456" s="98"/>
      <c r="AA1456" s="98"/>
      <c r="AB1456" s="99"/>
    </row>
    <row r="1457" spans="1:28" ht="15.75" customHeight="1" x14ac:dyDescent="0.3">
      <c r="A1457" s="85"/>
      <c r="C1457" s="87"/>
      <c r="E1457" s="87"/>
      <c r="H1457" s="87"/>
      <c r="I1457" s="87"/>
      <c r="O1457" s="90"/>
      <c r="S1457" s="92"/>
      <c r="T1457" s="93"/>
      <c r="U1457" s="94"/>
      <c r="X1457" s="96"/>
      <c r="Y1457" s="97"/>
      <c r="Z1457" s="98"/>
      <c r="AA1457" s="98"/>
      <c r="AB1457" s="99"/>
    </row>
    <row r="1458" spans="1:28" ht="15.75" customHeight="1" x14ac:dyDescent="0.3">
      <c r="A1458" s="85"/>
      <c r="C1458" s="87"/>
      <c r="E1458" s="87"/>
      <c r="H1458" s="87"/>
      <c r="I1458" s="87"/>
      <c r="O1458" s="90"/>
      <c r="S1458" s="92"/>
      <c r="T1458" s="93"/>
      <c r="U1458" s="94"/>
      <c r="X1458" s="96"/>
      <c r="Y1458" s="97"/>
      <c r="Z1458" s="98"/>
      <c r="AA1458" s="98"/>
      <c r="AB1458" s="99"/>
    </row>
    <row r="1459" spans="1:28" ht="15.75" customHeight="1" x14ac:dyDescent="0.3">
      <c r="A1459" s="85"/>
      <c r="C1459" s="87"/>
      <c r="E1459" s="87"/>
      <c r="H1459" s="87"/>
      <c r="I1459" s="87"/>
      <c r="O1459" s="90"/>
      <c r="S1459" s="92"/>
      <c r="T1459" s="93"/>
      <c r="U1459" s="94"/>
      <c r="X1459" s="96"/>
      <c r="Y1459" s="97"/>
      <c r="Z1459" s="98"/>
      <c r="AA1459" s="98"/>
      <c r="AB1459" s="99"/>
    </row>
    <row r="1460" spans="1:28" ht="15.75" customHeight="1" x14ac:dyDescent="0.3">
      <c r="A1460" s="85"/>
      <c r="C1460" s="87"/>
      <c r="E1460" s="87"/>
      <c r="H1460" s="87"/>
      <c r="I1460" s="87"/>
      <c r="O1460" s="90"/>
      <c r="S1460" s="92"/>
      <c r="T1460" s="93"/>
      <c r="U1460" s="94"/>
      <c r="X1460" s="96"/>
      <c r="Y1460" s="97"/>
      <c r="Z1460" s="98"/>
      <c r="AA1460" s="98"/>
      <c r="AB1460" s="99"/>
    </row>
    <row r="1461" spans="1:28" ht="15.75" customHeight="1" x14ac:dyDescent="0.3">
      <c r="A1461" s="85"/>
      <c r="C1461" s="87"/>
      <c r="E1461" s="87"/>
      <c r="H1461" s="87"/>
      <c r="I1461" s="87"/>
      <c r="O1461" s="90"/>
      <c r="S1461" s="92"/>
      <c r="T1461" s="93"/>
      <c r="U1461" s="94"/>
      <c r="X1461" s="96"/>
      <c r="Y1461" s="97"/>
      <c r="Z1461" s="98"/>
      <c r="AA1461" s="98"/>
      <c r="AB1461" s="99"/>
    </row>
    <row r="1462" spans="1:28" ht="15.75" customHeight="1" x14ac:dyDescent="0.3">
      <c r="A1462" s="85"/>
      <c r="C1462" s="87"/>
      <c r="E1462" s="87"/>
      <c r="H1462" s="87"/>
      <c r="I1462" s="87"/>
      <c r="O1462" s="90"/>
      <c r="S1462" s="92"/>
      <c r="T1462" s="93"/>
      <c r="U1462" s="94"/>
      <c r="X1462" s="96"/>
      <c r="Y1462" s="97"/>
      <c r="Z1462" s="98"/>
      <c r="AA1462" s="98"/>
      <c r="AB1462" s="99"/>
    </row>
    <row r="1463" spans="1:28" ht="15.75" customHeight="1" x14ac:dyDescent="0.3">
      <c r="A1463" s="85"/>
      <c r="C1463" s="87"/>
      <c r="E1463" s="87"/>
      <c r="H1463" s="87"/>
      <c r="I1463" s="87"/>
      <c r="O1463" s="90"/>
      <c r="S1463" s="92"/>
      <c r="T1463" s="93"/>
      <c r="U1463" s="94"/>
      <c r="X1463" s="96"/>
      <c r="Y1463" s="97"/>
      <c r="Z1463" s="98"/>
      <c r="AA1463" s="98"/>
      <c r="AB1463" s="99"/>
    </row>
    <row r="1464" spans="1:28" ht="15.75" customHeight="1" x14ac:dyDescent="0.3">
      <c r="A1464" s="85"/>
      <c r="C1464" s="87"/>
      <c r="E1464" s="87"/>
      <c r="H1464" s="87"/>
      <c r="I1464" s="87"/>
      <c r="O1464" s="90"/>
      <c r="S1464" s="92"/>
      <c r="T1464" s="93"/>
      <c r="U1464" s="94"/>
      <c r="X1464" s="96"/>
      <c r="Y1464" s="97"/>
      <c r="Z1464" s="98"/>
      <c r="AA1464" s="98"/>
      <c r="AB1464" s="99"/>
    </row>
    <row r="1465" spans="1:28" ht="15.75" customHeight="1" x14ac:dyDescent="0.3">
      <c r="A1465" s="85"/>
      <c r="C1465" s="87"/>
      <c r="E1465" s="87"/>
      <c r="H1465" s="87"/>
      <c r="I1465" s="87"/>
      <c r="O1465" s="90"/>
      <c r="S1465" s="92"/>
      <c r="T1465" s="93"/>
      <c r="U1465" s="94"/>
      <c r="X1465" s="96"/>
      <c r="Y1465" s="97"/>
      <c r="Z1465" s="98"/>
      <c r="AA1465" s="98"/>
      <c r="AB1465" s="99"/>
    </row>
    <row r="1466" spans="1:28" ht="15.75" customHeight="1" x14ac:dyDescent="0.3">
      <c r="A1466" s="85"/>
      <c r="C1466" s="87"/>
      <c r="E1466" s="87"/>
      <c r="H1466" s="87"/>
      <c r="I1466" s="87"/>
      <c r="O1466" s="90"/>
      <c r="S1466" s="92"/>
      <c r="T1466" s="93"/>
      <c r="U1466" s="94"/>
      <c r="X1466" s="96"/>
      <c r="Y1466" s="97"/>
      <c r="Z1466" s="98"/>
      <c r="AA1466" s="98"/>
      <c r="AB1466" s="99"/>
    </row>
    <row r="1467" spans="1:28" ht="15.75" customHeight="1" x14ac:dyDescent="0.3">
      <c r="A1467" s="85"/>
      <c r="C1467" s="87"/>
      <c r="E1467" s="87"/>
      <c r="H1467" s="87"/>
      <c r="I1467" s="87"/>
      <c r="O1467" s="90"/>
      <c r="S1467" s="92"/>
      <c r="T1467" s="93"/>
      <c r="U1467" s="94"/>
      <c r="X1467" s="96"/>
      <c r="Y1467" s="97"/>
      <c r="Z1467" s="98"/>
      <c r="AA1467" s="98"/>
      <c r="AB1467" s="99"/>
    </row>
    <row r="1468" spans="1:28" ht="15.75" customHeight="1" x14ac:dyDescent="0.3">
      <c r="A1468" s="85"/>
      <c r="C1468" s="87"/>
      <c r="E1468" s="87"/>
      <c r="H1468" s="87"/>
      <c r="I1468" s="87"/>
      <c r="O1468" s="90"/>
      <c r="S1468" s="92"/>
      <c r="T1468" s="93"/>
      <c r="U1468" s="94"/>
      <c r="X1468" s="96"/>
      <c r="Y1468" s="97"/>
      <c r="Z1468" s="98"/>
      <c r="AA1468" s="98"/>
      <c r="AB1468" s="99"/>
    </row>
    <row r="1469" spans="1:28" ht="15.75" customHeight="1" x14ac:dyDescent="0.3">
      <c r="A1469" s="85"/>
      <c r="C1469" s="87"/>
      <c r="E1469" s="87"/>
      <c r="H1469" s="87"/>
      <c r="I1469" s="87"/>
      <c r="O1469" s="90"/>
      <c r="S1469" s="92"/>
      <c r="T1469" s="93"/>
      <c r="U1469" s="94"/>
      <c r="X1469" s="96"/>
      <c r="Y1469" s="97"/>
      <c r="Z1469" s="98"/>
      <c r="AA1469" s="98"/>
      <c r="AB1469" s="99"/>
    </row>
    <row r="1470" spans="1:28" ht="15.75" customHeight="1" x14ac:dyDescent="0.3">
      <c r="A1470" s="85"/>
      <c r="C1470" s="87"/>
      <c r="E1470" s="87"/>
      <c r="H1470" s="87"/>
      <c r="I1470" s="87"/>
      <c r="O1470" s="90"/>
      <c r="S1470" s="92"/>
      <c r="T1470" s="93"/>
      <c r="U1470" s="94"/>
      <c r="X1470" s="96"/>
      <c r="Y1470" s="97"/>
      <c r="Z1470" s="98"/>
      <c r="AA1470" s="98"/>
      <c r="AB1470" s="99"/>
    </row>
    <row r="1471" spans="1:28" ht="15.75" customHeight="1" x14ac:dyDescent="0.3">
      <c r="A1471" s="85"/>
      <c r="C1471" s="87"/>
      <c r="E1471" s="87"/>
      <c r="H1471" s="87"/>
      <c r="I1471" s="87"/>
      <c r="O1471" s="90"/>
      <c r="S1471" s="92"/>
      <c r="T1471" s="93"/>
      <c r="U1471" s="94"/>
      <c r="X1471" s="96"/>
      <c r="Y1471" s="97"/>
      <c r="Z1471" s="98"/>
      <c r="AA1471" s="98"/>
      <c r="AB1471" s="99"/>
    </row>
    <row r="1472" spans="1:28" ht="15.75" customHeight="1" x14ac:dyDescent="0.3">
      <c r="A1472" s="85"/>
      <c r="C1472" s="87"/>
      <c r="E1472" s="87"/>
      <c r="H1472" s="87"/>
      <c r="I1472" s="87"/>
      <c r="O1472" s="90"/>
      <c r="S1472" s="92"/>
      <c r="T1472" s="93"/>
      <c r="U1472" s="94"/>
      <c r="X1472" s="96"/>
      <c r="Y1472" s="97"/>
      <c r="Z1472" s="98"/>
      <c r="AA1472" s="98"/>
      <c r="AB1472" s="99"/>
    </row>
    <row r="1473" spans="1:28" ht="15.75" customHeight="1" x14ac:dyDescent="0.3">
      <c r="A1473" s="85"/>
      <c r="C1473" s="87"/>
      <c r="E1473" s="87"/>
      <c r="H1473" s="87"/>
      <c r="I1473" s="87"/>
      <c r="O1473" s="90"/>
      <c r="S1473" s="92"/>
      <c r="T1473" s="93"/>
      <c r="U1473" s="94"/>
      <c r="X1473" s="96"/>
      <c r="Y1473" s="97"/>
      <c r="Z1473" s="98"/>
      <c r="AA1473" s="98"/>
      <c r="AB1473" s="99"/>
    </row>
    <row r="1474" spans="1:28" ht="15.75" customHeight="1" x14ac:dyDescent="0.3">
      <c r="A1474" s="85"/>
      <c r="C1474" s="87"/>
      <c r="E1474" s="87"/>
      <c r="H1474" s="87"/>
      <c r="I1474" s="87"/>
      <c r="O1474" s="90"/>
      <c r="S1474" s="92"/>
      <c r="T1474" s="93"/>
      <c r="U1474" s="94"/>
      <c r="X1474" s="96"/>
      <c r="Y1474" s="97"/>
      <c r="Z1474" s="98"/>
      <c r="AA1474" s="98"/>
      <c r="AB1474" s="99"/>
    </row>
    <row r="1475" spans="1:28" ht="15.75" customHeight="1" x14ac:dyDescent="0.3">
      <c r="A1475" s="85"/>
      <c r="C1475" s="87"/>
      <c r="E1475" s="87"/>
      <c r="H1475" s="87"/>
      <c r="I1475" s="87"/>
      <c r="O1475" s="90"/>
      <c r="S1475" s="92"/>
      <c r="T1475" s="93"/>
      <c r="U1475" s="94"/>
      <c r="X1475" s="96"/>
      <c r="Y1475" s="97"/>
      <c r="Z1475" s="98"/>
      <c r="AA1475" s="98"/>
      <c r="AB1475" s="99"/>
    </row>
    <row r="1476" spans="1:28" ht="15.75" customHeight="1" x14ac:dyDescent="0.3">
      <c r="A1476" s="85"/>
      <c r="C1476" s="87"/>
      <c r="E1476" s="87"/>
      <c r="H1476" s="87"/>
      <c r="I1476" s="87"/>
      <c r="O1476" s="90"/>
      <c r="S1476" s="92"/>
      <c r="T1476" s="93"/>
      <c r="U1476" s="94"/>
      <c r="X1476" s="96"/>
      <c r="Y1476" s="97"/>
      <c r="Z1476" s="98"/>
      <c r="AA1476" s="98"/>
      <c r="AB1476" s="99"/>
    </row>
    <row r="1477" spans="1:28" ht="15.75" customHeight="1" x14ac:dyDescent="0.3">
      <c r="A1477" s="85"/>
      <c r="C1477" s="87"/>
      <c r="E1477" s="87"/>
      <c r="H1477" s="87"/>
      <c r="I1477" s="87"/>
      <c r="O1477" s="90"/>
      <c r="S1477" s="92"/>
      <c r="T1477" s="93"/>
      <c r="U1477" s="94"/>
      <c r="X1477" s="96"/>
      <c r="Y1477" s="97"/>
      <c r="Z1477" s="98"/>
      <c r="AA1477" s="98"/>
      <c r="AB1477" s="99"/>
    </row>
    <row r="1478" spans="1:28" ht="15.75" customHeight="1" x14ac:dyDescent="0.3">
      <c r="A1478" s="85"/>
      <c r="C1478" s="87"/>
      <c r="E1478" s="87"/>
      <c r="H1478" s="87"/>
      <c r="I1478" s="87"/>
      <c r="O1478" s="90"/>
      <c r="S1478" s="92"/>
      <c r="T1478" s="93"/>
      <c r="U1478" s="94"/>
      <c r="X1478" s="96"/>
      <c r="Y1478" s="97"/>
      <c r="Z1478" s="98"/>
      <c r="AA1478" s="98"/>
      <c r="AB1478" s="99"/>
    </row>
    <row r="1479" spans="1:28" ht="15.75" customHeight="1" x14ac:dyDescent="0.3">
      <c r="A1479" s="85"/>
      <c r="C1479" s="87"/>
      <c r="E1479" s="87"/>
      <c r="H1479" s="87"/>
      <c r="I1479" s="87"/>
      <c r="O1479" s="90"/>
      <c r="S1479" s="92"/>
      <c r="T1479" s="93"/>
      <c r="U1479" s="94"/>
      <c r="X1479" s="96"/>
      <c r="Y1479" s="97"/>
      <c r="Z1479" s="98"/>
      <c r="AA1479" s="98"/>
      <c r="AB1479" s="99"/>
    </row>
    <row r="1480" spans="1:28" ht="15.75" customHeight="1" x14ac:dyDescent="0.3">
      <c r="A1480" s="85"/>
      <c r="C1480" s="87"/>
      <c r="E1480" s="87"/>
      <c r="H1480" s="87"/>
      <c r="I1480" s="87"/>
      <c r="O1480" s="90"/>
      <c r="S1480" s="92"/>
      <c r="T1480" s="93"/>
      <c r="U1480" s="94"/>
      <c r="X1480" s="96"/>
      <c r="Y1480" s="97"/>
      <c r="Z1480" s="98"/>
      <c r="AA1480" s="98"/>
      <c r="AB1480" s="99"/>
    </row>
    <row r="1481" spans="1:28" ht="15.75" customHeight="1" x14ac:dyDescent="0.3">
      <c r="A1481" s="85"/>
      <c r="C1481" s="87"/>
      <c r="E1481" s="87"/>
      <c r="H1481" s="87"/>
      <c r="I1481" s="87"/>
      <c r="O1481" s="90"/>
      <c r="S1481" s="92"/>
      <c r="T1481" s="93"/>
      <c r="U1481" s="94"/>
      <c r="X1481" s="96"/>
      <c r="Y1481" s="97"/>
      <c r="Z1481" s="98"/>
      <c r="AA1481" s="98"/>
      <c r="AB1481" s="99"/>
    </row>
    <row r="1482" spans="1:28" ht="15.75" customHeight="1" x14ac:dyDescent="0.3">
      <c r="A1482" s="85"/>
      <c r="C1482" s="87"/>
      <c r="E1482" s="87"/>
      <c r="H1482" s="87"/>
      <c r="I1482" s="87"/>
      <c r="O1482" s="90"/>
      <c r="S1482" s="92"/>
      <c r="T1482" s="93"/>
      <c r="U1482" s="94"/>
      <c r="X1482" s="96"/>
      <c r="Y1482" s="97"/>
      <c r="Z1482" s="98"/>
      <c r="AA1482" s="98"/>
      <c r="AB1482" s="99"/>
    </row>
    <row r="1483" spans="1:28" ht="15.75" customHeight="1" x14ac:dyDescent="0.3">
      <c r="A1483" s="85"/>
      <c r="C1483" s="87"/>
      <c r="E1483" s="87"/>
      <c r="H1483" s="87"/>
      <c r="I1483" s="87"/>
      <c r="O1483" s="90"/>
      <c r="S1483" s="92"/>
      <c r="T1483" s="93"/>
      <c r="U1483" s="94"/>
      <c r="X1483" s="96"/>
      <c r="Y1483" s="97"/>
      <c r="Z1483" s="98"/>
      <c r="AA1483" s="98"/>
      <c r="AB1483" s="99"/>
    </row>
    <row r="1484" spans="1:28" ht="15.75" customHeight="1" x14ac:dyDescent="0.3">
      <c r="A1484" s="85"/>
      <c r="C1484" s="87"/>
      <c r="E1484" s="87"/>
      <c r="H1484" s="87"/>
      <c r="I1484" s="87"/>
      <c r="O1484" s="90"/>
      <c r="S1484" s="92"/>
      <c r="T1484" s="93"/>
      <c r="U1484" s="94"/>
      <c r="X1484" s="96"/>
      <c r="Y1484" s="97"/>
      <c r="Z1484" s="98"/>
      <c r="AA1484" s="98"/>
      <c r="AB1484" s="99"/>
    </row>
    <row r="1485" spans="1:28" ht="15.75" customHeight="1" x14ac:dyDescent="0.3">
      <c r="A1485" s="85"/>
      <c r="C1485" s="87"/>
      <c r="E1485" s="87"/>
      <c r="H1485" s="87"/>
      <c r="I1485" s="87"/>
      <c r="O1485" s="90"/>
      <c r="S1485" s="92"/>
      <c r="T1485" s="93"/>
      <c r="U1485" s="94"/>
      <c r="X1485" s="96"/>
      <c r="Y1485" s="97"/>
      <c r="Z1485" s="98"/>
      <c r="AA1485" s="98"/>
      <c r="AB1485" s="99"/>
    </row>
    <row r="1486" spans="1:28" ht="15.75" customHeight="1" x14ac:dyDescent="0.3">
      <c r="A1486" s="85"/>
      <c r="C1486" s="87"/>
      <c r="E1486" s="87"/>
      <c r="H1486" s="87"/>
      <c r="I1486" s="87"/>
      <c r="O1486" s="90"/>
      <c r="S1486" s="92"/>
      <c r="T1486" s="93"/>
      <c r="U1486" s="94"/>
      <c r="X1486" s="96"/>
      <c r="Y1486" s="97"/>
      <c r="Z1486" s="98"/>
      <c r="AA1486" s="98"/>
      <c r="AB1486" s="99"/>
    </row>
    <row r="1487" spans="1:28" ht="15.75" customHeight="1" x14ac:dyDescent="0.3">
      <c r="A1487" s="85"/>
      <c r="C1487" s="87"/>
      <c r="E1487" s="87"/>
      <c r="H1487" s="87"/>
      <c r="I1487" s="87"/>
      <c r="O1487" s="90"/>
      <c r="S1487" s="92"/>
      <c r="T1487" s="93"/>
      <c r="U1487" s="94"/>
      <c r="X1487" s="96"/>
      <c r="Y1487" s="97"/>
      <c r="Z1487" s="98"/>
      <c r="AA1487" s="98"/>
      <c r="AB1487" s="99"/>
    </row>
    <row r="1488" spans="1:28" ht="15.75" customHeight="1" x14ac:dyDescent="0.3">
      <c r="A1488" s="85"/>
      <c r="C1488" s="87"/>
      <c r="E1488" s="87"/>
      <c r="H1488" s="87"/>
      <c r="I1488" s="87"/>
      <c r="O1488" s="90"/>
      <c r="S1488" s="92"/>
      <c r="T1488" s="93"/>
      <c r="U1488" s="94"/>
      <c r="X1488" s="96"/>
      <c r="Y1488" s="97"/>
      <c r="Z1488" s="98"/>
      <c r="AA1488" s="98"/>
      <c r="AB1488" s="99"/>
    </row>
    <row r="1489" spans="1:28" ht="15.75" customHeight="1" x14ac:dyDescent="0.3">
      <c r="A1489" s="85"/>
      <c r="C1489" s="87"/>
      <c r="E1489" s="87"/>
      <c r="H1489" s="87"/>
      <c r="I1489" s="87"/>
      <c r="O1489" s="90"/>
      <c r="S1489" s="92"/>
      <c r="T1489" s="93"/>
      <c r="U1489" s="94"/>
      <c r="X1489" s="96"/>
      <c r="Y1489" s="97"/>
      <c r="Z1489" s="98"/>
      <c r="AA1489" s="98"/>
      <c r="AB1489" s="99"/>
    </row>
    <row r="1490" spans="1:28" ht="15.75" customHeight="1" x14ac:dyDescent="0.3">
      <c r="A1490" s="85"/>
      <c r="C1490" s="87"/>
      <c r="E1490" s="87"/>
      <c r="H1490" s="87"/>
      <c r="I1490" s="87"/>
      <c r="O1490" s="90"/>
      <c r="S1490" s="92"/>
      <c r="T1490" s="93"/>
      <c r="U1490" s="94"/>
      <c r="X1490" s="96"/>
      <c r="Y1490" s="97"/>
      <c r="Z1490" s="98"/>
      <c r="AA1490" s="98"/>
      <c r="AB1490" s="99"/>
    </row>
    <row r="1491" spans="1:28" ht="15.75" customHeight="1" x14ac:dyDescent="0.3">
      <c r="A1491" s="85"/>
      <c r="C1491" s="87"/>
      <c r="E1491" s="87"/>
      <c r="H1491" s="87"/>
      <c r="I1491" s="87"/>
      <c r="O1491" s="90"/>
      <c r="S1491" s="92"/>
      <c r="T1491" s="93"/>
      <c r="U1491" s="94"/>
      <c r="X1491" s="96"/>
      <c r="Y1491" s="97"/>
      <c r="Z1491" s="98"/>
      <c r="AA1491" s="98"/>
      <c r="AB1491" s="99"/>
    </row>
    <row r="1492" spans="1:28" ht="15.75" customHeight="1" x14ac:dyDescent="0.3">
      <c r="A1492" s="85"/>
      <c r="C1492" s="87"/>
      <c r="E1492" s="87"/>
      <c r="H1492" s="87"/>
      <c r="I1492" s="87"/>
      <c r="O1492" s="90"/>
      <c r="S1492" s="92"/>
      <c r="T1492" s="93"/>
      <c r="U1492" s="94"/>
      <c r="X1492" s="96"/>
      <c r="Y1492" s="97"/>
      <c r="Z1492" s="98"/>
      <c r="AA1492" s="98"/>
      <c r="AB1492" s="99"/>
    </row>
    <row r="1493" spans="1:28" ht="15.75" customHeight="1" x14ac:dyDescent="0.3">
      <c r="A1493" s="85"/>
      <c r="C1493" s="87"/>
      <c r="E1493" s="87"/>
      <c r="H1493" s="87"/>
      <c r="I1493" s="87"/>
      <c r="O1493" s="90"/>
      <c r="S1493" s="92"/>
      <c r="T1493" s="93"/>
      <c r="U1493" s="94"/>
      <c r="X1493" s="96"/>
      <c r="Y1493" s="97"/>
      <c r="Z1493" s="98"/>
      <c r="AA1493" s="98"/>
      <c r="AB1493" s="99"/>
    </row>
    <row r="1494" spans="1:28" ht="15.75" customHeight="1" x14ac:dyDescent="0.3">
      <c r="A1494" s="85"/>
      <c r="C1494" s="87"/>
      <c r="E1494" s="87"/>
      <c r="H1494" s="87"/>
      <c r="I1494" s="87"/>
      <c r="O1494" s="90"/>
      <c r="S1494" s="92"/>
      <c r="T1494" s="93"/>
      <c r="U1494" s="94"/>
      <c r="X1494" s="96"/>
      <c r="Y1494" s="97"/>
      <c r="Z1494" s="98"/>
      <c r="AA1494" s="98"/>
      <c r="AB1494" s="99"/>
    </row>
    <row r="1495" spans="1:28" ht="15.75" customHeight="1" x14ac:dyDescent="0.3">
      <c r="A1495" s="85"/>
      <c r="C1495" s="87"/>
      <c r="E1495" s="87"/>
      <c r="H1495" s="87"/>
      <c r="I1495" s="87"/>
      <c r="O1495" s="90"/>
      <c r="S1495" s="92"/>
      <c r="T1495" s="93"/>
      <c r="U1495" s="94"/>
      <c r="X1495" s="96"/>
      <c r="Y1495" s="97"/>
      <c r="Z1495" s="98"/>
      <c r="AA1495" s="98"/>
      <c r="AB1495" s="99"/>
    </row>
    <row r="1496" spans="1:28" ht="15.75" customHeight="1" x14ac:dyDescent="0.3">
      <c r="A1496" s="85"/>
      <c r="C1496" s="87"/>
      <c r="E1496" s="87"/>
      <c r="H1496" s="87"/>
      <c r="I1496" s="87"/>
      <c r="O1496" s="90"/>
      <c r="S1496" s="92"/>
      <c r="T1496" s="93"/>
      <c r="U1496" s="94"/>
      <c r="X1496" s="96"/>
      <c r="Y1496" s="97"/>
      <c r="Z1496" s="98"/>
      <c r="AA1496" s="98"/>
      <c r="AB1496" s="99"/>
    </row>
    <row r="1497" spans="1:28" ht="15.75" customHeight="1" x14ac:dyDescent="0.3">
      <c r="A1497" s="85"/>
      <c r="C1497" s="87"/>
      <c r="E1497" s="87"/>
      <c r="H1497" s="87"/>
      <c r="I1497" s="87"/>
      <c r="O1497" s="90"/>
      <c r="S1497" s="92"/>
      <c r="T1497" s="93"/>
      <c r="U1497" s="94"/>
      <c r="X1497" s="96"/>
      <c r="Y1497" s="97"/>
      <c r="Z1497" s="98"/>
      <c r="AA1497" s="98"/>
      <c r="AB1497" s="99"/>
    </row>
    <row r="1498" spans="1:28" ht="15.75" customHeight="1" x14ac:dyDescent="0.3">
      <c r="A1498" s="85"/>
      <c r="C1498" s="87"/>
      <c r="E1498" s="87"/>
      <c r="H1498" s="87"/>
      <c r="I1498" s="87"/>
      <c r="O1498" s="90"/>
      <c r="S1498" s="92"/>
      <c r="T1498" s="93"/>
      <c r="U1498" s="94"/>
      <c r="X1498" s="96"/>
      <c r="Y1498" s="97"/>
      <c r="Z1498" s="98"/>
      <c r="AA1498" s="98"/>
      <c r="AB1498" s="99"/>
    </row>
    <row r="1499" spans="1:28" ht="15.75" customHeight="1" x14ac:dyDescent="0.3">
      <c r="A1499" s="85"/>
      <c r="C1499" s="87"/>
      <c r="E1499" s="87"/>
      <c r="H1499" s="87"/>
      <c r="I1499" s="87"/>
      <c r="O1499" s="90"/>
      <c r="S1499" s="92"/>
      <c r="T1499" s="93"/>
      <c r="U1499" s="94"/>
      <c r="X1499" s="96"/>
      <c r="Y1499" s="97"/>
      <c r="Z1499" s="98"/>
      <c r="AA1499" s="98"/>
      <c r="AB1499" s="99"/>
    </row>
    <row r="1500" spans="1:28" ht="15.75" customHeight="1" x14ac:dyDescent="0.3">
      <c r="A1500" s="85"/>
      <c r="C1500" s="87"/>
      <c r="E1500" s="87"/>
      <c r="H1500" s="87"/>
      <c r="I1500" s="87"/>
      <c r="O1500" s="90"/>
      <c r="S1500" s="92"/>
      <c r="T1500" s="93"/>
      <c r="U1500" s="94"/>
      <c r="X1500" s="96"/>
      <c r="Y1500" s="97"/>
      <c r="Z1500" s="98"/>
      <c r="AA1500" s="98"/>
      <c r="AB1500" s="99"/>
    </row>
    <row r="1501" spans="1:28" ht="15.75" customHeight="1" x14ac:dyDescent="0.3">
      <c r="A1501" s="85"/>
      <c r="C1501" s="87"/>
      <c r="E1501" s="87"/>
      <c r="H1501" s="87"/>
      <c r="I1501" s="87"/>
      <c r="O1501" s="90"/>
      <c r="S1501" s="92"/>
      <c r="T1501" s="93"/>
      <c r="U1501" s="94"/>
      <c r="X1501" s="96"/>
      <c r="Y1501" s="97"/>
      <c r="Z1501" s="98"/>
      <c r="AA1501" s="98"/>
      <c r="AB1501" s="99"/>
    </row>
    <row r="1502" spans="1:28" ht="15.75" customHeight="1" x14ac:dyDescent="0.3">
      <c r="A1502" s="85"/>
      <c r="C1502" s="87"/>
      <c r="E1502" s="87"/>
      <c r="H1502" s="87"/>
      <c r="I1502" s="87"/>
      <c r="O1502" s="90"/>
      <c r="S1502" s="92"/>
      <c r="T1502" s="93"/>
      <c r="U1502" s="94"/>
      <c r="X1502" s="96"/>
      <c r="Y1502" s="97"/>
      <c r="Z1502" s="98"/>
      <c r="AA1502" s="98"/>
      <c r="AB1502" s="99"/>
    </row>
    <row r="1503" spans="1:28" ht="15.75" customHeight="1" x14ac:dyDescent="0.3">
      <c r="A1503" s="85"/>
      <c r="C1503" s="87"/>
      <c r="E1503" s="87"/>
      <c r="H1503" s="87"/>
      <c r="I1503" s="87"/>
      <c r="O1503" s="90"/>
      <c r="S1503" s="92"/>
      <c r="T1503" s="93"/>
      <c r="U1503" s="94"/>
      <c r="X1503" s="96"/>
      <c r="Y1503" s="97"/>
      <c r="Z1503" s="98"/>
      <c r="AA1503" s="98"/>
      <c r="AB1503" s="99"/>
    </row>
    <row r="1504" spans="1:28" ht="15.75" customHeight="1" x14ac:dyDescent="0.3">
      <c r="A1504" s="85"/>
      <c r="C1504" s="87"/>
      <c r="E1504" s="87"/>
      <c r="H1504" s="87"/>
      <c r="I1504" s="87"/>
      <c r="O1504" s="90"/>
      <c r="S1504" s="92"/>
      <c r="T1504" s="93"/>
      <c r="U1504" s="94"/>
      <c r="X1504" s="96"/>
      <c r="Y1504" s="97"/>
      <c r="Z1504" s="98"/>
      <c r="AA1504" s="98"/>
      <c r="AB1504" s="99"/>
    </row>
    <row r="1505" spans="1:28" ht="15.75" customHeight="1" x14ac:dyDescent="0.3">
      <c r="A1505" s="85"/>
      <c r="C1505" s="87"/>
      <c r="E1505" s="87"/>
      <c r="H1505" s="87"/>
      <c r="I1505" s="87"/>
      <c r="O1505" s="90"/>
      <c r="S1505" s="92"/>
      <c r="T1505" s="93"/>
      <c r="U1505" s="94"/>
      <c r="X1505" s="96"/>
      <c r="Y1505" s="97"/>
      <c r="Z1505" s="98"/>
      <c r="AA1505" s="98"/>
      <c r="AB1505" s="99"/>
    </row>
    <row r="1506" spans="1:28" ht="15.75" customHeight="1" x14ac:dyDescent="0.3">
      <c r="A1506" s="85"/>
      <c r="C1506" s="87"/>
      <c r="E1506" s="87"/>
      <c r="H1506" s="87"/>
      <c r="I1506" s="87"/>
      <c r="O1506" s="90"/>
      <c r="S1506" s="92"/>
      <c r="T1506" s="93"/>
      <c r="U1506" s="94"/>
      <c r="X1506" s="96"/>
      <c r="Y1506" s="97"/>
      <c r="Z1506" s="98"/>
      <c r="AA1506" s="98"/>
      <c r="AB1506" s="99"/>
    </row>
    <row r="1507" spans="1:28" ht="15.75" customHeight="1" x14ac:dyDescent="0.3">
      <c r="A1507" s="85"/>
      <c r="C1507" s="87"/>
      <c r="E1507" s="87"/>
      <c r="H1507" s="87"/>
      <c r="I1507" s="87"/>
      <c r="O1507" s="90"/>
      <c r="S1507" s="92"/>
      <c r="T1507" s="93"/>
      <c r="U1507" s="94"/>
      <c r="X1507" s="96"/>
      <c r="Y1507" s="97"/>
      <c r="Z1507" s="98"/>
      <c r="AA1507" s="98"/>
      <c r="AB1507" s="99"/>
    </row>
    <row r="1508" spans="1:28" ht="15.75" customHeight="1" x14ac:dyDescent="0.3">
      <c r="A1508" s="85"/>
      <c r="C1508" s="87"/>
      <c r="E1508" s="87"/>
      <c r="H1508" s="87"/>
      <c r="I1508" s="87"/>
      <c r="O1508" s="90"/>
      <c r="S1508" s="92"/>
      <c r="T1508" s="93"/>
      <c r="U1508" s="94"/>
      <c r="X1508" s="96"/>
      <c r="Y1508" s="97"/>
      <c r="Z1508" s="98"/>
      <c r="AA1508" s="98"/>
      <c r="AB1508" s="99"/>
    </row>
    <row r="1509" spans="1:28" ht="15.75" customHeight="1" x14ac:dyDescent="0.3">
      <c r="A1509" s="85"/>
      <c r="C1509" s="87"/>
      <c r="E1509" s="87"/>
      <c r="H1509" s="87"/>
      <c r="I1509" s="87"/>
      <c r="O1509" s="90"/>
      <c r="S1509" s="92"/>
      <c r="T1509" s="93"/>
      <c r="U1509" s="94"/>
      <c r="X1509" s="96"/>
      <c r="Y1509" s="97"/>
      <c r="Z1509" s="98"/>
      <c r="AA1509" s="98"/>
      <c r="AB1509" s="99"/>
    </row>
    <row r="1510" spans="1:28" ht="15.75" customHeight="1" x14ac:dyDescent="0.3">
      <c r="A1510" s="85"/>
      <c r="C1510" s="87"/>
      <c r="E1510" s="87"/>
      <c r="H1510" s="87"/>
      <c r="I1510" s="87"/>
      <c r="O1510" s="90"/>
      <c r="S1510" s="92"/>
      <c r="T1510" s="93"/>
      <c r="U1510" s="94"/>
      <c r="X1510" s="96"/>
      <c r="Y1510" s="97"/>
      <c r="Z1510" s="98"/>
      <c r="AA1510" s="98"/>
      <c r="AB1510" s="99"/>
    </row>
    <row r="1511" spans="1:28" ht="15.75" customHeight="1" x14ac:dyDescent="0.3">
      <c r="A1511" s="85"/>
      <c r="C1511" s="87"/>
      <c r="E1511" s="87"/>
      <c r="H1511" s="87"/>
      <c r="I1511" s="87"/>
      <c r="O1511" s="90"/>
      <c r="S1511" s="92"/>
      <c r="T1511" s="93"/>
      <c r="U1511" s="94"/>
      <c r="X1511" s="96"/>
      <c r="Y1511" s="97"/>
      <c r="Z1511" s="98"/>
      <c r="AA1511" s="98"/>
      <c r="AB1511" s="99"/>
    </row>
    <row r="1512" spans="1:28" ht="15.75" customHeight="1" x14ac:dyDescent="0.3">
      <c r="A1512" s="85"/>
      <c r="C1512" s="87"/>
      <c r="E1512" s="87"/>
      <c r="H1512" s="87"/>
      <c r="I1512" s="87"/>
      <c r="O1512" s="90"/>
      <c r="S1512" s="92"/>
      <c r="T1512" s="93"/>
      <c r="U1512" s="94"/>
      <c r="X1512" s="96"/>
      <c r="Y1512" s="97"/>
      <c r="Z1512" s="98"/>
      <c r="AA1512" s="98"/>
      <c r="AB1512" s="99"/>
    </row>
    <row r="1513" spans="1:28" ht="15.75" customHeight="1" x14ac:dyDescent="0.3">
      <c r="A1513" s="85"/>
      <c r="C1513" s="87"/>
      <c r="E1513" s="87"/>
      <c r="H1513" s="87"/>
      <c r="I1513" s="87"/>
      <c r="O1513" s="90"/>
      <c r="S1513" s="92"/>
      <c r="T1513" s="93"/>
      <c r="U1513" s="94"/>
      <c r="X1513" s="96"/>
      <c r="Y1513" s="97"/>
      <c r="Z1513" s="98"/>
      <c r="AA1513" s="98"/>
      <c r="AB1513" s="99"/>
    </row>
    <row r="1514" spans="1:28" ht="15.75" customHeight="1" x14ac:dyDescent="0.3">
      <c r="A1514" s="85"/>
      <c r="C1514" s="87"/>
      <c r="E1514" s="87"/>
      <c r="H1514" s="87"/>
      <c r="I1514" s="87"/>
      <c r="O1514" s="90"/>
      <c r="S1514" s="92"/>
      <c r="T1514" s="93"/>
      <c r="U1514" s="94"/>
      <c r="X1514" s="96"/>
      <c r="Y1514" s="97"/>
      <c r="Z1514" s="98"/>
      <c r="AA1514" s="98"/>
      <c r="AB1514" s="99"/>
    </row>
    <row r="1515" spans="1:28" ht="15.75" customHeight="1" x14ac:dyDescent="0.3">
      <c r="A1515" s="85"/>
      <c r="C1515" s="87"/>
      <c r="E1515" s="87"/>
      <c r="H1515" s="87"/>
      <c r="I1515" s="87"/>
      <c r="O1515" s="90"/>
      <c r="S1515" s="92"/>
      <c r="T1515" s="93"/>
      <c r="U1515" s="94"/>
      <c r="X1515" s="96"/>
      <c r="Y1515" s="97"/>
      <c r="Z1515" s="98"/>
      <c r="AA1515" s="98"/>
      <c r="AB1515" s="99"/>
    </row>
    <row r="1516" spans="1:28" ht="15.75" customHeight="1" x14ac:dyDescent="0.3">
      <c r="A1516" s="85"/>
      <c r="C1516" s="87"/>
      <c r="E1516" s="87"/>
      <c r="H1516" s="87"/>
      <c r="I1516" s="87"/>
      <c r="O1516" s="90"/>
      <c r="S1516" s="92"/>
      <c r="T1516" s="93"/>
      <c r="U1516" s="94"/>
      <c r="X1516" s="96"/>
      <c r="Y1516" s="97"/>
      <c r="Z1516" s="98"/>
      <c r="AA1516" s="98"/>
      <c r="AB1516" s="99"/>
    </row>
    <row r="1517" spans="1:28" ht="15.75" customHeight="1" x14ac:dyDescent="0.3">
      <c r="A1517" s="85"/>
      <c r="C1517" s="87"/>
      <c r="E1517" s="87"/>
      <c r="H1517" s="87"/>
      <c r="I1517" s="87"/>
      <c r="O1517" s="90"/>
      <c r="S1517" s="92"/>
      <c r="T1517" s="93"/>
      <c r="U1517" s="94"/>
      <c r="X1517" s="96"/>
      <c r="Y1517" s="97"/>
      <c r="Z1517" s="98"/>
      <c r="AA1517" s="98"/>
      <c r="AB1517" s="99"/>
    </row>
    <row r="1518" spans="1:28" ht="15.75" customHeight="1" x14ac:dyDescent="0.3">
      <c r="A1518" s="85"/>
      <c r="C1518" s="87"/>
      <c r="E1518" s="87"/>
      <c r="H1518" s="87"/>
      <c r="I1518" s="87"/>
      <c r="O1518" s="90"/>
      <c r="S1518" s="92"/>
      <c r="T1518" s="93"/>
      <c r="U1518" s="94"/>
      <c r="X1518" s="96"/>
      <c r="Y1518" s="97"/>
      <c r="Z1518" s="98"/>
      <c r="AA1518" s="98"/>
      <c r="AB1518" s="99"/>
    </row>
    <row r="1519" spans="1:28" ht="15.75" customHeight="1" x14ac:dyDescent="0.3">
      <c r="A1519" s="85"/>
      <c r="C1519" s="87"/>
      <c r="E1519" s="87"/>
      <c r="H1519" s="87"/>
      <c r="I1519" s="87"/>
      <c r="O1519" s="90"/>
      <c r="S1519" s="92"/>
      <c r="T1519" s="93"/>
      <c r="U1519" s="94"/>
      <c r="X1519" s="96"/>
      <c r="Y1519" s="97"/>
      <c r="Z1519" s="98"/>
      <c r="AA1519" s="98"/>
      <c r="AB1519" s="99"/>
    </row>
    <row r="1520" spans="1:28" ht="15.75" customHeight="1" x14ac:dyDescent="0.3">
      <c r="A1520" s="85"/>
      <c r="C1520" s="87"/>
      <c r="E1520" s="87"/>
      <c r="H1520" s="87"/>
      <c r="I1520" s="87"/>
      <c r="O1520" s="90"/>
      <c r="S1520" s="92"/>
      <c r="T1520" s="93"/>
      <c r="U1520" s="94"/>
      <c r="X1520" s="96"/>
      <c r="Y1520" s="97"/>
      <c r="Z1520" s="98"/>
      <c r="AA1520" s="98"/>
      <c r="AB1520" s="99"/>
    </row>
    <row r="1521" spans="1:28" ht="15.75" customHeight="1" x14ac:dyDescent="0.3">
      <c r="A1521" s="85"/>
      <c r="C1521" s="87"/>
      <c r="E1521" s="87"/>
      <c r="H1521" s="87"/>
      <c r="I1521" s="87"/>
      <c r="O1521" s="90"/>
      <c r="S1521" s="92"/>
      <c r="T1521" s="93"/>
      <c r="U1521" s="94"/>
      <c r="X1521" s="96"/>
      <c r="Y1521" s="97"/>
      <c r="Z1521" s="98"/>
      <c r="AA1521" s="98"/>
      <c r="AB1521" s="99"/>
    </row>
    <row r="1522" spans="1:28" ht="15.75" customHeight="1" x14ac:dyDescent="0.3">
      <c r="A1522" s="85"/>
      <c r="C1522" s="87"/>
      <c r="E1522" s="87"/>
      <c r="H1522" s="87"/>
      <c r="I1522" s="87"/>
      <c r="O1522" s="90"/>
      <c r="S1522" s="92"/>
      <c r="T1522" s="93"/>
      <c r="U1522" s="94"/>
      <c r="X1522" s="96"/>
      <c r="Y1522" s="97"/>
      <c r="Z1522" s="98"/>
      <c r="AA1522" s="98"/>
      <c r="AB1522" s="99"/>
    </row>
    <row r="1523" spans="1:28" ht="15.75" customHeight="1" x14ac:dyDescent="0.3">
      <c r="A1523" s="85"/>
      <c r="C1523" s="87"/>
      <c r="E1523" s="87"/>
      <c r="H1523" s="87"/>
      <c r="I1523" s="87"/>
      <c r="O1523" s="90"/>
      <c r="S1523" s="92"/>
      <c r="T1523" s="93"/>
      <c r="U1523" s="94"/>
      <c r="X1523" s="96"/>
      <c r="Y1523" s="97"/>
      <c r="Z1523" s="98"/>
      <c r="AA1523" s="98"/>
      <c r="AB1523" s="99"/>
    </row>
    <row r="1524" spans="1:28" ht="15.75" customHeight="1" x14ac:dyDescent="0.3">
      <c r="A1524" s="85"/>
      <c r="C1524" s="87"/>
      <c r="E1524" s="87"/>
      <c r="H1524" s="87"/>
      <c r="I1524" s="87"/>
      <c r="O1524" s="90"/>
      <c r="S1524" s="92"/>
      <c r="T1524" s="93"/>
      <c r="U1524" s="94"/>
      <c r="X1524" s="96"/>
      <c r="Y1524" s="97"/>
      <c r="Z1524" s="98"/>
      <c r="AA1524" s="98"/>
      <c r="AB1524" s="99"/>
    </row>
    <row r="1525" spans="1:28" ht="15.75" customHeight="1" x14ac:dyDescent="0.3">
      <c r="A1525" s="85"/>
      <c r="C1525" s="87"/>
      <c r="E1525" s="87"/>
      <c r="H1525" s="87"/>
      <c r="I1525" s="87"/>
      <c r="O1525" s="90"/>
      <c r="S1525" s="92"/>
      <c r="T1525" s="93"/>
      <c r="U1525" s="94"/>
      <c r="X1525" s="96"/>
      <c r="Y1525" s="97"/>
      <c r="Z1525" s="98"/>
      <c r="AA1525" s="98"/>
      <c r="AB1525" s="99"/>
    </row>
    <row r="1526" spans="1:28" ht="15.75" customHeight="1" x14ac:dyDescent="0.3">
      <c r="A1526" s="85"/>
      <c r="C1526" s="87"/>
      <c r="E1526" s="87"/>
      <c r="H1526" s="87"/>
      <c r="I1526" s="87"/>
      <c r="O1526" s="90"/>
      <c r="S1526" s="92"/>
      <c r="T1526" s="93"/>
      <c r="U1526" s="94"/>
      <c r="X1526" s="96"/>
      <c r="Y1526" s="97"/>
      <c r="Z1526" s="98"/>
      <c r="AA1526" s="98"/>
      <c r="AB1526" s="99"/>
    </row>
    <row r="1527" spans="1:28" ht="15.75" customHeight="1" x14ac:dyDescent="0.3">
      <c r="A1527" s="85"/>
      <c r="C1527" s="87"/>
      <c r="E1527" s="87"/>
      <c r="H1527" s="87"/>
      <c r="I1527" s="87"/>
      <c r="O1527" s="90"/>
      <c r="S1527" s="92"/>
      <c r="T1527" s="93"/>
      <c r="U1527" s="94"/>
      <c r="X1527" s="96"/>
      <c r="Y1527" s="97"/>
      <c r="Z1527" s="98"/>
      <c r="AA1527" s="98"/>
      <c r="AB1527" s="99"/>
    </row>
    <row r="1528" spans="1:28" ht="15.75" customHeight="1" x14ac:dyDescent="0.3">
      <c r="A1528" s="85"/>
      <c r="C1528" s="87"/>
      <c r="E1528" s="87"/>
      <c r="H1528" s="87"/>
      <c r="I1528" s="87"/>
      <c r="O1528" s="90"/>
      <c r="S1528" s="92"/>
      <c r="T1528" s="93"/>
      <c r="U1528" s="94"/>
      <c r="X1528" s="96"/>
      <c r="Y1528" s="97"/>
      <c r="Z1528" s="98"/>
      <c r="AA1528" s="98"/>
      <c r="AB1528" s="99"/>
    </row>
    <row r="1529" spans="1:28" ht="15.75" customHeight="1" x14ac:dyDescent="0.3">
      <c r="A1529" s="85"/>
      <c r="C1529" s="87"/>
      <c r="E1529" s="87"/>
      <c r="H1529" s="87"/>
      <c r="I1529" s="87"/>
      <c r="O1529" s="90"/>
      <c r="S1529" s="92"/>
      <c r="T1529" s="93"/>
      <c r="U1529" s="94"/>
      <c r="X1529" s="96"/>
      <c r="Y1529" s="97"/>
      <c r="Z1529" s="98"/>
      <c r="AA1529" s="98"/>
      <c r="AB1529" s="99"/>
    </row>
    <row r="1530" spans="1:28" ht="15.75" customHeight="1" x14ac:dyDescent="0.3">
      <c r="A1530" s="85"/>
      <c r="C1530" s="87"/>
      <c r="E1530" s="87"/>
      <c r="H1530" s="87"/>
      <c r="I1530" s="87"/>
      <c r="O1530" s="90"/>
      <c r="S1530" s="92"/>
      <c r="T1530" s="93"/>
      <c r="U1530" s="94"/>
      <c r="X1530" s="96"/>
      <c r="Y1530" s="97"/>
      <c r="Z1530" s="98"/>
      <c r="AA1530" s="98"/>
      <c r="AB1530" s="99"/>
    </row>
    <row r="1531" spans="1:28" ht="15.75" customHeight="1" x14ac:dyDescent="0.3">
      <c r="A1531" s="85"/>
      <c r="C1531" s="87"/>
      <c r="E1531" s="87"/>
      <c r="H1531" s="87"/>
      <c r="I1531" s="87"/>
      <c r="O1531" s="90"/>
      <c r="S1531" s="92"/>
      <c r="T1531" s="93"/>
      <c r="U1531" s="94"/>
      <c r="X1531" s="96"/>
      <c r="Y1531" s="97"/>
      <c r="Z1531" s="98"/>
      <c r="AA1531" s="98"/>
      <c r="AB1531" s="99"/>
    </row>
    <row r="1532" spans="1:28" ht="15.75" customHeight="1" x14ac:dyDescent="0.3">
      <c r="A1532" s="85"/>
      <c r="C1532" s="87"/>
      <c r="E1532" s="87"/>
      <c r="H1532" s="87"/>
      <c r="I1532" s="87"/>
      <c r="O1532" s="90"/>
      <c r="S1532" s="92"/>
      <c r="T1532" s="93"/>
      <c r="U1532" s="94"/>
      <c r="X1532" s="96"/>
      <c r="Y1532" s="97"/>
      <c r="Z1532" s="98"/>
      <c r="AA1532" s="98"/>
      <c r="AB1532" s="99"/>
    </row>
    <row r="1533" spans="1:28" ht="15.75" customHeight="1" x14ac:dyDescent="0.3">
      <c r="A1533" s="85"/>
      <c r="C1533" s="87"/>
      <c r="E1533" s="87"/>
      <c r="H1533" s="87"/>
      <c r="I1533" s="87"/>
      <c r="O1533" s="90"/>
      <c r="S1533" s="92"/>
      <c r="T1533" s="93"/>
      <c r="U1533" s="94"/>
      <c r="X1533" s="96"/>
      <c r="Y1533" s="97"/>
      <c r="Z1533" s="98"/>
      <c r="AA1533" s="98"/>
      <c r="AB1533" s="99"/>
    </row>
    <row r="1534" spans="1:28" ht="15.75" customHeight="1" x14ac:dyDescent="0.3">
      <c r="A1534" s="85"/>
      <c r="C1534" s="87"/>
      <c r="E1534" s="87"/>
      <c r="H1534" s="87"/>
      <c r="I1534" s="87"/>
      <c r="O1534" s="90"/>
      <c r="S1534" s="92"/>
      <c r="T1534" s="93"/>
      <c r="U1534" s="94"/>
      <c r="X1534" s="96"/>
      <c r="Y1534" s="97"/>
      <c r="Z1534" s="98"/>
      <c r="AA1534" s="98"/>
      <c r="AB1534" s="99"/>
    </row>
    <row r="1535" spans="1:28" ht="15.75" customHeight="1" x14ac:dyDescent="0.3">
      <c r="A1535" s="85"/>
      <c r="C1535" s="87"/>
      <c r="E1535" s="87"/>
      <c r="H1535" s="87"/>
      <c r="I1535" s="87"/>
      <c r="O1535" s="90"/>
      <c r="S1535" s="92"/>
      <c r="T1535" s="93"/>
      <c r="U1535" s="94"/>
      <c r="X1535" s="96"/>
      <c r="Y1535" s="97"/>
      <c r="Z1535" s="98"/>
      <c r="AA1535" s="98"/>
      <c r="AB1535" s="99"/>
    </row>
    <row r="1536" spans="1:28" ht="15.75" customHeight="1" x14ac:dyDescent="0.3">
      <c r="A1536" s="85"/>
      <c r="C1536" s="87"/>
      <c r="E1536" s="87"/>
      <c r="H1536" s="87"/>
      <c r="I1536" s="87"/>
      <c r="O1536" s="90"/>
      <c r="S1536" s="92"/>
      <c r="T1536" s="93"/>
      <c r="U1536" s="94"/>
      <c r="X1536" s="96"/>
      <c r="Y1536" s="97"/>
      <c r="Z1536" s="98"/>
      <c r="AA1536" s="98"/>
      <c r="AB1536" s="99"/>
    </row>
    <row r="1537" spans="1:28" ht="15.75" customHeight="1" x14ac:dyDescent="0.3">
      <c r="A1537" s="85"/>
      <c r="C1537" s="87"/>
      <c r="E1537" s="87"/>
      <c r="H1537" s="87"/>
      <c r="I1537" s="87"/>
      <c r="O1537" s="90"/>
      <c r="S1537" s="92"/>
      <c r="T1537" s="93"/>
      <c r="U1537" s="94"/>
      <c r="X1537" s="96"/>
      <c r="Y1537" s="97"/>
      <c r="Z1537" s="98"/>
      <c r="AA1537" s="98"/>
      <c r="AB1537" s="99"/>
    </row>
    <row r="1538" spans="1:28" ht="15.75" customHeight="1" x14ac:dyDescent="0.3">
      <c r="A1538" s="85"/>
      <c r="C1538" s="87"/>
      <c r="E1538" s="87"/>
      <c r="H1538" s="87"/>
      <c r="I1538" s="87"/>
      <c r="O1538" s="90"/>
      <c r="S1538" s="92"/>
      <c r="T1538" s="93"/>
      <c r="U1538" s="94"/>
      <c r="X1538" s="96"/>
      <c r="Y1538" s="97"/>
      <c r="Z1538" s="98"/>
      <c r="AA1538" s="98"/>
      <c r="AB1538" s="99"/>
    </row>
    <row r="1539" spans="1:28" ht="15.75" customHeight="1" x14ac:dyDescent="0.3">
      <c r="A1539" s="85"/>
      <c r="C1539" s="87"/>
      <c r="E1539" s="87"/>
      <c r="H1539" s="87"/>
      <c r="I1539" s="87"/>
      <c r="O1539" s="90"/>
      <c r="S1539" s="92"/>
      <c r="T1539" s="93"/>
      <c r="U1539" s="94"/>
      <c r="X1539" s="96"/>
      <c r="Y1539" s="97"/>
      <c r="Z1539" s="98"/>
      <c r="AA1539" s="98"/>
      <c r="AB1539" s="99"/>
    </row>
    <row r="1540" spans="1:28" ht="15.75" customHeight="1" x14ac:dyDescent="0.3">
      <c r="A1540" s="85"/>
      <c r="C1540" s="87"/>
      <c r="E1540" s="87"/>
      <c r="H1540" s="87"/>
      <c r="I1540" s="87"/>
      <c r="O1540" s="90"/>
      <c r="S1540" s="92"/>
      <c r="T1540" s="93"/>
      <c r="U1540" s="94"/>
      <c r="X1540" s="96"/>
      <c r="Y1540" s="97"/>
      <c r="Z1540" s="98"/>
      <c r="AA1540" s="98"/>
      <c r="AB1540" s="99"/>
    </row>
    <row r="1541" spans="1:28" ht="15.75" customHeight="1" x14ac:dyDescent="0.3">
      <c r="A1541" s="85"/>
      <c r="C1541" s="87"/>
      <c r="E1541" s="87"/>
      <c r="H1541" s="87"/>
      <c r="I1541" s="87"/>
      <c r="O1541" s="90"/>
      <c r="S1541" s="92"/>
      <c r="T1541" s="93"/>
      <c r="U1541" s="94"/>
      <c r="X1541" s="96"/>
      <c r="Y1541" s="97"/>
      <c r="Z1541" s="98"/>
      <c r="AA1541" s="98"/>
      <c r="AB1541" s="99"/>
    </row>
    <row r="1542" spans="1:28" ht="15.75" customHeight="1" x14ac:dyDescent="0.3">
      <c r="A1542" s="85"/>
      <c r="C1542" s="87"/>
      <c r="E1542" s="87"/>
      <c r="H1542" s="87"/>
      <c r="I1542" s="87"/>
      <c r="O1542" s="90"/>
      <c r="S1542" s="92"/>
      <c r="T1542" s="93"/>
      <c r="U1542" s="94"/>
      <c r="X1542" s="96"/>
      <c r="Y1542" s="97"/>
      <c r="Z1542" s="98"/>
      <c r="AA1542" s="98"/>
      <c r="AB1542" s="99"/>
    </row>
    <row r="1543" spans="1:28" ht="15.75" customHeight="1" x14ac:dyDescent="0.3">
      <c r="A1543" s="85"/>
      <c r="C1543" s="87"/>
      <c r="E1543" s="87"/>
      <c r="H1543" s="87"/>
      <c r="I1543" s="87"/>
      <c r="O1543" s="90"/>
      <c r="S1543" s="92"/>
      <c r="T1543" s="93"/>
      <c r="U1543" s="94"/>
      <c r="X1543" s="96"/>
      <c r="Y1543" s="97"/>
      <c r="Z1543" s="98"/>
      <c r="AA1543" s="98"/>
      <c r="AB1543" s="99"/>
    </row>
    <row r="1544" spans="1:28" ht="15.75" customHeight="1" x14ac:dyDescent="0.3">
      <c r="A1544" s="85"/>
      <c r="C1544" s="87"/>
      <c r="E1544" s="87"/>
      <c r="H1544" s="87"/>
      <c r="I1544" s="87"/>
      <c r="O1544" s="90"/>
      <c r="S1544" s="92"/>
      <c r="T1544" s="93"/>
      <c r="U1544" s="94"/>
      <c r="X1544" s="96"/>
      <c r="Y1544" s="97"/>
      <c r="Z1544" s="98"/>
      <c r="AA1544" s="98"/>
      <c r="AB1544" s="99"/>
    </row>
    <row r="1545" spans="1:28" ht="15.75" customHeight="1" x14ac:dyDescent="0.3">
      <c r="A1545" s="85"/>
      <c r="C1545" s="87"/>
      <c r="E1545" s="87"/>
      <c r="H1545" s="87"/>
      <c r="I1545" s="87"/>
      <c r="O1545" s="90"/>
      <c r="S1545" s="92"/>
      <c r="T1545" s="93"/>
      <c r="U1545" s="94"/>
      <c r="X1545" s="96"/>
      <c r="Y1545" s="97"/>
      <c r="Z1545" s="98"/>
      <c r="AA1545" s="98"/>
      <c r="AB1545" s="99"/>
    </row>
    <row r="1546" spans="1:28" ht="15.75" customHeight="1" x14ac:dyDescent="0.3">
      <c r="A1546" s="85"/>
      <c r="C1546" s="87"/>
      <c r="E1546" s="87"/>
      <c r="H1546" s="87"/>
      <c r="I1546" s="87"/>
      <c r="O1546" s="90"/>
      <c r="S1546" s="92"/>
      <c r="T1546" s="93"/>
      <c r="U1546" s="94"/>
      <c r="X1546" s="96"/>
      <c r="Y1546" s="97"/>
      <c r="Z1546" s="98"/>
      <c r="AA1546" s="98"/>
      <c r="AB1546" s="99"/>
    </row>
    <row r="1547" spans="1:28" ht="15.75" customHeight="1" x14ac:dyDescent="0.3">
      <c r="A1547" s="85"/>
      <c r="C1547" s="87"/>
      <c r="E1547" s="87"/>
      <c r="H1547" s="87"/>
      <c r="I1547" s="87"/>
      <c r="O1547" s="90"/>
      <c r="S1547" s="92"/>
      <c r="T1547" s="93"/>
      <c r="U1547" s="94"/>
      <c r="X1547" s="96"/>
      <c r="Y1547" s="97"/>
      <c r="Z1547" s="98"/>
      <c r="AA1547" s="98"/>
      <c r="AB1547" s="99"/>
    </row>
    <row r="1548" spans="1:28" ht="15.75" customHeight="1" x14ac:dyDescent="0.3">
      <c r="A1548" s="85"/>
      <c r="C1548" s="87"/>
      <c r="E1548" s="87"/>
      <c r="H1548" s="87"/>
      <c r="I1548" s="87"/>
      <c r="O1548" s="90"/>
      <c r="S1548" s="92"/>
      <c r="T1548" s="93"/>
      <c r="U1548" s="94"/>
      <c r="X1548" s="96"/>
      <c r="Y1548" s="97"/>
      <c r="Z1548" s="98"/>
      <c r="AA1548" s="98"/>
      <c r="AB1548" s="99"/>
    </row>
    <row r="1549" spans="1:28" ht="15.75" customHeight="1" x14ac:dyDescent="0.3">
      <c r="A1549" s="85"/>
      <c r="C1549" s="87"/>
      <c r="E1549" s="87"/>
      <c r="H1549" s="87"/>
      <c r="I1549" s="87"/>
      <c r="O1549" s="90"/>
      <c r="S1549" s="92"/>
      <c r="T1549" s="93"/>
      <c r="U1549" s="94"/>
      <c r="X1549" s="96"/>
      <c r="Y1549" s="97"/>
      <c r="Z1549" s="98"/>
      <c r="AA1549" s="98"/>
      <c r="AB1549" s="99"/>
    </row>
    <row r="1550" spans="1:28" ht="15.75" customHeight="1" x14ac:dyDescent="0.3">
      <c r="A1550" s="85"/>
      <c r="C1550" s="87"/>
      <c r="E1550" s="87"/>
      <c r="H1550" s="87"/>
      <c r="I1550" s="87"/>
      <c r="O1550" s="90"/>
      <c r="S1550" s="92"/>
      <c r="T1550" s="93"/>
      <c r="U1550" s="94"/>
      <c r="X1550" s="96"/>
      <c r="Y1550" s="97"/>
      <c r="Z1550" s="98"/>
      <c r="AA1550" s="98"/>
      <c r="AB1550" s="99"/>
    </row>
    <row r="1551" spans="1:28" ht="15.75" customHeight="1" x14ac:dyDescent="0.3">
      <c r="A1551" s="85"/>
      <c r="C1551" s="87"/>
      <c r="E1551" s="87"/>
      <c r="H1551" s="87"/>
      <c r="I1551" s="87"/>
      <c r="O1551" s="90"/>
      <c r="S1551" s="92"/>
      <c r="T1551" s="93"/>
      <c r="U1551" s="94"/>
      <c r="X1551" s="96"/>
      <c r="Y1551" s="97"/>
      <c r="Z1551" s="98"/>
      <c r="AA1551" s="98"/>
      <c r="AB1551" s="99"/>
    </row>
    <row r="1552" spans="1:28" ht="15.75" customHeight="1" x14ac:dyDescent="0.3">
      <c r="A1552" s="85"/>
      <c r="C1552" s="87"/>
      <c r="E1552" s="87"/>
      <c r="H1552" s="87"/>
      <c r="I1552" s="87"/>
      <c r="O1552" s="90"/>
      <c r="S1552" s="92"/>
      <c r="T1552" s="93"/>
      <c r="U1552" s="94"/>
      <c r="X1552" s="96"/>
      <c r="Y1552" s="97"/>
      <c r="Z1552" s="98"/>
      <c r="AA1552" s="98"/>
      <c r="AB1552" s="99"/>
    </row>
    <row r="1553" spans="1:28" ht="15.75" customHeight="1" x14ac:dyDescent="0.3">
      <c r="A1553" s="85"/>
      <c r="C1553" s="87"/>
      <c r="E1553" s="87"/>
      <c r="H1553" s="87"/>
      <c r="I1553" s="87"/>
      <c r="O1553" s="90"/>
      <c r="S1553" s="92"/>
      <c r="T1553" s="93"/>
      <c r="U1553" s="94"/>
      <c r="X1553" s="96"/>
      <c r="Y1553" s="97"/>
      <c r="Z1553" s="98"/>
      <c r="AA1553" s="98"/>
      <c r="AB1553" s="99"/>
    </row>
    <row r="1554" spans="1:28" ht="15.75" customHeight="1" x14ac:dyDescent="0.3">
      <c r="A1554" s="85"/>
      <c r="C1554" s="87"/>
      <c r="E1554" s="87"/>
      <c r="H1554" s="87"/>
      <c r="I1554" s="87"/>
      <c r="O1554" s="90"/>
      <c r="S1554" s="92"/>
      <c r="T1554" s="93"/>
      <c r="U1554" s="94"/>
      <c r="X1554" s="96"/>
      <c r="Y1554" s="97"/>
      <c r="Z1554" s="98"/>
      <c r="AA1554" s="98"/>
      <c r="AB1554" s="99"/>
    </row>
    <row r="1555" spans="1:28" ht="15.75" customHeight="1" x14ac:dyDescent="0.3">
      <c r="A1555" s="85"/>
      <c r="C1555" s="87"/>
      <c r="E1555" s="87"/>
      <c r="H1555" s="87"/>
      <c r="I1555" s="87"/>
      <c r="O1555" s="90"/>
      <c r="S1555" s="92"/>
      <c r="T1555" s="93"/>
      <c r="U1555" s="94"/>
      <c r="X1555" s="96"/>
      <c r="Y1555" s="97"/>
      <c r="Z1555" s="98"/>
      <c r="AA1555" s="98"/>
      <c r="AB1555" s="99"/>
    </row>
    <row r="1556" spans="1:28" ht="15.75" customHeight="1" x14ac:dyDescent="0.3">
      <c r="A1556" s="85"/>
      <c r="C1556" s="87"/>
      <c r="E1556" s="87"/>
      <c r="H1556" s="87"/>
      <c r="I1556" s="87"/>
      <c r="O1556" s="90"/>
      <c r="S1556" s="92"/>
      <c r="T1556" s="93"/>
      <c r="U1556" s="94"/>
      <c r="X1556" s="96"/>
      <c r="Y1556" s="97"/>
      <c r="Z1556" s="98"/>
      <c r="AA1556" s="98"/>
      <c r="AB1556" s="99"/>
    </row>
    <row r="1557" spans="1:28" ht="15.75" customHeight="1" x14ac:dyDescent="0.3">
      <c r="A1557" s="85"/>
      <c r="C1557" s="87"/>
      <c r="E1557" s="87"/>
      <c r="H1557" s="87"/>
      <c r="I1557" s="87"/>
      <c r="O1557" s="90"/>
      <c r="S1557" s="92"/>
      <c r="T1557" s="93"/>
      <c r="U1557" s="94"/>
      <c r="X1557" s="96"/>
      <c r="Y1557" s="97"/>
      <c r="Z1557" s="98"/>
      <c r="AA1557" s="98"/>
      <c r="AB1557" s="99"/>
    </row>
    <row r="1558" spans="1:28" ht="15.75" customHeight="1" x14ac:dyDescent="0.3">
      <c r="A1558" s="85"/>
      <c r="C1558" s="87"/>
      <c r="E1558" s="87"/>
      <c r="H1558" s="87"/>
      <c r="I1558" s="87"/>
      <c r="O1558" s="90"/>
      <c r="S1558" s="92"/>
      <c r="T1558" s="93"/>
      <c r="U1558" s="94"/>
      <c r="X1558" s="96"/>
      <c r="Y1558" s="97"/>
      <c r="Z1558" s="98"/>
      <c r="AA1558" s="98"/>
      <c r="AB1558" s="99"/>
    </row>
    <row r="1559" spans="1:28" ht="15.75" customHeight="1" x14ac:dyDescent="0.3">
      <c r="A1559" s="85"/>
      <c r="C1559" s="87"/>
      <c r="E1559" s="87"/>
      <c r="H1559" s="87"/>
      <c r="I1559" s="87"/>
      <c r="O1559" s="90"/>
      <c r="S1559" s="92"/>
      <c r="T1559" s="93"/>
      <c r="U1559" s="94"/>
      <c r="X1559" s="96"/>
      <c r="Y1559" s="97"/>
      <c r="Z1559" s="98"/>
      <c r="AA1559" s="98"/>
      <c r="AB1559" s="99"/>
    </row>
    <row r="1560" spans="1:28" ht="15.75" customHeight="1" x14ac:dyDescent="0.3">
      <c r="A1560" s="85"/>
      <c r="C1560" s="87"/>
      <c r="E1560" s="87"/>
      <c r="H1560" s="87"/>
      <c r="I1560" s="87"/>
      <c r="O1560" s="90"/>
      <c r="S1560" s="92"/>
      <c r="T1560" s="93"/>
      <c r="U1560" s="94"/>
      <c r="X1560" s="96"/>
      <c r="Y1560" s="97"/>
      <c r="Z1560" s="98"/>
      <c r="AA1560" s="98"/>
      <c r="AB1560" s="99"/>
    </row>
    <row r="1561" spans="1:28" ht="15.75" customHeight="1" x14ac:dyDescent="0.3">
      <c r="A1561" s="85"/>
      <c r="C1561" s="87"/>
      <c r="E1561" s="87"/>
      <c r="H1561" s="87"/>
      <c r="I1561" s="87"/>
      <c r="O1561" s="90"/>
      <c r="S1561" s="92"/>
      <c r="T1561" s="93"/>
      <c r="U1561" s="94"/>
      <c r="X1561" s="96"/>
      <c r="Y1561" s="97"/>
      <c r="Z1561" s="98"/>
      <c r="AA1561" s="98"/>
      <c r="AB1561" s="99"/>
    </row>
    <row r="1562" spans="1:28" ht="15.75" customHeight="1" x14ac:dyDescent="0.3">
      <c r="A1562" s="85"/>
      <c r="C1562" s="87"/>
      <c r="E1562" s="87"/>
      <c r="H1562" s="87"/>
      <c r="I1562" s="87"/>
      <c r="O1562" s="90"/>
      <c r="S1562" s="92"/>
      <c r="T1562" s="93"/>
      <c r="U1562" s="94"/>
      <c r="X1562" s="96"/>
      <c r="Y1562" s="97"/>
      <c r="Z1562" s="98"/>
      <c r="AA1562" s="98"/>
      <c r="AB1562" s="99"/>
    </row>
    <row r="1563" spans="1:28" ht="15.75" customHeight="1" x14ac:dyDescent="0.3">
      <c r="A1563" s="85"/>
      <c r="C1563" s="87"/>
      <c r="E1563" s="87"/>
      <c r="H1563" s="87"/>
      <c r="I1563" s="87"/>
      <c r="O1563" s="90"/>
      <c r="S1563" s="92"/>
      <c r="T1563" s="93"/>
      <c r="U1563" s="94"/>
      <c r="X1563" s="96"/>
      <c r="Y1563" s="97"/>
      <c r="Z1563" s="98"/>
      <c r="AA1563" s="98"/>
      <c r="AB1563" s="99"/>
    </row>
    <row r="1564" spans="1:28" ht="15.75" customHeight="1" x14ac:dyDescent="0.3">
      <c r="A1564" s="85"/>
      <c r="C1564" s="87"/>
      <c r="E1564" s="87"/>
      <c r="H1564" s="87"/>
      <c r="I1564" s="87"/>
      <c r="O1564" s="90"/>
      <c r="S1564" s="92"/>
      <c r="T1564" s="93"/>
      <c r="U1564" s="94"/>
      <c r="X1564" s="96"/>
      <c r="Y1564" s="97"/>
      <c r="Z1564" s="98"/>
      <c r="AA1564" s="98"/>
      <c r="AB1564" s="99"/>
    </row>
    <row r="1565" spans="1:28" ht="15.75" customHeight="1" x14ac:dyDescent="0.3">
      <c r="A1565" s="85"/>
      <c r="C1565" s="87"/>
      <c r="E1565" s="87"/>
      <c r="H1565" s="87"/>
      <c r="I1565" s="87"/>
      <c r="O1565" s="90"/>
      <c r="S1565" s="92"/>
      <c r="T1565" s="93"/>
      <c r="U1565" s="94"/>
      <c r="X1565" s="96"/>
      <c r="Y1565" s="97"/>
      <c r="Z1565" s="98"/>
      <c r="AA1565" s="98"/>
      <c r="AB1565" s="99"/>
    </row>
    <row r="1566" spans="1:28" ht="15.75" customHeight="1" x14ac:dyDescent="0.3">
      <c r="A1566" s="85"/>
      <c r="C1566" s="87"/>
      <c r="E1566" s="87"/>
      <c r="H1566" s="87"/>
      <c r="I1566" s="87"/>
      <c r="O1566" s="90"/>
      <c r="S1566" s="92"/>
      <c r="T1566" s="93"/>
      <c r="U1566" s="94"/>
      <c r="X1566" s="96"/>
      <c r="Y1566" s="97"/>
      <c r="Z1566" s="98"/>
      <c r="AA1566" s="98"/>
      <c r="AB1566" s="99"/>
    </row>
    <row r="1567" spans="1:28" ht="15.75" customHeight="1" x14ac:dyDescent="0.3">
      <c r="A1567" s="85"/>
      <c r="C1567" s="87"/>
      <c r="E1567" s="87"/>
      <c r="H1567" s="87"/>
      <c r="I1567" s="87"/>
      <c r="O1567" s="90"/>
      <c r="S1567" s="92"/>
      <c r="T1567" s="93"/>
      <c r="U1567" s="94"/>
      <c r="X1567" s="96"/>
      <c r="Y1567" s="97"/>
      <c r="Z1567" s="98"/>
      <c r="AA1567" s="98"/>
      <c r="AB1567" s="99"/>
    </row>
    <row r="1568" spans="1:28" ht="15.75" customHeight="1" x14ac:dyDescent="0.3">
      <c r="A1568" s="85"/>
      <c r="C1568" s="87"/>
      <c r="E1568" s="87"/>
      <c r="H1568" s="87"/>
      <c r="I1568" s="87"/>
      <c r="O1568" s="90"/>
      <c r="S1568" s="92"/>
      <c r="T1568" s="93"/>
      <c r="U1568" s="94"/>
      <c r="X1568" s="96"/>
      <c r="Y1568" s="97"/>
      <c r="Z1568" s="98"/>
      <c r="AA1568" s="98"/>
      <c r="AB1568" s="99"/>
    </row>
    <row r="1569" spans="1:28" ht="15.75" customHeight="1" x14ac:dyDescent="0.3">
      <c r="A1569" s="85"/>
      <c r="C1569" s="87"/>
      <c r="E1569" s="87"/>
      <c r="H1569" s="87"/>
      <c r="I1569" s="87"/>
      <c r="O1569" s="90"/>
      <c r="S1569" s="92"/>
      <c r="T1569" s="93"/>
      <c r="U1569" s="94"/>
      <c r="X1569" s="96"/>
      <c r="Y1569" s="97"/>
      <c r="Z1569" s="98"/>
      <c r="AA1569" s="98"/>
      <c r="AB1569" s="99"/>
    </row>
    <row r="1570" spans="1:28" ht="15.75" customHeight="1" x14ac:dyDescent="0.3">
      <c r="A1570" s="85"/>
      <c r="C1570" s="87"/>
      <c r="E1570" s="87"/>
      <c r="H1570" s="87"/>
      <c r="I1570" s="87"/>
      <c r="O1570" s="90"/>
      <c r="S1570" s="92"/>
      <c r="T1570" s="93"/>
      <c r="U1570" s="94"/>
      <c r="X1570" s="96"/>
      <c r="Y1570" s="97"/>
      <c r="Z1570" s="98"/>
      <c r="AA1570" s="98"/>
      <c r="AB1570" s="99"/>
    </row>
    <row r="1571" spans="1:28" ht="15.75" customHeight="1" x14ac:dyDescent="0.3">
      <c r="A1571" s="85"/>
      <c r="C1571" s="87"/>
      <c r="E1571" s="87"/>
      <c r="H1571" s="87"/>
      <c r="I1571" s="87"/>
      <c r="O1571" s="90"/>
      <c r="S1571" s="92"/>
      <c r="T1571" s="93"/>
      <c r="U1571" s="94"/>
      <c r="X1571" s="96"/>
      <c r="Y1571" s="97"/>
      <c r="Z1571" s="98"/>
      <c r="AA1571" s="98"/>
      <c r="AB1571" s="99"/>
    </row>
    <row r="1572" spans="1:28" ht="15.75" customHeight="1" x14ac:dyDescent="0.3">
      <c r="A1572" s="85"/>
      <c r="C1572" s="87"/>
      <c r="E1572" s="87"/>
      <c r="H1572" s="87"/>
      <c r="I1572" s="87"/>
      <c r="O1572" s="90"/>
      <c r="S1572" s="92"/>
      <c r="T1572" s="93"/>
      <c r="U1572" s="94"/>
      <c r="X1572" s="96"/>
      <c r="Y1572" s="97"/>
      <c r="Z1572" s="98"/>
      <c r="AA1572" s="98"/>
      <c r="AB1572" s="99"/>
    </row>
    <row r="1573" spans="1:28" ht="15.75" customHeight="1" x14ac:dyDescent="0.3">
      <c r="A1573" s="85"/>
      <c r="C1573" s="87"/>
      <c r="E1573" s="87"/>
      <c r="H1573" s="87"/>
      <c r="I1573" s="87"/>
      <c r="O1573" s="90"/>
      <c r="S1573" s="92"/>
      <c r="T1573" s="93"/>
      <c r="U1573" s="94"/>
      <c r="X1573" s="96"/>
      <c r="Y1573" s="97"/>
      <c r="Z1573" s="98"/>
      <c r="AA1573" s="98"/>
      <c r="AB1573" s="99"/>
    </row>
    <row r="1574" spans="1:28" ht="15.75" customHeight="1" x14ac:dyDescent="0.3">
      <c r="A1574" s="85"/>
      <c r="C1574" s="87"/>
      <c r="E1574" s="87"/>
      <c r="H1574" s="87"/>
      <c r="I1574" s="87"/>
      <c r="O1574" s="90"/>
      <c r="S1574" s="92"/>
      <c r="T1574" s="93"/>
      <c r="U1574" s="94"/>
      <c r="X1574" s="96"/>
      <c r="Y1574" s="97"/>
      <c r="Z1574" s="98"/>
      <c r="AA1574" s="98"/>
      <c r="AB1574" s="99"/>
    </row>
    <row r="1575" spans="1:28" ht="15.75" customHeight="1" x14ac:dyDescent="0.3">
      <c r="A1575" s="85"/>
      <c r="C1575" s="87"/>
      <c r="E1575" s="87"/>
      <c r="H1575" s="87"/>
      <c r="I1575" s="87"/>
      <c r="O1575" s="90"/>
      <c r="S1575" s="92"/>
      <c r="T1575" s="93"/>
      <c r="U1575" s="94"/>
      <c r="X1575" s="96"/>
      <c r="Y1575" s="97"/>
      <c r="Z1575" s="98"/>
      <c r="AA1575" s="98"/>
      <c r="AB1575" s="99"/>
    </row>
    <row r="1576" spans="1:28" ht="15.75" customHeight="1" x14ac:dyDescent="0.3">
      <c r="A1576" s="85"/>
      <c r="C1576" s="87"/>
      <c r="E1576" s="87"/>
      <c r="H1576" s="87"/>
      <c r="I1576" s="87"/>
      <c r="O1576" s="90"/>
      <c r="S1576" s="92"/>
      <c r="T1576" s="93"/>
      <c r="U1576" s="94"/>
      <c r="X1576" s="96"/>
      <c r="Y1576" s="97"/>
      <c r="Z1576" s="98"/>
      <c r="AA1576" s="98"/>
      <c r="AB1576" s="99"/>
    </row>
    <row r="1577" spans="1:28" ht="15.75" customHeight="1" x14ac:dyDescent="0.3">
      <c r="A1577" s="85"/>
      <c r="C1577" s="87"/>
      <c r="E1577" s="87"/>
      <c r="H1577" s="87"/>
      <c r="I1577" s="87"/>
      <c r="O1577" s="90"/>
      <c r="S1577" s="92"/>
      <c r="T1577" s="93"/>
      <c r="U1577" s="94"/>
      <c r="X1577" s="96"/>
      <c r="Y1577" s="97"/>
      <c r="Z1577" s="98"/>
      <c r="AA1577" s="98"/>
      <c r="AB1577" s="99"/>
    </row>
    <row r="1578" spans="1:28" ht="15.75" customHeight="1" x14ac:dyDescent="0.3">
      <c r="A1578" s="85"/>
      <c r="C1578" s="87"/>
      <c r="E1578" s="87"/>
      <c r="H1578" s="87"/>
      <c r="I1578" s="87"/>
      <c r="O1578" s="90"/>
      <c r="S1578" s="92"/>
      <c r="T1578" s="93"/>
      <c r="U1578" s="94"/>
      <c r="X1578" s="96"/>
      <c r="Y1578" s="97"/>
      <c r="Z1578" s="98"/>
      <c r="AA1578" s="98"/>
      <c r="AB1578" s="99"/>
    </row>
    <row r="1579" spans="1:28" ht="15.75" customHeight="1" x14ac:dyDescent="0.3">
      <c r="A1579" s="85"/>
      <c r="C1579" s="87"/>
      <c r="E1579" s="87"/>
      <c r="H1579" s="87"/>
      <c r="I1579" s="87"/>
      <c r="O1579" s="90"/>
      <c r="S1579" s="92"/>
      <c r="T1579" s="93"/>
      <c r="U1579" s="94"/>
      <c r="X1579" s="96"/>
      <c r="Y1579" s="97"/>
      <c r="Z1579" s="98"/>
      <c r="AA1579" s="98"/>
      <c r="AB1579" s="99"/>
    </row>
    <row r="1580" spans="1:28" ht="15.75" customHeight="1" x14ac:dyDescent="0.3">
      <c r="A1580" s="85"/>
      <c r="C1580" s="87"/>
      <c r="E1580" s="87"/>
      <c r="H1580" s="87"/>
      <c r="I1580" s="87"/>
      <c r="O1580" s="90"/>
      <c r="S1580" s="92"/>
      <c r="T1580" s="93"/>
      <c r="U1580" s="94"/>
      <c r="X1580" s="96"/>
      <c r="Y1580" s="97"/>
      <c r="Z1580" s="98"/>
      <c r="AA1580" s="98"/>
      <c r="AB1580" s="99"/>
    </row>
    <row r="1581" spans="1:28" ht="15.75" customHeight="1" x14ac:dyDescent="0.3">
      <c r="A1581" s="85"/>
      <c r="C1581" s="87"/>
      <c r="E1581" s="87"/>
      <c r="H1581" s="87"/>
      <c r="I1581" s="87"/>
      <c r="O1581" s="90"/>
      <c r="S1581" s="92"/>
      <c r="T1581" s="93"/>
      <c r="U1581" s="94"/>
      <c r="X1581" s="96"/>
      <c r="Y1581" s="97"/>
      <c r="Z1581" s="98"/>
      <c r="AA1581" s="98"/>
      <c r="AB1581" s="99"/>
    </row>
    <row r="1582" spans="1:28" ht="15.75" customHeight="1" x14ac:dyDescent="0.3">
      <c r="A1582" s="85"/>
      <c r="C1582" s="87"/>
      <c r="E1582" s="87"/>
      <c r="H1582" s="87"/>
      <c r="I1582" s="87"/>
      <c r="O1582" s="90"/>
      <c r="S1582" s="92"/>
      <c r="T1582" s="93"/>
      <c r="U1582" s="94"/>
      <c r="X1582" s="96"/>
      <c r="Y1582" s="97"/>
      <c r="Z1582" s="98"/>
      <c r="AA1582" s="98"/>
      <c r="AB1582" s="99"/>
    </row>
    <row r="1583" spans="1:28" ht="15.75" customHeight="1" x14ac:dyDescent="0.3">
      <c r="A1583" s="85"/>
      <c r="C1583" s="87"/>
      <c r="E1583" s="87"/>
      <c r="H1583" s="87"/>
      <c r="I1583" s="87"/>
      <c r="O1583" s="90"/>
      <c r="S1583" s="92"/>
      <c r="T1583" s="93"/>
      <c r="U1583" s="94"/>
      <c r="X1583" s="96"/>
      <c r="Y1583" s="97"/>
      <c r="Z1583" s="98"/>
      <c r="AA1583" s="98"/>
      <c r="AB1583" s="99"/>
    </row>
    <row r="1584" spans="1:28" ht="15.75" customHeight="1" x14ac:dyDescent="0.3">
      <c r="A1584" s="85"/>
      <c r="C1584" s="87"/>
      <c r="E1584" s="87"/>
      <c r="H1584" s="87"/>
      <c r="I1584" s="87"/>
      <c r="O1584" s="90"/>
      <c r="S1584" s="92"/>
      <c r="T1584" s="93"/>
      <c r="U1584" s="94"/>
      <c r="X1584" s="96"/>
      <c r="Y1584" s="97"/>
      <c r="Z1584" s="98"/>
      <c r="AA1584" s="98"/>
      <c r="AB1584" s="99"/>
    </row>
    <row r="1585" spans="1:28" ht="15.75" customHeight="1" x14ac:dyDescent="0.3">
      <c r="A1585" s="85"/>
      <c r="C1585" s="87"/>
      <c r="E1585" s="87"/>
      <c r="H1585" s="87"/>
      <c r="I1585" s="87"/>
      <c r="O1585" s="90"/>
      <c r="S1585" s="92"/>
      <c r="T1585" s="93"/>
      <c r="U1585" s="94"/>
      <c r="X1585" s="96"/>
      <c r="Y1585" s="97"/>
      <c r="Z1585" s="98"/>
      <c r="AA1585" s="98"/>
      <c r="AB1585" s="99"/>
    </row>
    <row r="1586" spans="1:28" ht="15.75" customHeight="1" x14ac:dyDescent="0.3">
      <c r="A1586" s="85"/>
      <c r="C1586" s="87"/>
      <c r="E1586" s="87"/>
      <c r="H1586" s="87"/>
      <c r="I1586" s="87"/>
      <c r="O1586" s="90"/>
      <c r="S1586" s="92"/>
      <c r="T1586" s="93"/>
      <c r="U1586" s="94"/>
      <c r="X1586" s="96"/>
      <c r="Y1586" s="97"/>
      <c r="Z1586" s="98"/>
      <c r="AA1586" s="98"/>
      <c r="AB1586" s="99"/>
    </row>
    <row r="1587" spans="1:28" ht="15.75" customHeight="1" x14ac:dyDescent="0.3">
      <c r="A1587" s="85"/>
      <c r="C1587" s="87"/>
      <c r="E1587" s="87"/>
      <c r="H1587" s="87"/>
      <c r="I1587" s="87"/>
      <c r="O1587" s="90"/>
      <c r="S1587" s="92"/>
      <c r="T1587" s="93"/>
      <c r="U1587" s="94"/>
      <c r="X1587" s="96"/>
      <c r="Y1587" s="97"/>
      <c r="Z1587" s="98"/>
      <c r="AA1587" s="98"/>
      <c r="AB1587" s="99"/>
    </row>
    <row r="1588" spans="1:28" ht="15.75" customHeight="1" x14ac:dyDescent="0.3">
      <c r="A1588" s="85"/>
      <c r="C1588" s="87"/>
      <c r="E1588" s="87"/>
      <c r="H1588" s="87"/>
      <c r="I1588" s="87"/>
      <c r="O1588" s="90"/>
      <c r="S1588" s="92"/>
      <c r="T1588" s="93"/>
      <c r="U1588" s="94"/>
      <c r="X1588" s="96"/>
      <c r="Y1588" s="97"/>
      <c r="Z1588" s="98"/>
      <c r="AA1588" s="98"/>
      <c r="AB1588" s="99"/>
    </row>
  </sheetData>
  <phoneticPr fontId="3" type="noConversion"/>
  <conditionalFormatting sqref="A2:A4 A9:A441 A587:A64807">
    <cfRule type="containsText" dxfId="58" priority="1803" operator="containsText" text="Monday">
      <formula>NOT(ISERROR(SEARCH("Monday",A2)))</formula>
    </cfRule>
  </conditionalFormatting>
  <conditionalFormatting sqref="A1:A4 A9:A441 A587:A1048576">
    <cfRule type="containsText" dxfId="57" priority="2071" operator="containsText" text="Tuesday">
      <formula>NOT(ISERROR(SEARCH("Tuesday",A1)))</formula>
    </cfRule>
    <cfRule type="containsText" dxfId="56" priority="2072" operator="containsText" text="Wednesday">
      <formula>NOT(ISERROR(SEARCH("Wednesday",A1)))</formula>
    </cfRule>
    <cfRule type="containsText" dxfId="55" priority="2073" operator="containsText" text="Thursday">
      <formula>NOT(ISERROR(SEARCH("Thursday",A1)))</formula>
    </cfRule>
    <cfRule type="containsText" dxfId="54" priority="2074" operator="containsText" text="Friday">
      <formula>NOT(ISERROR(SEARCH("Friday",A1)))</formula>
    </cfRule>
    <cfRule type="containsText" dxfId="53" priority="2075" operator="containsText" text="Saturday">
      <formula>NOT(ISERROR(SEARCH("Saturday",A1)))</formula>
    </cfRule>
    <cfRule type="containsText" dxfId="52" priority="2076" operator="containsText" text="Sunday">
      <formula>NOT(ISERROR(SEARCH("Sunday",A1)))</formula>
    </cfRule>
  </conditionalFormatting>
  <conditionalFormatting sqref="C1:C411">
    <cfRule type="notContainsBlanks" dxfId="51" priority="2069">
      <formula>LEN(TRIM(C1))&gt;0</formula>
    </cfRule>
  </conditionalFormatting>
  <conditionalFormatting sqref="C1:C411">
    <cfRule type="notContainsBlanks" dxfId="50" priority="1589">
      <formula>LEN(TRIM(C1))&gt;0</formula>
    </cfRule>
  </conditionalFormatting>
  <conditionalFormatting sqref="F2:F4 F56:F118">
    <cfRule type="notContainsBlanks" dxfId="49" priority="2000">
      <formula>LEN(TRIM(F2))&gt;0</formula>
    </cfRule>
  </conditionalFormatting>
  <conditionalFormatting sqref="O2:O441 O587:O64807">
    <cfRule type="containsText" dxfId="48" priority="1592" operator="containsText" text="On-hold">
      <formula>NOT(ISERROR(SEARCH("On-hold",O2)))</formula>
    </cfRule>
  </conditionalFormatting>
  <conditionalFormatting sqref="O1">
    <cfRule type="containsText" dxfId="47" priority="1717" operator="containsText" text="On-hold">
      <formula>NOT(ISERROR(SEARCH("On-hold",O1)))</formula>
    </cfRule>
  </conditionalFormatting>
  <conditionalFormatting sqref="Y2:Y1588">
    <cfRule type="expression" dxfId="46" priority="1978">
      <formula>Z2="Not Required"</formula>
    </cfRule>
    <cfRule type="expression" dxfId="45" priority="2077">
      <formula>Z2="Done"</formula>
    </cfRule>
    <cfRule type="expression" dxfId="44" priority="2078">
      <formula>AND(ISNUMBER(Y2),TRUNC(Y2)&lt;TODAY())</formula>
    </cfRule>
  </conditionalFormatting>
  <conditionalFormatting sqref="A5">
    <cfRule type="containsText" dxfId="43" priority="43" operator="containsText" text="Monday">
      <formula>NOT(ISERROR(SEARCH("Monday",A5)))</formula>
    </cfRule>
  </conditionalFormatting>
  <conditionalFormatting sqref="A5">
    <cfRule type="containsText" dxfId="42" priority="45" operator="containsText" text="Tuesday">
      <formula>NOT(ISERROR(SEARCH("Tuesday",A5)))</formula>
    </cfRule>
    <cfRule type="containsText" dxfId="41" priority="46" operator="containsText" text="Wednesday">
      <formula>NOT(ISERROR(SEARCH("Wednesday",A5)))</formula>
    </cfRule>
    <cfRule type="containsText" dxfId="40" priority="47" operator="containsText" text="Thursday">
      <formula>NOT(ISERROR(SEARCH("Thursday",A5)))</formula>
    </cfRule>
    <cfRule type="containsText" dxfId="39" priority="48" operator="containsText" text="Friday">
      <formula>NOT(ISERROR(SEARCH("Friday",A5)))</formula>
    </cfRule>
    <cfRule type="containsText" dxfId="38" priority="49" operator="containsText" text="Saturday">
      <formula>NOT(ISERROR(SEARCH("Saturday",A5)))</formula>
    </cfRule>
    <cfRule type="containsText" dxfId="37" priority="50" operator="containsText" text="Sunday">
      <formula>NOT(ISERROR(SEARCH("Sunday",A5)))</formula>
    </cfRule>
  </conditionalFormatting>
  <conditionalFormatting sqref="F5">
    <cfRule type="notContainsBlanks" dxfId="36" priority="44">
      <formula>LEN(TRIM(F5))&gt;0</formula>
    </cfRule>
  </conditionalFormatting>
  <conditionalFormatting sqref="A6:A8">
    <cfRule type="containsText" dxfId="35" priority="34" operator="containsText" text="Monday">
      <formula>NOT(ISERROR(SEARCH("Monday",A6)))</formula>
    </cfRule>
  </conditionalFormatting>
  <conditionalFormatting sqref="A6:A8">
    <cfRule type="containsText" dxfId="34" priority="36" operator="containsText" text="Tuesday">
      <formula>NOT(ISERROR(SEARCH("Tuesday",A6)))</formula>
    </cfRule>
    <cfRule type="containsText" dxfId="33" priority="37" operator="containsText" text="Wednesday">
      <formula>NOT(ISERROR(SEARCH("Wednesday",A6)))</formula>
    </cfRule>
    <cfRule type="containsText" dxfId="32" priority="38" operator="containsText" text="Thursday">
      <formula>NOT(ISERROR(SEARCH("Thursday",A6)))</formula>
    </cfRule>
    <cfRule type="containsText" dxfId="31" priority="39" operator="containsText" text="Friday">
      <formula>NOT(ISERROR(SEARCH("Friday",A6)))</formula>
    </cfRule>
    <cfRule type="containsText" dxfId="30" priority="40" operator="containsText" text="Saturday">
      <formula>NOT(ISERROR(SEARCH("Saturday",A6)))</formula>
    </cfRule>
    <cfRule type="containsText" dxfId="29" priority="41" operator="containsText" text="Sunday">
      <formula>NOT(ISERROR(SEARCH("Sunday",A6)))</formula>
    </cfRule>
  </conditionalFormatting>
  <conditionalFormatting sqref="F6:F49">
    <cfRule type="notContainsBlanks" dxfId="28" priority="35">
      <formula>LEN(TRIM(F6))&gt;0</formula>
    </cfRule>
  </conditionalFormatting>
  <conditionalFormatting sqref="F50">
    <cfRule type="notContainsBlanks" dxfId="27" priority="32">
      <formula>LEN(TRIM(F50))&gt;0</formula>
    </cfRule>
  </conditionalFormatting>
  <conditionalFormatting sqref="F51">
    <cfRule type="notContainsBlanks" dxfId="26" priority="31">
      <formula>LEN(TRIM(F51))&gt;0</formula>
    </cfRule>
  </conditionalFormatting>
  <conditionalFormatting sqref="F52:F54">
    <cfRule type="notContainsBlanks" dxfId="25" priority="30">
      <formula>LEN(TRIM(F52))&gt;0</formula>
    </cfRule>
  </conditionalFormatting>
  <conditionalFormatting sqref="F55">
    <cfRule type="notContainsBlanks" dxfId="24" priority="29">
      <formula>LEN(TRIM(F55))&gt;0</formula>
    </cfRule>
  </conditionalFormatting>
  <conditionalFormatting sqref="F57:F118">
    <cfRule type="cellIs" dxfId="23" priority="26" operator="equal">
      <formula>"Pass"</formula>
    </cfRule>
  </conditionalFormatting>
  <conditionalFormatting sqref="G118:G119">
    <cfRule type="notContainsBlanks" dxfId="22" priority="25">
      <formula>LEN(TRIM(G118))&gt;0</formula>
    </cfRule>
  </conditionalFormatting>
  <conditionalFormatting sqref="G118:G119">
    <cfRule type="cellIs" dxfId="21" priority="24" operator="equal">
      <formula>"Pass"</formula>
    </cfRule>
  </conditionalFormatting>
  <conditionalFormatting sqref="G121">
    <cfRule type="notContainsBlanks" dxfId="20" priority="23">
      <formula>LEN(TRIM(G121))&gt;0</formula>
    </cfRule>
  </conditionalFormatting>
  <conditionalFormatting sqref="G121">
    <cfRule type="cellIs" dxfId="19" priority="22" operator="equal">
      <formula>"Pass"</formula>
    </cfRule>
  </conditionalFormatting>
  <conditionalFormatting sqref="F135:F139">
    <cfRule type="cellIs" dxfId="18" priority="21" operator="equal">
      <formula>"Pass"</formula>
    </cfRule>
  </conditionalFormatting>
  <conditionalFormatting sqref="C429:C430">
    <cfRule type="notContainsBlanks" dxfId="17" priority="16">
      <formula>LEN(TRIM(C429))&gt;0</formula>
    </cfRule>
  </conditionalFormatting>
  <conditionalFormatting sqref="C429:C430">
    <cfRule type="notContainsBlanks" dxfId="16" priority="15">
      <formula>LEN(TRIM(C429))&gt;0</formula>
    </cfRule>
  </conditionalFormatting>
  <conditionalFormatting sqref="C432:C434">
    <cfRule type="notContainsBlanks" dxfId="15" priority="14">
      <formula>LEN(TRIM(C432))&gt;0</formula>
    </cfRule>
  </conditionalFormatting>
  <conditionalFormatting sqref="C432:C434">
    <cfRule type="notContainsBlanks" dxfId="14" priority="13">
      <formula>LEN(TRIM(C432))&gt;0</formula>
    </cfRule>
  </conditionalFormatting>
  <conditionalFormatting sqref="C436:C441">
    <cfRule type="notContainsBlanks" dxfId="13" priority="12">
      <formula>LEN(TRIM(C436))&gt;0</formula>
    </cfRule>
  </conditionalFormatting>
  <conditionalFormatting sqref="C436:C441">
    <cfRule type="notContainsBlanks" dxfId="12" priority="11">
      <formula>LEN(TRIM(C436))&gt;0</formula>
    </cfRule>
  </conditionalFormatting>
  <conditionalFormatting sqref="A443:A586">
    <cfRule type="containsText" dxfId="11" priority="4" operator="containsText" text="Monday">
      <formula>NOT(ISERROR(SEARCH("Monday",A443)))</formula>
    </cfRule>
  </conditionalFormatting>
  <conditionalFormatting sqref="A443:A586">
    <cfRule type="containsText" dxfId="10" priority="5" operator="containsText" text="Tuesday">
      <formula>NOT(ISERROR(SEARCH("Tuesday",A443)))</formula>
    </cfRule>
    <cfRule type="containsText" dxfId="9" priority="6" operator="containsText" text="Wednesday">
      <formula>NOT(ISERROR(SEARCH("Wednesday",A443)))</formula>
    </cfRule>
    <cfRule type="containsText" dxfId="8" priority="7" operator="containsText" text="Thursday">
      <formula>NOT(ISERROR(SEARCH("Thursday",A443)))</formula>
    </cfRule>
    <cfRule type="containsText" dxfId="7" priority="8" operator="containsText" text="Friday">
      <formula>NOT(ISERROR(SEARCH("Friday",A443)))</formula>
    </cfRule>
    <cfRule type="containsText" dxfId="6" priority="9" operator="containsText" text="Saturday">
      <formula>NOT(ISERROR(SEARCH("Saturday",A443)))</formula>
    </cfRule>
    <cfRule type="containsText" dxfId="5" priority="10" operator="containsText" text="Sunday">
      <formula>NOT(ISERROR(SEARCH("Sunday",A443)))</formula>
    </cfRule>
  </conditionalFormatting>
  <conditionalFormatting sqref="O443:O586">
    <cfRule type="containsText" dxfId="4" priority="3" operator="containsText" text="On-hold">
      <formula>NOT(ISERROR(SEARCH("On-hold",O443)))</formula>
    </cfRule>
  </conditionalFormatting>
  <conditionalFormatting sqref="C443:C586">
    <cfRule type="notContainsBlanks" dxfId="3" priority="2">
      <formula>LEN(TRIM(C443))&gt;0</formula>
    </cfRule>
  </conditionalFormatting>
  <conditionalFormatting sqref="C443:C586">
    <cfRule type="notContainsBlanks" dxfId="2" priority="1">
      <formula>LEN(TRIM(C443))&gt;0</formula>
    </cfRule>
  </conditionalFormatting>
  <dataValidations count="6">
    <dataValidation type="list" allowBlank="1" showErrorMessage="1" sqref="H2:H65 H112 H106 H115:H116 H118 H124:H125 H121 H127:H128 H130:H131 H135:H144 H146:H204 H207 H212 H215 H219:H222 H225 H233:H234 H240:H246 H251 H253:H254 H260:H261 H264 H266:H267 H269:H271 H227 H276:H277 H281:H285 H289:H290 H292:H293 H296 H298:H302 H304:H320 H322:H326 H334 H340:H346 H349:H358 H360 H364 H366:H407 H416 H418:H419 H409:H410 H423:H427 H430:H431 H433:H434 H436:H438 H441" xr:uid="{F589861B-321A-420E-883B-669E07D7D982}">
      <formula1>"Trafficking Sheet,Campaign Trafficking,Campaign Update,Reporting,Teams Chat/Call,Troubleshooting,Floodlights"</formula1>
    </dataValidation>
    <dataValidation type="list" allowBlank="1" showInputMessage="1" showErrorMessage="1" sqref="X1589:X2158" xr:uid="{EB8C276F-ADEE-4ABD-A199-07C6A0567514}">
      <formula1>"Utsav,Adarsh,Bhavya,Ganesh,Sahil,Namit"</formula1>
    </dataValidation>
    <dataValidation type="list" allowBlank="1" showErrorMessage="1" sqref="E2:E241 E246:E441" xr:uid="{F241E18A-CF56-4532-9BC8-EB98B54CB2C8}">
      <formula1>"Programmatic,Social,Display,Direct,Generic,Flashtalking"</formula1>
    </dataValidation>
    <dataValidation type="list" allowBlank="1" showInputMessage="1" showErrorMessage="1" sqref="T587:T1588 T2:T441 I2:I441 I587:I1588 X2:X1588" xr:uid="{37D10501-8330-4699-BDEB-A2FFE919537F}">
      <formula1>"Ajay,Adarsh,Ganesh,Namit"</formula1>
    </dataValidation>
    <dataValidation type="list" allowBlank="1" sqref="O2:O441 O587:O1370" xr:uid="{48A2FFF5-A843-418E-A074-AB52B29A947A}">
      <formula1>"In-process,On-hold,Feedback sent,Completed"</formula1>
    </dataValidation>
    <dataValidation type="list" allowBlank="1" sqref="U2:U441 U587:U1588" xr:uid="{68F8002F-81F3-43FD-9D0E-B656340D5A4D}">
      <formula1>"Pending,In-Process,Done,Not Required"</formula1>
    </dataValidation>
  </dataValidations>
  <hyperlinks>
    <hyperlink ref="F101" r:id="rId1" xr:uid="{3C254832-501F-4D83-83E2-5EA121A8B305}"/>
    <hyperlink ref="F102:F103" r:id="rId2" display="https://jira.publicismedia.com/browse/TAAGPNG-1930" xr:uid="{5AEC6735-1101-430D-A614-C4BC61C56165}"/>
    <hyperlink ref="F102" r:id="rId3" xr:uid="{8BDE9E02-F398-4E30-9BB8-EC9F6363EDB1}"/>
    <hyperlink ref="F103" r:id="rId4" xr:uid="{C4A93B2B-6D53-4757-83DA-5CBAEEFBAC5E}"/>
    <hyperlink ref="G119" r:id="rId5" xr:uid="{1EF0BC82-7347-4992-8752-0F97819A19C5}"/>
    <hyperlink ref="G121" r:id="rId6" xr:uid="{7122E852-59F7-4100-B597-DFD3DF411449}"/>
    <hyperlink ref="F129" r:id="rId7" xr:uid="{C6B41C3F-D014-4084-8E4B-2142806F99A6}"/>
    <hyperlink ref="G205" r:id="rId8" xr:uid="{4182FE86-7890-49C9-B238-2896605FEABC}"/>
    <hyperlink ref="G206" r:id="rId9" xr:uid="{00019F5F-8216-44BB-8209-7B77FF85CA5D}"/>
    <hyperlink ref="G320" r:id="rId10" xr:uid="{EA5C8A61-2C03-4DEA-84B8-4026AB1E6C0A}"/>
    <hyperlink ref="G321" r:id="rId11" xr:uid="{855DD3AC-3D9B-454A-8DF1-B2FC4FA5ADB4}"/>
    <hyperlink ref="G327" r:id="rId12" xr:uid="{B54AEE51-45DF-4B4E-96AA-1B37F4959DDC}"/>
    <hyperlink ref="G335" r:id="rId13" xr:uid="{BED5E0EE-59F8-467E-8799-9628E510D8EE}"/>
    <hyperlink ref="G336" r:id="rId14" xr:uid="{2143EE73-3878-4722-900C-1FFD4BC290C3}"/>
    <hyperlink ref="G407" r:id="rId15" xr:uid="{96114FEC-719B-43CD-904F-E4A151E750A6}"/>
    <hyperlink ref="G411" r:id="rId16" xr:uid="{69294B19-0B69-4700-B7DB-A275D127CE0B}"/>
    <hyperlink ref="G408" r:id="rId17" xr:uid="{31D93EE5-3384-4E55-AB14-FACAE5FB4356}"/>
    <hyperlink ref="G429" r:id="rId18" xr:uid="{50815561-CE78-42EC-8ADA-AE2853683373}"/>
    <hyperlink ref="G430" r:id="rId19" xr:uid="{51C16C8F-E586-4550-B812-BDAF719CCF8B}"/>
    <hyperlink ref="G432" r:id="rId20" xr:uid="{D9CE0D83-F085-49C3-AAE0-983B09940399}"/>
    <hyperlink ref="G468" r:id="rId21" display="https://jira.publicismedia.com/browse/TAAGVSEU-8134" xr:uid="{5A22B035-8A42-4098-A8AA-B27320A142A0}"/>
    <hyperlink ref="G469" r:id="rId22" display="https://jira.publicismedia.com/browse/TAAGVSEU-8134" xr:uid="{52CEB332-135B-4CF9-8BF3-4644889406EA}"/>
    <hyperlink ref="G470" r:id="rId23" display="https://jira.publicismedia.com/browse/TAAGVSEU-8134" xr:uid="{8A30F0F5-AF43-44B0-994C-574DBED8A934}"/>
    <hyperlink ref="G471" r:id="rId24" display="https://jira.publicismedia.com/browse/TAAGVSEU-8134" xr:uid="{5C8DA15E-805D-4EA1-BCCF-C40FB713B979}"/>
    <hyperlink ref="G474" r:id="rId25" display="https://jira.publicismedia.com/browse/TAAGVSEU-8134" xr:uid="{799959B4-DC18-4990-A9C1-3BF1EBA370DA}"/>
    <hyperlink ref="G475" r:id="rId26" display="https://jira.publicismedia.com/browse/TAAGVSEU-8134" xr:uid="{C5FC70EB-1027-4740-8B9E-9047C30A410F}"/>
    <hyperlink ref="G476" r:id="rId27" display="https://jira.publicismedia.com/browse/TAAGVSEU-8134" xr:uid="{34E3B84E-4F13-4AE4-8489-E7B6E006AFC9}"/>
    <hyperlink ref="G477" r:id="rId28" display="https://jira.publicismedia.com/browse/TAAGVSEU-8134" xr:uid="{72ED1CFC-B5D5-46A9-810C-027C46F477AE}"/>
    <hyperlink ref="G478" r:id="rId29" display="https://jira.publicismedia.com/browse/TAAGVSEU-8134" xr:uid="{8158967D-0318-48D3-97DD-6A1BA5490BD5}"/>
    <hyperlink ref="G488" r:id="rId30" xr:uid="{40FFCF12-F3C4-42E8-A140-7594B3991FA8}"/>
    <hyperlink ref="G489" r:id="rId31" xr:uid="{787BE475-888B-4CCF-B66B-494F9DF6F579}"/>
    <hyperlink ref="G490" r:id="rId32" xr:uid="{896E8D43-FD34-4D8B-9895-A7CEA68C6720}"/>
    <hyperlink ref="G493" r:id="rId33" xr:uid="{7D2F1EE1-7905-496D-9D40-C51BD33B9820}"/>
    <hyperlink ref="G494" r:id="rId34" xr:uid="{01FD3998-BEC2-48BB-A812-E42F85746FDA}"/>
    <hyperlink ref="G495" r:id="rId35" xr:uid="{8D007B3E-5D0D-4FCC-B115-3707A4166B68}"/>
    <hyperlink ref="G504" r:id="rId36" xr:uid="{05679B00-E138-4D78-AEFB-AACAC2C14EE3}"/>
    <hyperlink ref="G507" r:id="rId37" xr:uid="{ACA22063-2FFB-4F4F-B6C5-85F798472CF1}"/>
    <hyperlink ref="G510" r:id="rId38" xr:uid="{DE2D4A26-B184-45D6-917E-975A265F545D}"/>
    <hyperlink ref="G541" r:id="rId39" xr:uid="{E265A6C4-9265-4CBE-B667-E3E355025965}"/>
    <hyperlink ref="G542" r:id="rId40" xr:uid="{C8A208BD-87AB-4005-95CC-02DCB7469C23}"/>
    <hyperlink ref="G545" r:id="rId41" xr:uid="{5A1CAAA3-4B84-4DE4-8178-3C978937F9DA}"/>
    <hyperlink ref="G546" r:id="rId42" xr:uid="{15C1293E-3EB9-460C-AAEC-2EA72DB5410F}"/>
    <hyperlink ref="G553" r:id="rId43" xr:uid="{262094D3-9C2F-45E2-80C9-3ED6BECFD749}"/>
    <hyperlink ref="G554" r:id="rId44" xr:uid="{51224C92-23BA-4D82-B80E-B02B6CE0FE18}"/>
  </hyperlinks>
  <pageMargins left="0.7" right="0.7" top="0.75" bottom="0.75" header="0.3" footer="0.3"/>
  <pageSetup paperSize="9" orientation="portrait" r:id="rId45"/>
  <tableParts count="1">
    <tablePart r:id="rId4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wrong entry" error="wrong entry" xr:uid="{7ACCAF9C-4B1C-480D-951A-F034D1A35FAF}">
          <x14:formula1>
            <xm:f>'QA Note point'!$D$3:$D$10</xm:f>
          </x14:formula1>
          <xm:sqref>C587:C1588</xm:sqref>
        </x14:dataValidation>
        <x14:dataValidation type="list" allowBlank="1" showInputMessage="1" showErrorMessage="1" errorTitle="wrong entry" error="wrong entry" xr:uid="{C2B9E56E-FD7E-41D2-AE80-D6499A505CBB}">
          <x14:formula1>
            <xm:f>'QA Note point'!$D$3:$D$11</xm:f>
          </x14:formula1>
          <xm:sqref>C2:C441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B8FEE-58FC-4A60-9715-0A9380447AB8}">
  <dimension ref="A1:G116"/>
  <sheetViews>
    <sheetView workbookViewId="0">
      <pane ySplit="1" topLeftCell="A20" activePane="bottomLeft" state="frozen"/>
      <selection pane="bottomLeft" activeCell="A28" sqref="A28"/>
    </sheetView>
  </sheetViews>
  <sheetFormatPr defaultRowHeight="14.5" x14ac:dyDescent="0.35"/>
  <cols>
    <col min="1" max="6" width="18.26953125" customWidth="1"/>
    <col min="7" max="7" width="42.1796875" customWidth="1"/>
  </cols>
  <sheetData>
    <row r="1" spans="1:7" x14ac:dyDescent="0.35">
      <c r="A1" s="112" t="s">
        <v>721</v>
      </c>
      <c r="B1" s="5" t="s">
        <v>722</v>
      </c>
      <c r="C1" s="6" t="s">
        <v>5</v>
      </c>
      <c r="D1" s="5" t="s">
        <v>6</v>
      </c>
      <c r="E1" s="5" t="s">
        <v>7</v>
      </c>
      <c r="F1" s="113" t="s">
        <v>8</v>
      </c>
      <c r="G1" s="115" t="s">
        <v>723</v>
      </c>
    </row>
    <row r="2" spans="1:7" x14ac:dyDescent="0.35">
      <c r="A2" t="s">
        <v>390</v>
      </c>
      <c r="B2" t="s">
        <v>724</v>
      </c>
      <c r="C2" t="s">
        <v>725</v>
      </c>
      <c r="D2" s="114">
        <v>46083</v>
      </c>
      <c r="E2" s="8" t="s">
        <v>726</v>
      </c>
      <c r="F2" t="s">
        <v>727</v>
      </c>
    </row>
    <row r="3" spans="1:7" x14ac:dyDescent="0.35">
      <c r="A3" t="s">
        <v>390</v>
      </c>
      <c r="B3" t="s">
        <v>724</v>
      </c>
      <c r="C3" t="s">
        <v>725</v>
      </c>
      <c r="D3" s="114">
        <v>46084</v>
      </c>
      <c r="E3" s="8" t="s">
        <v>726</v>
      </c>
      <c r="F3" t="s">
        <v>727</v>
      </c>
    </row>
    <row r="4" spans="1:7" x14ac:dyDescent="0.35">
      <c r="A4" t="s">
        <v>390</v>
      </c>
      <c r="B4" t="s">
        <v>724</v>
      </c>
      <c r="C4" t="s">
        <v>725</v>
      </c>
      <c r="D4" s="114">
        <v>46086</v>
      </c>
      <c r="E4" s="8" t="s">
        <v>726</v>
      </c>
      <c r="F4" t="s">
        <v>727</v>
      </c>
    </row>
    <row r="5" spans="1:7" x14ac:dyDescent="0.35">
      <c r="A5" t="s">
        <v>390</v>
      </c>
      <c r="B5" t="s">
        <v>724</v>
      </c>
      <c r="C5" t="s">
        <v>725</v>
      </c>
      <c r="D5" s="114">
        <v>46087</v>
      </c>
      <c r="E5" s="8" t="s">
        <v>726</v>
      </c>
      <c r="F5" t="s">
        <v>727</v>
      </c>
    </row>
    <row r="6" spans="1:7" x14ac:dyDescent="0.35">
      <c r="A6" t="s">
        <v>390</v>
      </c>
      <c r="B6" t="s">
        <v>724</v>
      </c>
      <c r="C6" t="s">
        <v>725</v>
      </c>
      <c r="D6" s="114">
        <v>46090</v>
      </c>
      <c r="E6" s="8" t="s">
        <v>726</v>
      </c>
      <c r="F6" t="s">
        <v>727</v>
      </c>
    </row>
    <row r="7" spans="1:7" x14ac:dyDescent="0.35">
      <c r="A7" t="s">
        <v>728</v>
      </c>
      <c r="B7" t="s">
        <v>729</v>
      </c>
      <c r="C7" t="s">
        <v>730</v>
      </c>
      <c r="D7" s="114">
        <v>46058</v>
      </c>
      <c r="E7" s="8" t="s">
        <v>726</v>
      </c>
      <c r="F7" t="s">
        <v>727</v>
      </c>
    </row>
    <row r="8" spans="1:7" x14ac:dyDescent="0.35">
      <c r="A8" t="s">
        <v>728</v>
      </c>
      <c r="B8" t="s">
        <v>729</v>
      </c>
      <c r="C8" t="s">
        <v>730</v>
      </c>
      <c r="D8" s="114">
        <v>46059</v>
      </c>
      <c r="E8" s="8" t="s">
        <v>726</v>
      </c>
      <c r="F8" t="s">
        <v>727</v>
      </c>
    </row>
    <row r="9" spans="1:7" x14ac:dyDescent="0.35">
      <c r="A9" t="s">
        <v>728</v>
      </c>
      <c r="B9" t="s">
        <v>729</v>
      </c>
      <c r="C9" t="s">
        <v>730</v>
      </c>
      <c r="D9" s="114">
        <v>46087</v>
      </c>
      <c r="E9" s="8" t="s">
        <v>726</v>
      </c>
      <c r="F9" t="s">
        <v>727</v>
      </c>
    </row>
    <row r="10" spans="1:7" x14ac:dyDescent="0.35">
      <c r="A10" t="s">
        <v>728</v>
      </c>
      <c r="B10" t="s">
        <v>729</v>
      </c>
      <c r="C10" t="s">
        <v>730</v>
      </c>
      <c r="D10" s="114">
        <v>46100</v>
      </c>
      <c r="E10" s="8" t="s">
        <v>726</v>
      </c>
      <c r="F10" t="s">
        <v>727</v>
      </c>
    </row>
    <row r="11" spans="1:7" x14ac:dyDescent="0.35">
      <c r="A11" t="s">
        <v>728</v>
      </c>
      <c r="B11" t="s">
        <v>729</v>
      </c>
      <c r="C11" t="s">
        <v>730</v>
      </c>
      <c r="D11" s="114">
        <v>46101</v>
      </c>
      <c r="E11" s="8" t="s">
        <v>726</v>
      </c>
      <c r="F11" t="s">
        <v>727</v>
      </c>
    </row>
    <row r="12" spans="1:7" x14ac:dyDescent="0.35">
      <c r="A12" t="s">
        <v>728</v>
      </c>
      <c r="B12" t="s">
        <v>731</v>
      </c>
      <c r="C12" t="s">
        <v>732</v>
      </c>
      <c r="D12" s="114">
        <v>46106</v>
      </c>
      <c r="E12" s="8" t="s">
        <v>726</v>
      </c>
      <c r="F12" t="s">
        <v>727</v>
      </c>
    </row>
    <row r="13" spans="1:7" x14ac:dyDescent="0.35">
      <c r="A13" t="s">
        <v>728</v>
      </c>
      <c r="B13" t="s">
        <v>731</v>
      </c>
      <c r="C13" t="s">
        <v>732</v>
      </c>
      <c r="D13" s="114">
        <v>46107</v>
      </c>
      <c r="E13" s="8" t="s">
        <v>726</v>
      </c>
      <c r="F13" t="s">
        <v>727</v>
      </c>
    </row>
    <row r="14" spans="1:7" x14ac:dyDescent="0.35">
      <c r="A14" t="s">
        <v>728</v>
      </c>
      <c r="B14" t="s">
        <v>731</v>
      </c>
      <c r="C14" t="s">
        <v>732</v>
      </c>
      <c r="D14" s="114">
        <v>46108</v>
      </c>
      <c r="E14" s="8" t="s">
        <v>726</v>
      </c>
      <c r="F14" t="s">
        <v>727</v>
      </c>
    </row>
    <row r="15" spans="1:7" x14ac:dyDescent="0.35">
      <c r="A15" t="s">
        <v>728</v>
      </c>
      <c r="B15" t="s">
        <v>731</v>
      </c>
      <c r="C15" t="s">
        <v>732</v>
      </c>
      <c r="D15" s="114">
        <v>46111</v>
      </c>
      <c r="E15" s="8" t="s">
        <v>726</v>
      </c>
      <c r="F15" t="s">
        <v>727</v>
      </c>
    </row>
    <row r="16" spans="1:7" x14ac:dyDescent="0.35">
      <c r="A16" t="s">
        <v>728</v>
      </c>
      <c r="B16" t="s">
        <v>731</v>
      </c>
      <c r="C16" t="s">
        <v>732</v>
      </c>
      <c r="D16" s="114">
        <v>46112</v>
      </c>
      <c r="E16" s="8" t="s">
        <v>726</v>
      </c>
      <c r="F16" t="s">
        <v>727</v>
      </c>
    </row>
    <row r="17" spans="1:6" x14ac:dyDescent="0.35">
      <c r="A17" t="s">
        <v>390</v>
      </c>
      <c r="B17" t="s">
        <v>724</v>
      </c>
      <c r="C17" t="s">
        <v>725</v>
      </c>
      <c r="D17" s="114">
        <v>46042</v>
      </c>
      <c r="E17" s="8" t="s">
        <v>726</v>
      </c>
      <c r="F17" t="s">
        <v>727</v>
      </c>
    </row>
    <row r="18" spans="1:6" x14ac:dyDescent="0.35">
      <c r="A18" t="s">
        <v>390</v>
      </c>
      <c r="B18" t="s">
        <v>724</v>
      </c>
      <c r="C18" t="s">
        <v>725</v>
      </c>
      <c r="D18" s="114">
        <v>46044</v>
      </c>
      <c r="E18" s="8" t="s">
        <v>726</v>
      </c>
      <c r="F18" t="s">
        <v>727</v>
      </c>
    </row>
    <row r="19" spans="1:6" x14ac:dyDescent="0.35">
      <c r="A19" t="s">
        <v>390</v>
      </c>
      <c r="B19" t="s">
        <v>724</v>
      </c>
      <c r="C19" t="s">
        <v>725</v>
      </c>
      <c r="D19" s="114">
        <v>46049</v>
      </c>
      <c r="E19" s="8" t="s">
        <v>726</v>
      </c>
      <c r="F19" t="s">
        <v>727</v>
      </c>
    </row>
    <row r="20" spans="1:6" x14ac:dyDescent="0.35">
      <c r="A20" t="s">
        <v>390</v>
      </c>
      <c r="C20" t="s">
        <v>733</v>
      </c>
      <c r="D20" s="114">
        <v>46091</v>
      </c>
      <c r="E20" s="8" t="s">
        <v>726</v>
      </c>
      <c r="F20" t="s">
        <v>727</v>
      </c>
    </row>
    <row r="21" spans="1:6" x14ac:dyDescent="0.35">
      <c r="A21" t="s">
        <v>390</v>
      </c>
      <c r="C21" t="s">
        <v>733</v>
      </c>
      <c r="D21" s="114">
        <v>46092</v>
      </c>
      <c r="E21" s="8" t="s">
        <v>726</v>
      </c>
      <c r="F21" t="s">
        <v>727</v>
      </c>
    </row>
    <row r="22" spans="1:6" x14ac:dyDescent="0.35">
      <c r="A22" t="s">
        <v>390</v>
      </c>
      <c r="C22" t="s">
        <v>733</v>
      </c>
      <c r="D22" s="114">
        <v>46093</v>
      </c>
      <c r="E22" s="8" t="s">
        <v>726</v>
      </c>
      <c r="F22" t="s">
        <v>727</v>
      </c>
    </row>
    <row r="23" spans="1:6" x14ac:dyDescent="0.35">
      <c r="A23" t="s">
        <v>390</v>
      </c>
      <c r="C23" t="s">
        <v>733</v>
      </c>
      <c r="D23" s="114">
        <v>46104</v>
      </c>
      <c r="E23" s="8" t="s">
        <v>726</v>
      </c>
      <c r="F23" t="s">
        <v>727</v>
      </c>
    </row>
    <row r="24" spans="1:6" x14ac:dyDescent="0.35">
      <c r="A24" t="s">
        <v>390</v>
      </c>
      <c r="C24" t="s">
        <v>733</v>
      </c>
      <c r="D24" s="114">
        <v>46105</v>
      </c>
      <c r="E24" s="8" t="s">
        <v>726</v>
      </c>
      <c r="F24" t="s">
        <v>727</v>
      </c>
    </row>
    <row r="25" spans="1:6" x14ac:dyDescent="0.35">
      <c r="A25" t="s">
        <v>728</v>
      </c>
      <c r="B25" t="s">
        <v>731</v>
      </c>
      <c r="C25" t="s">
        <v>732</v>
      </c>
      <c r="D25" s="114">
        <v>46174</v>
      </c>
      <c r="E25" s="8" t="s">
        <v>726</v>
      </c>
      <c r="F25" t="s">
        <v>727</v>
      </c>
    </row>
    <row r="26" spans="1:6" x14ac:dyDescent="0.35">
      <c r="A26" t="s">
        <v>728</v>
      </c>
      <c r="B26" t="s">
        <v>731</v>
      </c>
      <c r="C26" t="s">
        <v>732</v>
      </c>
      <c r="D26" s="114">
        <v>46175</v>
      </c>
      <c r="E26" s="8" t="s">
        <v>726</v>
      </c>
      <c r="F26" t="s">
        <v>727</v>
      </c>
    </row>
    <row r="27" spans="1:6" x14ac:dyDescent="0.35">
      <c r="A27" t="s">
        <v>728</v>
      </c>
      <c r="B27" t="s">
        <v>731</v>
      </c>
      <c r="C27" t="s">
        <v>732</v>
      </c>
      <c r="D27" s="114">
        <v>46176</v>
      </c>
      <c r="E27" s="8" t="s">
        <v>726</v>
      </c>
      <c r="F27" t="s">
        <v>727</v>
      </c>
    </row>
    <row r="28" spans="1:6" x14ac:dyDescent="0.35">
      <c r="A28" t="s">
        <v>728</v>
      </c>
      <c r="B28" t="s">
        <v>731</v>
      </c>
      <c r="C28" t="s">
        <v>732</v>
      </c>
      <c r="D28" s="114">
        <v>46177</v>
      </c>
      <c r="E28" s="8" t="s">
        <v>726</v>
      </c>
      <c r="F28" t="s">
        <v>727</v>
      </c>
    </row>
    <row r="29" spans="1:6" x14ac:dyDescent="0.35">
      <c r="A29" t="s">
        <v>728</v>
      </c>
      <c r="B29" t="s">
        <v>731</v>
      </c>
      <c r="C29" t="s">
        <v>732</v>
      </c>
      <c r="D29" s="114">
        <v>46178</v>
      </c>
      <c r="E29" s="8" t="s">
        <v>726</v>
      </c>
      <c r="F29" t="s">
        <v>727</v>
      </c>
    </row>
    <row r="30" spans="1:6" x14ac:dyDescent="0.35">
      <c r="D30" s="114"/>
    </row>
    <row r="31" spans="1:6" x14ac:dyDescent="0.35">
      <c r="D31" s="114"/>
    </row>
    <row r="32" spans="1:6" x14ac:dyDescent="0.35">
      <c r="D32" s="114"/>
    </row>
    <row r="33" spans="4:4" x14ac:dyDescent="0.35">
      <c r="D33" s="114"/>
    </row>
    <row r="34" spans="4:4" x14ac:dyDescent="0.35">
      <c r="D34" s="114"/>
    </row>
    <row r="35" spans="4:4" x14ac:dyDescent="0.35">
      <c r="D35" s="114"/>
    </row>
    <row r="36" spans="4:4" x14ac:dyDescent="0.35">
      <c r="D36" s="114"/>
    </row>
    <row r="37" spans="4:4" x14ac:dyDescent="0.35">
      <c r="D37" s="114"/>
    </row>
    <row r="38" spans="4:4" x14ac:dyDescent="0.35">
      <c r="D38" s="114"/>
    </row>
    <row r="39" spans="4:4" x14ac:dyDescent="0.35">
      <c r="D39" s="114"/>
    </row>
    <row r="40" spans="4:4" x14ac:dyDescent="0.35">
      <c r="D40" s="114"/>
    </row>
    <row r="41" spans="4:4" x14ac:dyDescent="0.35">
      <c r="D41" s="114"/>
    </row>
    <row r="42" spans="4:4" x14ac:dyDescent="0.35">
      <c r="D42" s="114"/>
    </row>
    <row r="43" spans="4:4" x14ac:dyDescent="0.35">
      <c r="D43" s="114"/>
    </row>
    <row r="44" spans="4:4" x14ac:dyDescent="0.35">
      <c r="D44" s="114"/>
    </row>
    <row r="45" spans="4:4" x14ac:dyDescent="0.35">
      <c r="D45" s="114"/>
    </row>
    <row r="46" spans="4:4" x14ac:dyDescent="0.35">
      <c r="D46" s="114"/>
    </row>
    <row r="47" spans="4:4" x14ac:dyDescent="0.35">
      <c r="D47" s="114"/>
    </row>
    <row r="48" spans="4:4" x14ac:dyDescent="0.35">
      <c r="D48" s="114"/>
    </row>
    <row r="49" spans="4:4" x14ac:dyDescent="0.35">
      <c r="D49" s="114"/>
    </row>
    <row r="50" spans="4:4" x14ac:dyDescent="0.35">
      <c r="D50" s="114"/>
    </row>
    <row r="51" spans="4:4" x14ac:dyDescent="0.35">
      <c r="D51" s="114"/>
    </row>
    <row r="52" spans="4:4" x14ac:dyDescent="0.35">
      <c r="D52" s="114"/>
    </row>
    <row r="53" spans="4:4" x14ac:dyDescent="0.35">
      <c r="D53" s="114"/>
    </row>
    <row r="54" spans="4:4" x14ac:dyDescent="0.35">
      <c r="D54" s="114"/>
    </row>
    <row r="55" spans="4:4" x14ac:dyDescent="0.35">
      <c r="D55" s="114"/>
    </row>
    <row r="56" spans="4:4" x14ac:dyDescent="0.35">
      <c r="D56" s="114"/>
    </row>
    <row r="57" spans="4:4" x14ac:dyDescent="0.35">
      <c r="D57" s="114"/>
    </row>
    <row r="58" spans="4:4" x14ac:dyDescent="0.35">
      <c r="D58" s="114"/>
    </row>
    <row r="59" spans="4:4" x14ac:dyDescent="0.35">
      <c r="D59" s="114"/>
    </row>
    <row r="60" spans="4:4" x14ac:dyDescent="0.35">
      <c r="D60" s="114"/>
    </row>
    <row r="61" spans="4:4" x14ac:dyDescent="0.35">
      <c r="D61" s="114"/>
    </row>
    <row r="62" spans="4:4" x14ac:dyDescent="0.35">
      <c r="D62" s="114"/>
    </row>
    <row r="63" spans="4:4" x14ac:dyDescent="0.35">
      <c r="D63" s="114"/>
    </row>
    <row r="64" spans="4:4" x14ac:dyDescent="0.35">
      <c r="D64" s="114"/>
    </row>
    <row r="65" spans="4:4" x14ac:dyDescent="0.35">
      <c r="D65" s="114"/>
    </row>
    <row r="66" spans="4:4" x14ac:dyDescent="0.35">
      <c r="D66" s="114"/>
    </row>
    <row r="67" spans="4:4" x14ac:dyDescent="0.35">
      <c r="D67" s="114"/>
    </row>
    <row r="68" spans="4:4" x14ac:dyDescent="0.35">
      <c r="D68" s="114"/>
    </row>
    <row r="69" spans="4:4" x14ac:dyDescent="0.35">
      <c r="D69" s="114"/>
    </row>
    <row r="70" spans="4:4" x14ac:dyDescent="0.35">
      <c r="D70" s="114"/>
    </row>
    <row r="71" spans="4:4" x14ac:dyDescent="0.35">
      <c r="D71" s="114"/>
    </row>
    <row r="72" spans="4:4" x14ac:dyDescent="0.35">
      <c r="D72" s="114"/>
    </row>
    <row r="73" spans="4:4" x14ac:dyDescent="0.35">
      <c r="D73" s="114"/>
    </row>
    <row r="74" spans="4:4" x14ac:dyDescent="0.35">
      <c r="D74" s="114"/>
    </row>
    <row r="75" spans="4:4" x14ac:dyDescent="0.35">
      <c r="D75" s="114"/>
    </row>
    <row r="76" spans="4:4" x14ac:dyDescent="0.35">
      <c r="D76" s="114"/>
    </row>
    <row r="77" spans="4:4" x14ac:dyDescent="0.35">
      <c r="D77" s="114"/>
    </row>
    <row r="78" spans="4:4" x14ac:dyDescent="0.35">
      <c r="D78" s="114"/>
    </row>
    <row r="79" spans="4:4" x14ac:dyDescent="0.35">
      <c r="D79" s="114"/>
    </row>
    <row r="80" spans="4:4" x14ac:dyDescent="0.35">
      <c r="D80" s="114"/>
    </row>
    <row r="81" spans="4:4" x14ac:dyDescent="0.35">
      <c r="D81" s="114"/>
    </row>
    <row r="82" spans="4:4" x14ac:dyDescent="0.35">
      <c r="D82" s="114"/>
    </row>
    <row r="83" spans="4:4" x14ac:dyDescent="0.35">
      <c r="D83" s="114"/>
    </row>
    <row r="84" spans="4:4" x14ac:dyDescent="0.35">
      <c r="D84" s="114"/>
    </row>
    <row r="85" spans="4:4" x14ac:dyDescent="0.35">
      <c r="D85" s="114"/>
    </row>
    <row r="86" spans="4:4" x14ac:dyDescent="0.35">
      <c r="D86" s="114"/>
    </row>
    <row r="87" spans="4:4" x14ac:dyDescent="0.35">
      <c r="D87" s="114"/>
    </row>
    <row r="88" spans="4:4" x14ac:dyDescent="0.35">
      <c r="D88" s="114"/>
    </row>
    <row r="89" spans="4:4" x14ac:dyDescent="0.35">
      <c r="D89" s="114"/>
    </row>
    <row r="90" spans="4:4" x14ac:dyDescent="0.35">
      <c r="D90" s="114"/>
    </row>
    <row r="91" spans="4:4" x14ac:dyDescent="0.35">
      <c r="D91" s="114"/>
    </row>
    <row r="92" spans="4:4" x14ac:dyDescent="0.35">
      <c r="D92" s="114"/>
    </row>
    <row r="93" spans="4:4" x14ac:dyDescent="0.35">
      <c r="D93" s="114"/>
    </row>
    <row r="94" spans="4:4" x14ac:dyDescent="0.35">
      <c r="D94" s="114"/>
    </row>
    <row r="95" spans="4:4" x14ac:dyDescent="0.35">
      <c r="D95" s="114"/>
    </row>
    <row r="96" spans="4:4" x14ac:dyDescent="0.35">
      <c r="D96" s="114"/>
    </row>
    <row r="97" spans="4:4" x14ac:dyDescent="0.35">
      <c r="D97" s="114"/>
    </row>
    <row r="98" spans="4:4" x14ac:dyDescent="0.35">
      <c r="D98" s="114"/>
    </row>
    <row r="99" spans="4:4" x14ac:dyDescent="0.35">
      <c r="D99" s="114"/>
    </row>
    <row r="100" spans="4:4" x14ac:dyDescent="0.35">
      <c r="D100" s="114"/>
    </row>
    <row r="101" spans="4:4" x14ac:dyDescent="0.35">
      <c r="D101" s="114"/>
    </row>
    <row r="102" spans="4:4" x14ac:dyDescent="0.35">
      <c r="D102" s="114"/>
    </row>
    <row r="103" spans="4:4" x14ac:dyDescent="0.35">
      <c r="D103" s="114"/>
    </row>
    <row r="104" spans="4:4" x14ac:dyDescent="0.35">
      <c r="D104" s="114"/>
    </row>
    <row r="105" spans="4:4" x14ac:dyDescent="0.35">
      <c r="D105" s="114"/>
    </row>
    <row r="106" spans="4:4" x14ac:dyDescent="0.35">
      <c r="D106" s="114"/>
    </row>
    <row r="107" spans="4:4" x14ac:dyDescent="0.35">
      <c r="D107" s="114"/>
    </row>
    <row r="108" spans="4:4" x14ac:dyDescent="0.35">
      <c r="D108" s="114"/>
    </row>
    <row r="109" spans="4:4" x14ac:dyDescent="0.35">
      <c r="D109" s="114"/>
    </row>
    <row r="110" spans="4:4" x14ac:dyDescent="0.35">
      <c r="D110" s="114"/>
    </row>
    <row r="111" spans="4:4" x14ac:dyDescent="0.35">
      <c r="D111" s="114"/>
    </row>
    <row r="112" spans="4:4" x14ac:dyDescent="0.35">
      <c r="D112" s="114"/>
    </row>
    <row r="113" spans="4:4" x14ac:dyDescent="0.35">
      <c r="D113" s="114"/>
    </row>
    <row r="114" spans="4:4" x14ac:dyDescent="0.35">
      <c r="D114" s="114"/>
    </row>
    <row r="115" spans="4:4" x14ac:dyDescent="0.35">
      <c r="D115" s="114"/>
    </row>
    <row r="116" spans="4:4" x14ac:dyDescent="0.35">
      <c r="D116" s="114"/>
    </row>
  </sheetData>
  <autoFilter ref="A1:G1" xr:uid="{9B3B8FEE-58FC-4A60-9715-0A9380447AB8}"/>
  <conditionalFormatting sqref="C1">
    <cfRule type="expression" dxfId="1" priority="2">
      <formula>G1="Not applied"</formula>
    </cfRule>
  </conditionalFormatting>
  <conditionalFormatting sqref="D1:F1">
    <cfRule type="expression" dxfId="0" priority="1">
      <formula>L1="Not applied"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Leave Analysis</vt:lpstr>
      <vt:lpstr>CROCS</vt:lpstr>
      <vt:lpstr>POC details</vt:lpstr>
      <vt:lpstr>QA_Email</vt:lpstr>
      <vt:lpstr>QA Note point</vt:lpstr>
      <vt:lpstr>Digitas UK Task 26</vt:lpstr>
      <vt:lpstr>Leave Sheet</vt:lpstr>
      <vt:lpstr>Camp</vt:lpstr>
      <vt:lpstr>EmailSub</vt:lpstr>
      <vt:lpstr>Live</vt:lpstr>
      <vt:lpstr>Place</vt:lpstr>
      <vt:lpstr>QAPend</vt:lpstr>
      <vt:lpstr>QAPer</vt:lpstr>
      <vt:lpstr>QATim</vt:lpstr>
      <vt:lpstr>Traff</vt:lpstr>
      <vt:lpstr>TraffTm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Mrinal Choubey</dc:creator>
  <cp:keywords/>
  <dc:description/>
  <cp:lastModifiedBy>Ajay Tiwari</cp:lastModifiedBy>
  <cp:revision/>
  <dcterms:created xsi:type="dcterms:W3CDTF">2023-03-09T11:49:59Z</dcterms:created>
  <dcterms:modified xsi:type="dcterms:W3CDTF">2026-07-14T11:37:43Z</dcterms:modified>
  <cp:category/>
  <cp:contentStatus/>
</cp:coreProperties>
</file>